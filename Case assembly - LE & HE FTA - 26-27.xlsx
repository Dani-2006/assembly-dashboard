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ravind\1.Case assembly\Reports\Case assembly FTA\Overall HE&amp;LE FTA\"/>
    </mc:Choice>
  </mc:AlternateContent>
  <xr:revisionPtr revIDLastSave="0" documentId="13_ncr:1_{CEE165A9-BEF3-406C-85F0-E80F15FECAAF}" xr6:coauthVersionLast="36" xr6:coauthVersionMax="47" xr10:uidLastSave="{00000000-0000-0000-0000-000000000000}"/>
  <bookViews>
    <workbookView xWindow="0" yWindow="0" windowWidth="17970" windowHeight="5325" xr2:uid="{5303740B-43EB-48DF-8ADE-D1259058154D}"/>
  </bookViews>
  <sheets>
    <sheet name="Report" sheetId="5" r:id="rId1"/>
    <sheet name="Sheet1" sheetId="8" r:id="rId2"/>
    <sheet name="CA ASSLY MOM OUTPUT" sheetId="7" r:id="rId3"/>
    <sheet name="Low End " sheetId="1" r:id="rId4"/>
    <sheet name="High end" sheetId="2" r:id="rId5"/>
    <sheet name="CA ASSLY OUTPUT" sheetId="6" r:id="rId6"/>
  </sheets>
  <definedNames>
    <definedName name="_xlnm._FilterDatabase" localSheetId="3" hidden="1">'Low End '!$A$1:$AT$1749</definedName>
    <definedName name="_xlnm._FilterDatabase" localSheetId="0" hidden="1">Report!$T$73:$X$100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7" l="1"/>
  <c r="E17" i="7"/>
  <c r="G17" i="7" s="1"/>
  <c r="D17" i="7"/>
  <c r="H17" i="7" s="1"/>
  <c r="AK5" i="5"/>
  <c r="O16" i="6" l="1"/>
  <c r="O4" i="6"/>
  <c r="O5" i="6"/>
  <c r="O6" i="6"/>
  <c r="O7" i="6"/>
  <c r="O8" i="6"/>
  <c r="O9" i="6"/>
  <c r="O10" i="6"/>
  <c r="O11" i="6"/>
  <c r="O12" i="6"/>
  <c r="O13" i="6"/>
  <c r="O14" i="6"/>
  <c r="O15" i="6"/>
  <c r="O3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1472" i="1"/>
  <c r="AS1473" i="1"/>
  <c r="AS1474" i="1"/>
  <c r="AS1475" i="1"/>
  <c r="AS1476" i="1"/>
  <c r="AS1477" i="1"/>
  <c r="AS1478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2" i="1"/>
  <c r="AS1493" i="1"/>
  <c r="AS1494" i="1"/>
  <c r="AS1495" i="1"/>
  <c r="AS1496" i="1"/>
  <c r="AS1497" i="1"/>
  <c r="AS1498" i="1"/>
  <c r="AS1499" i="1"/>
  <c r="AS1500" i="1"/>
  <c r="AS1501" i="1"/>
  <c r="AS1502" i="1"/>
  <c r="AS1503" i="1"/>
  <c r="AS1504" i="1"/>
  <c r="AS1505" i="1"/>
  <c r="AS1506" i="1"/>
  <c r="AS1507" i="1"/>
  <c r="AS1508" i="1"/>
  <c r="AS1509" i="1"/>
  <c r="AS1510" i="1"/>
  <c r="AS1511" i="1"/>
  <c r="AS1512" i="1"/>
  <c r="AS1513" i="1"/>
  <c r="AS1514" i="1"/>
  <c r="AS1515" i="1"/>
  <c r="AS1516" i="1"/>
  <c r="AS1517" i="1"/>
  <c r="AS1518" i="1"/>
  <c r="AS1519" i="1"/>
  <c r="AS1520" i="1"/>
  <c r="AS1521" i="1"/>
  <c r="AS1522" i="1"/>
  <c r="AS1523" i="1"/>
  <c r="AS1524" i="1"/>
  <c r="AS1525" i="1"/>
  <c r="AS1526" i="1"/>
  <c r="AS1527" i="1"/>
  <c r="AS1528" i="1"/>
  <c r="AS1529" i="1"/>
  <c r="AS1530" i="1"/>
  <c r="AS1531" i="1"/>
  <c r="AS1532" i="1"/>
  <c r="AS1533" i="1"/>
  <c r="AS1534" i="1"/>
  <c r="AS1535" i="1"/>
  <c r="AS1536" i="1"/>
  <c r="AS1537" i="1"/>
  <c r="AS1538" i="1"/>
  <c r="AS1539" i="1"/>
  <c r="AS1540" i="1"/>
  <c r="AS1541" i="1"/>
  <c r="AS1542" i="1"/>
  <c r="AS1543" i="1"/>
  <c r="AS1544" i="1"/>
  <c r="AS1545" i="1"/>
  <c r="AS1546" i="1"/>
  <c r="AS1547" i="1"/>
  <c r="AS1548" i="1"/>
  <c r="AS1549" i="1"/>
  <c r="AS1550" i="1"/>
  <c r="AS1551" i="1"/>
  <c r="AS1552" i="1"/>
  <c r="AS1553" i="1"/>
  <c r="AS1554" i="1"/>
  <c r="AS1555" i="1"/>
  <c r="AS1556" i="1"/>
  <c r="AS1557" i="1"/>
  <c r="AS1558" i="1"/>
  <c r="AS1559" i="1"/>
  <c r="AS1560" i="1"/>
  <c r="AS1561" i="1"/>
  <c r="AS1562" i="1"/>
  <c r="AS1563" i="1"/>
  <c r="AS1564" i="1"/>
  <c r="AS1565" i="1"/>
  <c r="AS1566" i="1"/>
  <c r="AS1567" i="1"/>
  <c r="AS1568" i="1"/>
  <c r="AS1569" i="1"/>
  <c r="AS1570" i="1"/>
  <c r="AS1571" i="1"/>
  <c r="AS1572" i="1"/>
  <c r="AS1573" i="1"/>
  <c r="AS1574" i="1"/>
  <c r="AS1575" i="1"/>
  <c r="AS1576" i="1"/>
  <c r="AS1577" i="1"/>
  <c r="AS1578" i="1"/>
  <c r="AS1579" i="1"/>
  <c r="AS1580" i="1"/>
  <c r="AS1581" i="1"/>
  <c r="AS1582" i="1"/>
  <c r="AS1583" i="1"/>
  <c r="AS1584" i="1"/>
  <c r="AS1585" i="1"/>
  <c r="AS1586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S1636" i="1"/>
  <c r="AS1637" i="1"/>
  <c r="AS1638" i="1"/>
  <c r="AS1639" i="1"/>
  <c r="AS1640" i="1"/>
  <c r="AS1641" i="1"/>
  <c r="AS1642" i="1"/>
  <c r="AS1643" i="1"/>
  <c r="AS1644" i="1"/>
  <c r="AS1645" i="1"/>
  <c r="AS1646" i="1"/>
  <c r="AS1647" i="1"/>
  <c r="AS1648" i="1"/>
  <c r="AS1649" i="1"/>
  <c r="AS1650" i="1"/>
  <c r="AS1651" i="1"/>
  <c r="AS1652" i="1"/>
  <c r="AS1653" i="1"/>
  <c r="AS1654" i="1"/>
  <c r="AS1655" i="1"/>
  <c r="AS1656" i="1"/>
  <c r="AS1657" i="1"/>
  <c r="AS1658" i="1"/>
  <c r="AS1659" i="1"/>
  <c r="AS1660" i="1"/>
  <c r="AS1661" i="1"/>
  <c r="AS1662" i="1"/>
  <c r="AS1663" i="1"/>
  <c r="AS1664" i="1"/>
  <c r="AS1665" i="1"/>
  <c r="AS1666" i="1"/>
  <c r="AS1667" i="1"/>
  <c r="AS1668" i="1"/>
  <c r="AS1669" i="1"/>
  <c r="AS1670" i="1"/>
  <c r="AS1671" i="1"/>
  <c r="AS1672" i="1"/>
  <c r="AS1673" i="1"/>
  <c r="AS1674" i="1"/>
  <c r="AS1675" i="1"/>
  <c r="AS1676" i="1"/>
  <c r="AS1677" i="1"/>
  <c r="AS1678" i="1"/>
  <c r="AS1679" i="1"/>
  <c r="AS1680" i="1"/>
  <c r="AS1681" i="1"/>
  <c r="AS1682" i="1"/>
  <c r="AS1683" i="1"/>
  <c r="AS1684" i="1"/>
  <c r="AS1685" i="1"/>
  <c r="AS1686" i="1"/>
  <c r="AS1687" i="1"/>
  <c r="AS1688" i="1"/>
  <c r="AS1689" i="1"/>
  <c r="AS1690" i="1"/>
  <c r="AS1691" i="1"/>
  <c r="AS1692" i="1"/>
  <c r="AS1693" i="1"/>
  <c r="AS1694" i="1"/>
  <c r="AS1695" i="1"/>
  <c r="AS1696" i="1"/>
  <c r="AS1697" i="1"/>
  <c r="AS1698" i="1"/>
  <c r="AS1699" i="1"/>
  <c r="AS1700" i="1"/>
  <c r="AS1701" i="1"/>
  <c r="AS1702" i="1"/>
  <c r="AS1703" i="1"/>
  <c r="AS1704" i="1"/>
  <c r="AS1705" i="1"/>
  <c r="AS1706" i="1"/>
  <c r="AS1707" i="1"/>
  <c r="AS1708" i="1"/>
  <c r="AS1709" i="1"/>
  <c r="AS1710" i="1"/>
  <c r="AS1711" i="1"/>
  <c r="AS1712" i="1"/>
  <c r="AS1713" i="1"/>
  <c r="AS1714" i="1"/>
  <c r="AS1715" i="1"/>
  <c r="AS1716" i="1"/>
  <c r="AS1717" i="1"/>
  <c r="AS1718" i="1"/>
  <c r="AS1719" i="1"/>
  <c r="AS1720" i="1"/>
  <c r="AS1721" i="1"/>
  <c r="AS1722" i="1"/>
  <c r="AS1723" i="1"/>
  <c r="AS1724" i="1"/>
  <c r="AS1725" i="1"/>
  <c r="AS1726" i="1"/>
  <c r="AS1727" i="1"/>
  <c r="AS1728" i="1"/>
  <c r="AS1729" i="1"/>
  <c r="AS1730" i="1"/>
  <c r="AS1731" i="1"/>
  <c r="AS1732" i="1"/>
  <c r="AS1733" i="1"/>
  <c r="AS1734" i="1"/>
  <c r="AS1735" i="1"/>
  <c r="AS1736" i="1"/>
  <c r="AS1737" i="1"/>
  <c r="AS1738" i="1"/>
  <c r="AS1739" i="1"/>
  <c r="AS1740" i="1"/>
  <c r="AS1741" i="1"/>
  <c r="AS1742" i="1"/>
  <c r="AS1743" i="1"/>
  <c r="AS1744" i="1"/>
  <c r="AS1745" i="1"/>
  <c r="AS1746" i="1"/>
  <c r="AS1747" i="1"/>
  <c r="AS1748" i="1"/>
  <c r="AS1749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G1102" i="1" l="1"/>
  <c r="H1102" i="1" s="1"/>
  <c r="G1101" i="1"/>
  <c r="H1101" i="1" s="1"/>
  <c r="G1100" i="1"/>
  <c r="H1100" i="1" s="1"/>
  <c r="G1099" i="1"/>
  <c r="H1099" i="1" s="1"/>
  <c r="G1098" i="1"/>
  <c r="H1098" i="1" s="1"/>
  <c r="G1097" i="1"/>
  <c r="H1097" i="1" s="1"/>
  <c r="G1096" i="1"/>
  <c r="H1096" i="1" s="1"/>
  <c r="G1095" i="1"/>
  <c r="H1095" i="1" s="1"/>
  <c r="G1094" i="1"/>
  <c r="H1094" i="1" s="1"/>
  <c r="G1093" i="1"/>
  <c r="H1093" i="1" s="1"/>
  <c r="G1092" i="1"/>
  <c r="H1092" i="1" s="1"/>
  <c r="G1091" i="1"/>
  <c r="H1091" i="1" s="1"/>
  <c r="G1090" i="1"/>
  <c r="H1090" i="1" s="1"/>
  <c r="G1089" i="1"/>
  <c r="H1089" i="1" s="1"/>
  <c r="G1088" i="1"/>
  <c r="H1088" i="1" s="1"/>
  <c r="G1087" i="1"/>
  <c r="H1087" i="1" s="1"/>
  <c r="G1086" i="1"/>
  <c r="H1086" i="1" s="1"/>
  <c r="G1085" i="1"/>
  <c r="H1085" i="1" s="1"/>
  <c r="G1084" i="1"/>
  <c r="H1084" i="1" s="1"/>
  <c r="G1083" i="1"/>
  <c r="H1083" i="1" s="1"/>
  <c r="G1082" i="1"/>
  <c r="H1082" i="1" s="1"/>
  <c r="G1081" i="1"/>
  <c r="H1081" i="1" s="1"/>
  <c r="G1080" i="1"/>
  <c r="H1080" i="1" s="1"/>
  <c r="G1079" i="1"/>
  <c r="H1079" i="1" s="1"/>
  <c r="G1078" i="1"/>
  <c r="H1078" i="1" s="1"/>
  <c r="G1077" i="1"/>
  <c r="H1077" i="1" s="1"/>
  <c r="G1076" i="1"/>
  <c r="H1076" i="1" s="1"/>
  <c r="G1075" i="1"/>
  <c r="H1075" i="1" s="1"/>
  <c r="G1074" i="1"/>
  <c r="H1074" i="1" s="1"/>
  <c r="G1073" i="1"/>
  <c r="H1073" i="1" s="1"/>
  <c r="G1072" i="1"/>
  <c r="H1072" i="1" s="1"/>
  <c r="G1071" i="1"/>
  <c r="H1071" i="1" s="1"/>
  <c r="G1070" i="1"/>
  <c r="H1070" i="1" s="1"/>
  <c r="G1069" i="1"/>
  <c r="H1069" i="1" s="1"/>
  <c r="G1068" i="1"/>
  <c r="H1068" i="1" s="1"/>
  <c r="G1067" i="1"/>
  <c r="H1067" i="1" s="1"/>
  <c r="G1066" i="1"/>
  <c r="H1066" i="1" s="1"/>
  <c r="G1065" i="1"/>
  <c r="H1065" i="1" s="1"/>
  <c r="G1064" i="1"/>
  <c r="H1064" i="1" s="1"/>
  <c r="G1063" i="1"/>
  <c r="H1063" i="1" s="1"/>
  <c r="G1062" i="1"/>
  <c r="H1062" i="1" s="1"/>
  <c r="G1061" i="1"/>
  <c r="H1061" i="1" s="1"/>
  <c r="G1060" i="1"/>
  <c r="H1060" i="1" s="1"/>
  <c r="G1059" i="1"/>
  <c r="H1059" i="1" s="1"/>
  <c r="G1058" i="1"/>
  <c r="H1058" i="1" s="1"/>
  <c r="G1057" i="1"/>
  <c r="H1057" i="1" s="1"/>
  <c r="G1056" i="1"/>
  <c r="H1056" i="1" s="1"/>
  <c r="G1055" i="1"/>
  <c r="H1055" i="1" s="1"/>
  <c r="G1054" i="1"/>
  <c r="H1054" i="1" s="1"/>
  <c r="G1053" i="1"/>
  <c r="H1053" i="1" s="1"/>
  <c r="G1052" i="1"/>
  <c r="H1052" i="1" s="1"/>
  <c r="G1051" i="1"/>
  <c r="H1051" i="1" s="1"/>
  <c r="G1050" i="1"/>
  <c r="H1050" i="1" s="1"/>
  <c r="G1049" i="1"/>
  <c r="H1049" i="1" s="1"/>
  <c r="G1048" i="1"/>
  <c r="H1048" i="1" s="1"/>
  <c r="G1047" i="1"/>
  <c r="H1047" i="1" s="1"/>
  <c r="G1046" i="1"/>
  <c r="H1046" i="1" s="1"/>
  <c r="G1045" i="1"/>
  <c r="H1045" i="1" s="1"/>
  <c r="G1044" i="1"/>
  <c r="H1044" i="1" s="1"/>
  <c r="G1043" i="1"/>
  <c r="H1043" i="1" s="1"/>
  <c r="G1042" i="1"/>
  <c r="H1042" i="1" s="1"/>
  <c r="G1041" i="1"/>
  <c r="H1041" i="1" s="1"/>
  <c r="G1040" i="1"/>
  <c r="H1040" i="1" s="1"/>
  <c r="G1039" i="1"/>
  <c r="H1039" i="1" s="1"/>
  <c r="G1038" i="1"/>
  <c r="H1038" i="1" s="1"/>
  <c r="G1037" i="1"/>
  <c r="H1037" i="1" s="1"/>
  <c r="G1036" i="1"/>
  <c r="H1036" i="1" s="1"/>
  <c r="G1035" i="1"/>
  <c r="H1035" i="1" s="1"/>
  <c r="G1034" i="1"/>
  <c r="H1034" i="1" s="1"/>
  <c r="G1033" i="1"/>
  <c r="H1033" i="1" s="1"/>
  <c r="G1032" i="1"/>
  <c r="H1032" i="1" s="1"/>
  <c r="G1031" i="1"/>
  <c r="H1031" i="1" s="1"/>
  <c r="G1030" i="1"/>
  <c r="H1030" i="1" s="1"/>
  <c r="G1029" i="1"/>
  <c r="H1029" i="1" s="1"/>
  <c r="G1028" i="1"/>
  <c r="H1028" i="1" s="1"/>
  <c r="G1027" i="1"/>
  <c r="H1027" i="1" s="1"/>
  <c r="G1026" i="1"/>
  <c r="H1026" i="1" s="1"/>
  <c r="G1025" i="1"/>
  <c r="H1025" i="1" s="1"/>
  <c r="G1024" i="1"/>
  <c r="H1024" i="1" s="1"/>
  <c r="G1023" i="1"/>
  <c r="H1023" i="1" s="1"/>
  <c r="G1022" i="1"/>
  <c r="H1022" i="1" s="1"/>
  <c r="G1021" i="1"/>
  <c r="H1021" i="1" s="1"/>
  <c r="G1020" i="1"/>
  <c r="H1020" i="1" s="1"/>
  <c r="G1019" i="1"/>
  <c r="H1019" i="1" s="1"/>
  <c r="G1018" i="1"/>
  <c r="H1018" i="1" s="1"/>
  <c r="G1017" i="1"/>
  <c r="H1017" i="1" s="1"/>
  <c r="G1016" i="1"/>
  <c r="H1016" i="1" s="1"/>
  <c r="G1015" i="1"/>
  <c r="H1015" i="1" s="1"/>
  <c r="G1014" i="1"/>
  <c r="H1014" i="1" s="1"/>
  <c r="G1013" i="1"/>
  <c r="H1013" i="1" s="1"/>
  <c r="G1012" i="1"/>
  <c r="H1012" i="1" s="1"/>
  <c r="G1011" i="1"/>
  <c r="H1011" i="1" s="1"/>
  <c r="G1010" i="1"/>
  <c r="H1010" i="1" s="1"/>
  <c r="G1009" i="1"/>
  <c r="H1009" i="1" s="1"/>
  <c r="G1008" i="1"/>
  <c r="H1008" i="1" s="1"/>
  <c r="G1007" i="1"/>
  <c r="H1007" i="1" s="1"/>
  <c r="G1006" i="1"/>
  <c r="H1006" i="1" s="1"/>
  <c r="G1005" i="1"/>
  <c r="H1005" i="1" s="1"/>
  <c r="G1004" i="1"/>
  <c r="H1004" i="1" s="1"/>
  <c r="G1003" i="1"/>
  <c r="H1003" i="1" s="1"/>
  <c r="G1002" i="1"/>
  <c r="H1002" i="1" s="1"/>
  <c r="G1001" i="1"/>
  <c r="H1001" i="1" s="1"/>
  <c r="G1000" i="1"/>
  <c r="H1000" i="1" s="1"/>
  <c r="G999" i="1"/>
  <c r="H999" i="1" s="1"/>
  <c r="G998" i="1"/>
  <c r="H998" i="1" s="1"/>
  <c r="G997" i="1"/>
  <c r="H997" i="1" s="1"/>
  <c r="G996" i="1"/>
  <c r="H996" i="1" s="1"/>
  <c r="G995" i="1"/>
  <c r="H995" i="1" s="1"/>
  <c r="G994" i="1"/>
  <c r="H994" i="1" s="1"/>
  <c r="G993" i="1"/>
  <c r="H993" i="1" s="1"/>
  <c r="G992" i="1"/>
  <c r="H992" i="1" s="1"/>
  <c r="G991" i="1"/>
  <c r="H991" i="1" s="1"/>
  <c r="G990" i="1"/>
  <c r="H990" i="1" s="1"/>
  <c r="G989" i="1"/>
  <c r="H989" i="1" s="1"/>
  <c r="G988" i="1"/>
  <c r="H988" i="1" s="1"/>
  <c r="G987" i="1"/>
  <c r="H987" i="1" s="1"/>
  <c r="G986" i="1"/>
  <c r="H986" i="1" s="1"/>
  <c r="G985" i="1"/>
  <c r="H985" i="1" s="1"/>
  <c r="G984" i="1"/>
  <c r="H984" i="1" s="1"/>
  <c r="G983" i="1"/>
  <c r="H983" i="1" s="1"/>
  <c r="G982" i="1"/>
  <c r="H982" i="1" s="1"/>
  <c r="G981" i="1"/>
  <c r="H981" i="1" s="1"/>
  <c r="G980" i="1"/>
  <c r="H980" i="1" s="1"/>
  <c r="G979" i="1"/>
  <c r="H979" i="1" s="1"/>
  <c r="G978" i="1"/>
  <c r="H978" i="1" s="1"/>
  <c r="G977" i="1"/>
  <c r="H977" i="1" s="1"/>
  <c r="G976" i="1"/>
  <c r="H976" i="1" s="1"/>
  <c r="G975" i="1"/>
  <c r="H975" i="1" s="1"/>
  <c r="G974" i="1"/>
  <c r="H974" i="1" s="1"/>
  <c r="G973" i="1"/>
  <c r="H973" i="1" s="1"/>
  <c r="G972" i="1"/>
  <c r="H972" i="1" s="1"/>
  <c r="G971" i="1"/>
  <c r="H971" i="1" s="1"/>
  <c r="G970" i="1"/>
  <c r="H970" i="1" s="1"/>
  <c r="G969" i="1"/>
  <c r="H969" i="1" s="1"/>
  <c r="G968" i="1"/>
  <c r="H968" i="1" s="1"/>
  <c r="G967" i="1"/>
  <c r="H967" i="1" s="1"/>
  <c r="G966" i="1"/>
  <c r="H966" i="1" s="1"/>
  <c r="G965" i="1"/>
  <c r="H965" i="1" s="1"/>
  <c r="G964" i="1"/>
  <c r="H964" i="1" s="1"/>
  <c r="G963" i="1"/>
  <c r="H963" i="1" s="1"/>
  <c r="G962" i="1"/>
  <c r="H962" i="1" s="1"/>
  <c r="G961" i="1"/>
  <c r="H961" i="1" s="1"/>
  <c r="G960" i="1"/>
  <c r="H960" i="1" s="1"/>
  <c r="G959" i="1"/>
  <c r="H959" i="1" s="1"/>
  <c r="G958" i="1"/>
  <c r="H958" i="1" s="1"/>
  <c r="G957" i="1"/>
  <c r="H957" i="1" s="1"/>
  <c r="G956" i="1"/>
  <c r="H956" i="1" s="1"/>
  <c r="G955" i="1"/>
  <c r="H955" i="1" s="1"/>
  <c r="G954" i="1"/>
  <c r="H954" i="1" s="1"/>
  <c r="G953" i="1"/>
  <c r="H953" i="1" s="1"/>
  <c r="G952" i="1"/>
  <c r="H952" i="1" s="1"/>
  <c r="G951" i="1"/>
  <c r="H951" i="1" s="1"/>
  <c r="G950" i="1"/>
  <c r="H950" i="1" s="1"/>
  <c r="G949" i="1"/>
  <c r="H949" i="1" s="1"/>
  <c r="G948" i="1"/>
  <c r="H948" i="1" s="1"/>
  <c r="G947" i="1"/>
  <c r="H947" i="1" s="1"/>
  <c r="G946" i="1"/>
  <c r="H946" i="1" s="1"/>
  <c r="G945" i="1"/>
  <c r="H945" i="1" s="1"/>
  <c r="G944" i="1"/>
  <c r="H944" i="1" s="1"/>
  <c r="G943" i="1"/>
  <c r="H943" i="1" s="1"/>
  <c r="G942" i="1"/>
  <c r="H942" i="1" s="1"/>
  <c r="G941" i="1"/>
  <c r="H941" i="1" s="1"/>
  <c r="G940" i="1"/>
  <c r="H940" i="1" s="1"/>
  <c r="G939" i="1"/>
  <c r="H939" i="1" s="1"/>
  <c r="G938" i="1"/>
  <c r="H938" i="1" s="1"/>
  <c r="G937" i="1"/>
  <c r="H937" i="1" s="1"/>
  <c r="G936" i="1"/>
  <c r="H936" i="1" s="1"/>
  <c r="G935" i="1"/>
  <c r="H935" i="1" s="1"/>
  <c r="G934" i="1"/>
  <c r="H934" i="1" s="1"/>
  <c r="G933" i="1"/>
  <c r="H933" i="1" s="1"/>
  <c r="G932" i="1"/>
  <c r="H932" i="1" s="1"/>
  <c r="G931" i="1"/>
  <c r="H931" i="1" s="1"/>
  <c r="G930" i="1"/>
  <c r="H930" i="1" s="1"/>
  <c r="G929" i="1"/>
  <c r="H929" i="1" s="1"/>
  <c r="G928" i="1"/>
  <c r="H928" i="1" s="1"/>
  <c r="G927" i="1"/>
  <c r="H927" i="1" s="1"/>
  <c r="G926" i="1"/>
  <c r="H926" i="1" s="1"/>
  <c r="G925" i="1"/>
  <c r="H925" i="1" s="1"/>
  <c r="G924" i="1"/>
  <c r="H924" i="1" s="1"/>
  <c r="G923" i="1"/>
  <c r="H923" i="1" s="1"/>
  <c r="G922" i="1"/>
  <c r="H922" i="1" s="1"/>
  <c r="G921" i="1"/>
  <c r="H921" i="1" s="1"/>
  <c r="G920" i="1"/>
  <c r="H920" i="1" s="1"/>
  <c r="G919" i="1"/>
  <c r="H919" i="1" s="1"/>
  <c r="G918" i="1"/>
  <c r="H918" i="1" s="1"/>
  <c r="G917" i="1"/>
  <c r="H917" i="1" s="1"/>
  <c r="G916" i="1"/>
  <c r="H916" i="1" s="1"/>
  <c r="G915" i="1"/>
  <c r="H915" i="1" s="1"/>
  <c r="G914" i="1"/>
  <c r="H914" i="1" s="1"/>
  <c r="G913" i="1"/>
  <c r="H913" i="1" s="1"/>
  <c r="G912" i="1"/>
  <c r="H912" i="1" s="1"/>
  <c r="G911" i="1"/>
  <c r="H911" i="1" s="1"/>
  <c r="G910" i="1"/>
  <c r="H910" i="1" s="1"/>
  <c r="G909" i="1"/>
  <c r="H909" i="1" s="1"/>
  <c r="G908" i="1"/>
  <c r="H908" i="1" s="1"/>
  <c r="G907" i="1"/>
  <c r="H907" i="1" s="1"/>
  <c r="G906" i="1"/>
  <c r="H906" i="1" s="1"/>
  <c r="G905" i="1"/>
  <c r="H905" i="1" s="1"/>
  <c r="G904" i="1"/>
  <c r="H904" i="1" s="1"/>
  <c r="G903" i="1"/>
  <c r="H903" i="1" s="1"/>
  <c r="G902" i="1"/>
  <c r="H902" i="1" s="1"/>
  <c r="G901" i="1"/>
  <c r="H901" i="1" s="1"/>
  <c r="G900" i="1"/>
  <c r="H900" i="1" s="1"/>
  <c r="G899" i="1"/>
  <c r="H899" i="1" s="1"/>
  <c r="G898" i="1"/>
  <c r="H898" i="1" s="1"/>
  <c r="G897" i="1"/>
  <c r="H897" i="1" s="1"/>
  <c r="G896" i="1"/>
  <c r="H896" i="1" s="1"/>
  <c r="G895" i="1"/>
  <c r="H895" i="1" s="1"/>
  <c r="G894" i="1"/>
  <c r="H894" i="1" s="1"/>
  <c r="G893" i="1"/>
  <c r="H893" i="1" s="1"/>
  <c r="G892" i="1"/>
  <c r="H892" i="1" s="1"/>
  <c r="G891" i="1"/>
  <c r="H891" i="1" s="1"/>
  <c r="G890" i="1"/>
  <c r="H890" i="1" s="1"/>
  <c r="G889" i="1"/>
  <c r="H889" i="1" s="1"/>
  <c r="G888" i="1"/>
  <c r="H888" i="1" s="1"/>
  <c r="G887" i="1"/>
  <c r="H887" i="1" s="1"/>
  <c r="G886" i="1"/>
  <c r="H886" i="1" s="1"/>
  <c r="G885" i="1"/>
  <c r="H885" i="1" s="1"/>
  <c r="G884" i="1"/>
  <c r="H884" i="1" s="1"/>
  <c r="G883" i="1"/>
  <c r="H883" i="1" s="1"/>
  <c r="G882" i="1"/>
  <c r="H882" i="1" s="1"/>
  <c r="G881" i="1"/>
  <c r="H881" i="1" s="1"/>
  <c r="G880" i="1"/>
  <c r="H880" i="1" s="1"/>
  <c r="G879" i="1"/>
  <c r="H879" i="1" s="1"/>
  <c r="G878" i="1"/>
  <c r="H878" i="1" s="1"/>
  <c r="G877" i="1"/>
  <c r="H877" i="1" s="1"/>
  <c r="G876" i="1"/>
  <c r="H876" i="1" s="1"/>
  <c r="G875" i="1"/>
  <c r="H875" i="1" s="1"/>
  <c r="G874" i="1"/>
  <c r="H874" i="1" s="1"/>
  <c r="G873" i="1"/>
  <c r="H873" i="1" s="1"/>
  <c r="G872" i="1"/>
  <c r="H872" i="1" s="1"/>
  <c r="G871" i="1"/>
  <c r="H871" i="1" s="1"/>
  <c r="G870" i="1"/>
  <c r="H870" i="1" s="1"/>
  <c r="G869" i="1"/>
  <c r="H869" i="1" s="1"/>
  <c r="G868" i="1"/>
  <c r="H868" i="1" s="1"/>
  <c r="G867" i="1"/>
  <c r="H867" i="1" s="1"/>
  <c r="G866" i="1"/>
  <c r="H866" i="1" s="1"/>
  <c r="G865" i="1"/>
  <c r="H865" i="1" s="1"/>
  <c r="G864" i="1"/>
  <c r="H864" i="1" s="1"/>
  <c r="G863" i="1"/>
  <c r="H863" i="1" s="1"/>
  <c r="G862" i="1"/>
  <c r="H862" i="1" s="1"/>
  <c r="G861" i="1"/>
  <c r="H861" i="1" s="1"/>
  <c r="G860" i="1"/>
  <c r="H860" i="1" s="1"/>
  <c r="G859" i="1"/>
  <c r="H859" i="1" s="1"/>
  <c r="G858" i="1"/>
  <c r="H858" i="1" s="1"/>
  <c r="G857" i="1"/>
  <c r="H857" i="1" s="1"/>
  <c r="G856" i="1"/>
  <c r="H856" i="1" s="1"/>
  <c r="G855" i="1"/>
  <c r="H855" i="1" s="1"/>
  <c r="G854" i="1"/>
  <c r="H854" i="1" s="1"/>
  <c r="G853" i="1"/>
  <c r="H853" i="1" s="1"/>
  <c r="G852" i="1"/>
  <c r="H852" i="1" s="1"/>
  <c r="G851" i="1"/>
  <c r="H851" i="1" s="1"/>
  <c r="G850" i="1"/>
  <c r="H850" i="1" s="1"/>
  <c r="G849" i="1"/>
  <c r="H849" i="1" s="1"/>
  <c r="G848" i="1"/>
  <c r="H848" i="1" s="1"/>
  <c r="G847" i="1"/>
  <c r="H847" i="1" s="1"/>
  <c r="G846" i="1"/>
  <c r="H846" i="1" s="1"/>
  <c r="G845" i="1"/>
  <c r="H845" i="1" s="1"/>
  <c r="G844" i="1"/>
  <c r="H844" i="1" s="1"/>
  <c r="G843" i="1"/>
  <c r="H843" i="1" s="1"/>
  <c r="G842" i="1"/>
  <c r="H842" i="1" s="1"/>
  <c r="G841" i="1"/>
  <c r="H841" i="1" s="1"/>
  <c r="G840" i="1"/>
  <c r="H840" i="1" s="1"/>
  <c r="G839" i="1"/>
  <c r="H839" i="1" s="1"/>
  <c r="G838" i="1"/>
  <c r="H838" i="1" s="1"/>
  <c r="G837" i="1"/>
  <c r="H837" i="1" s="1"/>
  <c r="G836" i="1"/>
  <c r="H836" i="1" s="1"/>
  <c r="G835" i="1"/>
  <c r="H835" i="1" s="1"/>
  <c r="G834" i="1"/>
  <c r="H834" i="1" s="1"/>
  <c r="G833" i="1"/>
  <c r="H833" i="1" s="1"/>
  <c r="G832" i="1"/>
  <c r="H832" i="1" s="1"/>
  <c r="G831" i="1"/>
  <c r="H831" i="1" s="1"/>
  <c r="G830" i="1"/>
  <c r="H830" i="1" s="1"/>
  <c r="G829" i="1"/>
  <c r="H829" i="1" s="1"/>
  <c r="G828" i="1"/>
  <c r="H828" i="1" s="1"/>
  <c r="G827" i="1"/>
  <c r="H827" i="1" s="1"/>
  <c r="G826" i="1"/>
  <c r="H826" i="1" s="1"/>
  <c r="G825" i="1"/>
  <c r="H825" i="1" s="1"/>
  <c r="G824" i="1"/>
  <c r="H824" i="1" s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G814" i="1"/>
  <c r="H814" i="1" s="1"/>
  <c r="G813" i="1"/>
  <c r="H813" i="1" s="1"/>
  <c r="G812" i="1"/>
  <c r="H812" i="1" s="1"/>
  <c r="G811" i="1"/>
  <c r="H811" i="1" s="1"/>
  <c r="G810" i="1"/>
  <c r="H810" i="1" s="1"/>
  <c r="G809" i="1"/>
  <c r="H809" i="1" s="1"/>
  <c r="G808" i="1"/>
  <c r="H808" i="1" s="1"/>
  <c r="G807" i="1"/>
  <c r="H807" i="1" s="1"/>
  <c r="G806" i="1"/>
  <c r="H806" i="1" s="1"/>
  <c r="G805" i="1"/>
  <c r="H805" i="1" s="1"/>
  <c r="G804" i="1"/>
  <c r="H804" i="1" s="1"/>
  <c r="G803" i="1"/>
  <c r="H803" i="1" s="1"/>
  <c r="G802" i="1"/>
  <c r="H802" i="1" s="1"/>
  <c r="G801" i="1"/>
  <c r="H801" i="1" s="1"/>
  <c r="G800" i="1"/>
  <c r="H800" i="1" s="1"/>
  <c r="G799" i="1"/>
  <c r="H799" i="1" s="1"/>
  <c r="G798" i="1"/>
  <c r="H798" i="1" s="1"/>
  <c r="G797" i="1"/>
  <c r="H797" i="1" s="1"/>
  <c r="G796" i="1"/>
  <c r="H796" i="1" s="1"/>
  <c r="G795" i="1"/>
  <c r="H795" i="1" s="1"/>
  <c r="G794" i="1"/>
  <c r="H794" i="1" s="1"/>
  <c r="G793" i="1"/>
  <c r="H793" i="1" s="1"/>
  <c r="G792" i="1"/>
  <c r="H792" i="1" s="1"/>
  <c r="G791" i="1"/>
  <c r="H791" i="1" s="1"/>
  <c r="G790" i="1"/>
  <c r="H790" i="1" s="1"/>
  <c r="G789" i="1"/>
  <c r="H789" i="1" s="1"/>
  <c r="G788" i="1"/>
  <c r="H788" i="1" s="1"/>
  <c r="G787" i="1"/>
  <c r="H787" i="1" s="1"/>
  <c r="G786" i="1"/>
  <c r="H786" i="1" s="1"/>
  <c r="G785" i="1"/>
  <c r="H785" i="1" s="1"/>
  <c r="G784" i="1"/>
  <c r="H784" i="1" s="1"/>
  <c r="G783" i="1"/>
  <c r="H783" i="1" s="1"/>
  <c r="G782" i="1"/>
  <c r="H782" i="1" s="1"/>
  <c r="G781" i="1"/>
  <c r="H781" i="1" s="1"/>
  <c r="G780" i="1"/>
  <c r="H780" i="1" s="1"/>
  <c r="G779" i="1"/>
  <c r="H779" i="1" s="1"/>
  <c r="G778" i="1"/>
  <c r="H778" i="1" s="1"/>
  <c r="G777" i="1"/>
  <c r="H777" i="1" s="1"/>
  <c r="G776" i="1"/>
  <c r="H776" i="1" s="1"/>
  <c r="G775" i="1"/>
  <c r="H775" i="1" s="1"/>
  <c r="G774" i="1"/>
  <c r="H774" i="1" s="1"/>
  <c r="G773" i="1"/>
  <c r="H773" i="1" s="1"/>
  <c r="G772" i="1"/>
  <c r="H772" i="1" s="1"/>
  <c r="G771" i="1"/>
  <c r="H771" i="1" s="1"/>
  <c r="G770" i="1"/>
  <c r="H770" i="1" s="1"/>
  <c r="G769" i="1"/>
  <c r="H769" i="1" s="1"/>
  <c r="G768" i="1"/>
  <c r="H768" i="1" s="1"/>
  <c r="G767" i="1"/>
  <c r="H767" i="1" s="1"/>
  <c r="G766" i="1"/>
  <c r="H766" i="1" s="1"/>
  <c r="G765" i="1"/>
  <c r="H765" i="1" s="1"/>
  <c r="G764" i="1"/>
  <c r="H764" i="1" s="1"/>
  <c r="G763" i="1"/>
  <c r="H763" i="1" s="1"/>
  <c r="G762" i="1"/>
  <c r="H762" i="1" s="1"/>
  <c r="G761" i="1"/>
  <c r="H761" i="1" s="1"/>
  <c r="G760" i="1"/>
  <c r="H760" i="1" s="1"/>
  <c r="G759" i="1"/>
  <c r="H759" i="1" s="1"/>
  <c r="G758" i="1"/>
  <c r="H758" i="1" s="1"/>
  <c r="G757" i="1"/>
  <c r="H757" i="1" s="1"/>
  <c r="G756" i="1"/>
  <c r="H756" i="1" s="1"/>
  <c r="G755" i="1"/>
  <c r="H755" i="1" s="1"/>
  <c r="G754" i="1"/>
  <c r="H754" i="1" s="1"/>
  <c r="G753" i="1"/>
  <c r="H753" i="1" s="1"/>
  <c r="G752" i="1"/>
  <c r="H752" i="1" s="1"/>
  <c r="G751" i="1"/>
  <c r="H751" i="1" s="1"/>
  <c r="G750" i="1"/>
  <c r="H750" i="1" s="1"/>
  <c r="G749" i="1"/>
  <c r="H749" i="1" s="1"/>
  <c r="G748" i="1"/>
  <c r="H748" i="1" s="1"/>
  <c r="G747" i="1"/>
  <c r="H747" i="1" s="1"/>
  <c r="G746" i="1"/>
  <c r="H746" i="1" s="1"/>
  <c r="G745" i="1"/>
  <c r="H745" i="1" s="1"/>
  <c r="G744" i="1"/>
  <c r="H744" i="1" s="1"/>
  <c r="G743" i="1"/>
  <c r="H743" i="1" s="1"/>
  <c r="G742" i="1"/>
  <c r="H742" i="1" s="1"/>
  <c r="G741" i="1"/>
  <c r="H741" i="1" s="1"/>
  <c r="G740" i="1"/>
  <c r="H740" i="1" s="1"/>
  <c r="G739" i="1"/>
  <c r="H739" i="1" s="1"/>
  <c r="G738" i="1"/>
  <c r="H738" i="1" s="1"/>
  <c r="G737" i="1"/>
  <c r="H737" i="1" s="1"/>
  <c r="G736" i="1"/>
  <c r="H736" i="1" s="1"/>
  <c r="G735" i="1"/>
  <c r="H735" i="1" s="1"/>
  <c r="G734" i="1"/>
  <c r="H734" i="1" s="1"/>
  <c r="G733" i="1"/>
  <c r="H733" i="1" s="1"/>
  <c r="G732" i="1"/>
  <c r="H732" i="1" s="1"/>
  <c r="G731" i="1"/>
  <c r="H731" i="1" s="1"/>
  <c r="G730" i="1"/>
  <c r="H730" i="1" s="1"/>
  <c r="G729" i="1"/>
  <c r="H729" i="1" s="1"/>
  <c r="G728" i="1"/>
  <c r="H728" i="1" s="1"/>
  <c r="G727" i="1"/>
  <c r="H727" i="1" s="1"/>
  <c r="G726" i="1"/>
  <c r="H726" i="1" s="1"/>
  <c r="G725" i="1"/>
  <c r="H725" i="1" s="1"/>
  <c r="G724" i="1"/>
  <c r="H724" i="1" s="1"/>
  <c r="G723" i="1"/>
  <c r="H723" i="1" s="1"/>
  <c r="G722" i="1"/>
  <c r="H722" i="1" s="1"/>
  <c r="G721" i="1"/>
  <c r="H721" i="1" s="1"/>
  <c r="G720" i="1"/>
  <c r="H720" i="1" s="1"/>
  <c r="G719" i="1"/>
  <c r="H719" i="1" s="1"/>
  <c r="G718" i="1"/>
  <c r="H718" i="1" s="1"/>
  <c r="G717" i="1"/>
  <c r="H717" i="1" s="1"/>
  <c r="G716" i="1"/>
  <c r="H716" i="1" s="1"/>
  <c r="G715" i="1"/>
  <c r="H715" i="1" s="1"/>
  <c r="G714" i="1"/>
  <c r="H714" i="1" s="1"/>
  <c r="G713" i="1"/>
  <c r="H713" i="1" s="1"/>
  <c r="G712" i="1"/>
  <c r="H712" i="1" s="1"/>
  <c r="G711" i="1"/>
  <c r="H711" i="1" s="1"/>
  <c r="G710" i="1"/>
  <c r="H710" i="1" s="1"/>
  <c r="G709" i="1"/>
  <c r="H709" i="1" s="1"/>
  <c r="G708" i="1"/>
  <c r="H708" i="1" s="1"/>
  <c r="G707" i="1"/>
  <c r="H707" i="1" s="1"/>
  <c r="G706" i="1"/>
  <c r="H706" i="1" s="1"/>
  <c r="G705" i="1"/>
  <c r="H705" i="1" s="1"/>
  <c r="G704" i="1"/>
  <c r="H704" i="1" s="1"/>
  <c r="G703" i="1"/>
  <c r="H703" i="1" s="1"/>
  <c r="G702" i="1"/>
  <c r="H702" i="1" s="1"/>
  <c r="G701" i="1"/>
  <c r="H701" i="1" s="1"/>
  <c r="G700" i="1"/>
  <c r="H700" i="1" s="1"/>
  <c r="G699" i="1"/>
  <c r="H699" i="1" s="1"/>
  <c r="G698" i="1"/>
  <c r="H698" i="1" s="1"/>
  <c r="G697" i="1"/>
  <c r="H697" i="1" s="1"/>
  <c r="G696" i="1"/>
  <c r="H696" i="1" s="1"/>
  <c r="G695" i="1"/>
  <c r="H695" i="1" s="1"/>
  <c r="G694" i="1"/>
  <c r="H694" i="1" s="1"/>
  <c r="G693" i="1"/>
  <c r="H693" i="1" s="1"/>
  <c r="G692" i="1"/>
  <c r="H692" i="1" s="1"/>
  <c r="G691" i="1"/>
  <c r="H691" i="1" s="1"/>
  <c r="G690" i="1"/>
  <c r="H690" i="1" s="1"/>
  <c r="G689" i="1"/>
  <c r="H689" i="1" s="1"/>
  <c r="G688" i="1"/>
  <c r="H688" i="1" s="1"/>
  <c r="G687" i="1"/>
  <c r="H687" i="1" s="1"/>
  <c r="G686" i="1"/>
  <c r="H686" i="1" s="1"/>
  <c r="G685" i="1"/>
  <c r="H685" i="1" s="1"/>
  <c r="G684" i="1"/>
  <c r="H684" i="1" s="1"/>
  <c r="G683" i="1"/>
  <c r="H683" i="1" s="1"/>
  <c r="G682" i="1"/>
  <c r="H682" i="1" s="1"/>
  <c r="G681" i="1"/>
  <c r="H681" i="1" s="1"/>
  <c r="G680" i="1"/>
  <c r="H680" i="1" s="1"/>
  <c r="G679" i="1"/>
  <c r="H679" i="1" s="1"/>
  <c r="G678" i="1"/>
  <c r="H678" i="1" s="1"/>
  <c r="G677" i="1"/>
  <c r="H677" i="1" s="1"/>
  <c r="G676" i="1"/>
  <c r="H676" i="1" s="1"/>
  <c r="G675" i="1"/>
  <c r="H675" i="1" s="1"/>
  <c r="G674" i="1"/>
  <c r="H674" i="1" s="1"/>
  <c r="G673" i="1"/>
  <c r="H673" i="1" s="1"/>
  <c r="G672" i="1"/>
  <c r="H672" i="1" s="1"/>
  <c r="G671" i="1"/>
  <c r="H671" i="1" s="1"/>
  <c r="G670" i="1"/>
  <c r="H670" i="1" s="1"/>
  <c r="G669" i="1"/>
  <c r="H669" i="1" s="1"/>
  <c r="G668" i="1"/>
  <c r="H668" i="1" s="1"/>
  <c r="G667" i="1"/>
  <c r="H667" i="1" s="1"/>
  <c r="G666" i="1"/>
  <c r="H666" i="1" s="1"/>
  <c r="G665" i="1"/>
  <c r="H665" i="1" s="1"/>
  <c r="G664" i="1"/>
  <c r="H664" i="1" s="1"/>
  <c r="G663" i="1"/>
  <c r="H663" i="1" s="1"/>
  <c r="G662" i="1"/>
  <c r="H662" i="1" s="1"/>
  <c r="G661" i="1"/>
  <c r="H661" i="1" s="1"/>
  <c r="G660" i="1"/>
  <c r="H660" i="1" s="1"/>
  <c r="G659" i="1"/>
  <c r="H659" i="1" s="1"/>
  <c r="G658" i="1"/>
  <c r="H658" i="1" s="1"/>
  <c r="G657" i="1"/>
  <c r="H657" i="1" s="1"/>
  <c r="G656" i="1"/>
  <c r="H656" i="1" s="1"/>
  <c r="G655" i="1"/>
  <c r="H655" i="1" s="1"/>
  <c r="G654" i="1"/>
  <c r="H654" i="1" s="1"/>
  <c r="G653" i="1"/>
  <c r="H653" i="1" s="1"/>
  <c r="G652" i="1"/>
  <c r="H652" i="1" s="1"/>
  <c r="G651" i="1"/>
  <c r="H651" i="1" s="1"/>
  <c r="G650" i="1"/>
  <c r="H650" i="1" s="1"/>
  <c r="G649" i="1"/>
  <c r="H649" i="1" s="1"/>
  <c r="G648" i="1"/>
  <c r="H648" i="1" s="1"/>
  <c r="G647" i="1"/>
  <c r="H647" i="1" s="1"/>
  <c r="G646" i="1"/>
  <c r="H646" i="1" s="1"/>
  <c r="G645" i="1"/>
  <c r="H645" i="1" s="1"/>
  <c r="G644" i="1"/>
  <c r="H644" i="1" s="1"/>
  <c r="G643" i="1"/>
  <c r="H643" i="1" s="1"/>
  <c r="G642" i="1"/>
  <c r="H642" i="1" s="1"/>
  <c r="G641" i="1"/>
  <c r="H641" i="1" s="1"/>
  <c r="G640" i="1"/>
  <c r="H640" i="1" s="1"/>
  <c r="G639" i="1"/>
  <c r="H639" i="1" s="1"/>
  <c r="G638" i="1"/>
  <c r="H638" i="1" s="1"/>
  <c r="G637" i="1"/>
  <c r="H637" i="1" s="1"/>
  <c r="G636" i="1"/>
  <c r="H636" i="1" s="1"/>
  <c r="G635" i="1"/>
  <c r="H635" i="1" s="1"/>
  <c r="G634" i="1"/>
  <c r="H634" i="1" s="1"/>
  <c r="G633" i="1"/>
  <c r="H633" i="1" s="1"/>
  <c r="G632" i="1"/>
  <c r="H632" i="1" s="1"/>
  <c r="G631" i="1"/>
  <c r="H631" i="1" s="1"/>
  <c r="G630" i="1"/>
  <c r="H630" i="1" s="1"/>
  <c r="G629" i="1"/>
  <c r="H629" i="1" s="1"/>
  <c r="G628" i="1"/>
  <c r="H628" i="1" s="1"/>
  <c r="G627" i="1"/>
  <c r="H627" i="1" s="1"/>
  <c r="G626" i="1"/>
  <c r="H626" i="1" s="1"/>
  <c r="G625" i="1"/>
  <c r="H625" i="1" s="1"/>
  <c r="G624" i="1"/>
  <c r="H624" i="1" s="1"/>
  <c r="G623" i="1"/>
  <c r="H623" i="1" s="1"/>
  <c r="G622" i="1"/>
  <c r="H622" i="1" s="1"/>
  <c r="G621" i="1"/>
  <c r="H621" i="1" s="1"/>
  <c r="G620" i="1"/>
  <c r="H620" i="1" s="1"/>
  <c r="G619" i="1"/>
  <c r="H619" i="1" s="1"/>
  <c r="G618" i="1"/>
  <c r="H618" i="1" s="1"/>
  <c r="G617" i="1"/>
  <c r="H617" i="1" s="1"/>
  <c r="G616" i="1"/>
  <c r="H616" i="1" s="1"/>
  <c r="G615" i="1"/>
  <c r="H615" i="1" s="1"/>
  <c r="G614" i="1"/>
  <c r="H614" i="1" s="1"/>
  <c r="G613" i="1"/>
  <c r="H613" i="1" s="1"/>
  <c r="G612" i="1"/>
  <c r="H612" i="1" s="1"/>
  <c r="G611" i="1"/>
  <c r="H611" i="1" s="1"/>
  <c r="G610" i="1"/>
  <c r="H610" i="1" s="1"/>
  <c r="G609" i="1"/>
  <c r="H609" i="1" s="1"/>
  <c r="G608" i="1"/>
  <c r="H608" i="1" s="1"/>
  <c r="G607" i="1"/>
  <c r="H607" i="1" s="1"/>
  <c r="G606" i="1"/>
  <c r="H606" i="1" s="1"/>
  <c r="G605" i="1"/>
  <c r="H605" i="1" s="1"/>
  <c r="G604" i="1"/>
  <c r="H604" i="1" s="1"/>
  <c r="G603" i="1"/>
  <c r="H603" i="1" s="1"/>
  <c r="G602" i="1"/>
  <c r="H602" i="1" s="1"/>
  <c r="G601" i="1"/>
  <c r="H601" i="1" s="1"/>
  <c r="G600" i="1"/>
  <c r="H600" i="1" s="1"/>
  <c r="G599" i="1"/>
  <c r="H599" i="1" s="1"/>
  <c r="G598" i="1"/>
  <c r="H598" i="1" s="1"/>
  <c r="G597" i="1"/>
  <c r="H597" i="1" s="1"/>
  <c r="G596" i="1"/>
  <c r="H596" i="1" s="1"/>
  <c r="G595" i="1"/>
  <c r="H595" i="1" s="1"/>
  <c r="G594" i="1"/>
  <c r="H594" i="1" s="1"/>
  <c r="G593" i="1"/>
  <c r="H593" i="1" s="1"/>
  <c r="G592" i="1"/>
  <c r="H592" i="1" s="1"/>
  <c r="G591" i="1"/>
  <c r="H591" i="1" s="1"/>
  <c r="G590" i="1"/>
  <c r="H590" i="1" s="1"/>
  <c r="G589" i="1"/>
  <c r="H589" i="1" s="1"/>
  <c r="G588" i="1"/>
  <c r="H588" i="1" s="1"/>
  <c r="G587" i="1"/>
  <c r="H587" i="1" s="1"/>
  <c r="G586" i="1"/>
  <c r="H586" i="1" s="1"/>
  <c r="G585" i="1"/>
  <c r="H585" i="1" s="1"/>
  <c r="G584" i="1"/>
  <c r="H584" i="1" s="1"/>
  <c r="G583" i="1"/>
  <c r="H583" i="1" s="1"/>
  <c r="G582" i="1"/>
  <c r="H582" i="1" s="1"/>
  <c r="G581" i="1"/>
  <c r="H581" i="1" s="1"/>
  <c r="G580" i="1"/>
  <c r="H580" i="1" s="1"/>
  <c r="G579" i="1"/>
  <c r="H579" i="1" s="1"/>
  <c r="G578" i="1"/>
  <c r="H578" i="1" s="1"/>
  <c r="G577" i="1"/>
  <c r="H577" i="1" s="1"/>
  <c r="G576" i="1"/>
  <c r="H576" i="1" s="1"/>
  <c r="G575" i="1"/>
  <c r="H575" i="1" s="1"/>
  <c r="G574" i="1"/>
  <c r="H574" i="1" s="1"/>
  <c r="G573" i="1"/>
  <c r="H573" i="1" s="1"/>
  <c r="G572" i="1"/>
  <c r="H572" i="1" s="1"/>
  <c r="G571" i="1"/>
  <c r="H571" i="1" s="1"/>
  <c r="G570" i="1"/>
  <c r="H570" i="1" s="1"/>
  <c r="G569" i="1"/>
  <c r="H569" i="1" s="1"/>
  <c r="G568" i="1"/>
  <c r="H568" i="1" s="1"/>
  <c r="G567" i="1"/>
  <c r="H567" i="1" s="1"/>
  <c r="G566" i="1"/>
  <c r="H566" i="1" s="1"/>
  <c r="G565" i="1"/>
  <c r="H565" i="1" s="1"/>
  <c r="G564" i="1"/>
  <c r="H564" i="1" s="1"/>
  <c r="G563" i="1"/>
  <c r="H563" i="1" s="1"/>
  <c r="G562" i="1"/>
  <c r="H562" i="1" s="1"/>
  <c r="G561" i="1"/>
  <c r="H561" i="1" s="1"/>
  <c r="G560" i="1"/>
  <c r="H560" i="1" s="1"/>
  <c r="G559" i="1"/>
  <c r="H559" i="1" s="1"/>
  <c r="G558" i="1"/>
  <c r="H558" i="1" s="1"/>
  <c r="G557" i="1"/>
  <c r="H557" i="1" s="1"/>
  <c r="G556" i="1"/>
  <c r="H556" i="1" s="1"/>
  <c r="G555" i="1"/>
  <c r="H555" i="1" s="1"/>
  <c r="G554" i="1"/>
  <c r="H554" i="1" s="1"/>
  <c r="G553" i="1"/>
  <c r="H553" i="1" s="1"/>
  <c r="G552" i="1"/>
  <c r="H552" i="1" s="1"/>
  <c r="G551" i="1"/>
  <c r="H551" i="1" s="1"/>
  <c r="G550" i="1"/>
  <c r="H550" i="1" s="1"/>
  <c r="G549" i="1"/>
  <c r="H549" i="1" s="1"/>
  <c r="G548" i="1"/>
  <c r="H548" i="1" s="1"/>
  <c r="G547" i="1"/>
  <c r="H547" i="1" s="1"/>
  <c r="G546" i="1"/>
  <c r="H546" i="1" s="1"/>
  <c r="G545" i="1"/>
  <c r="H545" i="1" s="1"/>
  <c r="G544" i="1"/>
  <c r="H544" i="1" s="1"/>
  <c r="G543" i="1"/>
  <c r="H543" i="1" s="1"/>
  <c r="G542" i="1"/>
  <c r="H542" i="1" s="1"/>
  <c r="G541" i="1"/>
  <c r="H541" i="1" s="1"/>
  <c r="G540" i="1"/>
  <c r="H540" i="1" s="1"/>
  <c r="G539" i="1"/>
  <c r="H539" i="1" s="1"/>
  <c r="G538" i="1"/>
  <c r="H538" i="1" s="1"/>
  <c r="G537" i="1"/>
  <c r="H537" i="1" s="1"/>
  <c r="G536" i="1"/>
  <c r="H536" i="1" s="1"/>
  <c r="G535" i="1"/>
  <c r="H535" i="1" s="1"/>
  <c r="G534" i="1"/>
  <c r="H534" i="1" s="1"/>
  <c r="G533" i="1"/>
  <c r="H533" i="1" s="1"/>
  <c r="G532" i="1"/>
  <c r="H532" i="1" s="1"/>
  <c r="G531" i="1"/>
  <c r="H531" i="1" s="1"/>
  <c r="G530" i="1"/>
  <c r="H530" i="1" s="1"/>
  <c r="G529" i="1"/>
  <c r="H529" i="1" s="1"/>
  <c r="G528" i="1"/>
  <c r="H528" i="1" s="1"/>
  <c r="G527" i="1"/>
  <c r="H527" i="1" s="1"/>
  <c r="G526" i="1"/>
  <c r="H526" i="1" s="1"/>
  <c r="G525" i="1"/>
  <c r="H525" i="1" s="1"/>
  <c r="G524" i="1"/>
  <c r="H524" i="1" s="1"/>
  <c r="G523" i="1"/>
  <c r="H523" i="1" s="1"/>
  <c r="G522" i="1"/>
  <c r="H522" i="1" s="1"/>
  <c r="G521" i="1"/>
  <c r="H521" i="1" s="1"/>
  <c r="G520" i="1"/>
  <c r="H520" i="1" s="1"/>
  <c r="G519" i="1"/>
  <c r="H519" i="1" s="1"/>
  <c r="G518" i="1"/>
  <c r="H518" i="1" s="1"/>
  <c r="G517" i="1"/>
  <c r="H517" i="1" s="1"/>
  <c r="G516" i="1"/>
  <c r="H516" i="1" s="1"/>
  <c r="G515" i="1"/>
  <c r="H515" i="1" s="1"/>
  <c r="G514" i="1"/>
  <c r="H514" i="1" s="1"/>
  <c r="G513" i="1"/>
  <c r="H513" i="1" s="1"/>
  <c r="G512" i="1"/>
  <c r="H512" i="1" s="1"/>
  <c r="G511" i="1"/>
  <c r="H511" i="1" s="1"/>
  <c r="G510" i="1"/>
  <c r="H510" i="1" s="1"/>
  <c r="G509" i="1"/>
  <c r="H509" i="1" s="1"/>
  <c r="G508" i="1"/>
  <c r="H508" i="1" s="1"/>
  <c r="G507" i="1"/>
  <c r="H507" i="1" s="1"/>
  <c r="G506" i="1"/>
  <c r="H506" i="1" s="1"/>
  <c r="G505" i="1"/>
  <c r="H505" i="1" s="1"/>
  <c r="G504" i="1"/>
  <c r="H504" i="1" s="1"/>
  <c r="G503" i="1"/>
  <c r="H503" i="1" s="1"/>
  <c r="G502" i="1"/>
  <c r="H502" i="1" s="1"/>
  <c r="G501" i="1"/>
  <c r="H501" i="1" s="1"/>
  <c r="G500" i="1"/>
  <c r="H500" i="1" s="1"/>
  <c r="G499" i="1"/>
  <c r="H499" i="1" s="1"/>
  <c r="G498" i="1"/>
  <c r="H498" i="1" s="1"/>
  <c r="G497" i="1"/>
  <c r="H497" i="1" s="1"/>
  <c r="G496" i="1"/>
  <c r="H496" i="1" s="1"/>
  <c r="G495" i="1"/>
  <c r="H495" i="1" s="1"/>
  <c r="G494" i="1"/>
  <c r="H494" i="1" s="1"/>
  <c r="G493" i="1"/>
  <c r="H493" i="1" s="1"/>
  <c r="G492" i="1"/>
  <c r="H492" i="1" s="1"/>
  <c r="G491" i="1"/>
  <c r="H491" i="1" s="1"/>
  <c r="G490" i="1"/>
  <c r="H490" i="1" s="1"/>
  <c r="G489" i="1"/>
  <c r="H489" i="1" s="1"/>
  <c r="G488" i="1"/>
  <c r="H488" i="1" s="1"/>
  <c r="G487" i="1"/>
  <c r="H487" i="1" s="1"/>
  <c r="G486" i="1"/>
  <c r="H486" i="1" s="1"/>
  <c r="G485" i="1"/>
  <c r="H485" i="1" s="1"/>
  <c r="G484" i="1"/>
  <c r="H484" i="1" s="1"/>
  <c r="G483" i="1"/>
  <c r="H483" i="1" s="1"/>
  <c r="G482" i="1"/>
  <c r="H482" i="1" s="1"/>
  <c r="G481" i="1"/>
  <c r="H481" i="1" s="1"/>
  <c r="G480" i="1"/>
  <c r="H480" i="1" s="1"/>
  <c r="G479" i="1"/>
  <c r="H479" i="1" s="1"/>
  <c r="G478" i="1"/>
  <c r="H478" i="1" s="1"/>
  <c r="G477" i="1"/>
  <c r="H477" i="1" s="1"/>
  <c r="G476" i="1"/>
  <c r="H476" i="1" s="1"/>
  <c r="G475" i="1"/>
  <c r="H475" i="1" s="1"/>
  <c r="G474" i="1"/>
  <c r="H474" i="1" s="1"/>
  <c r="G473" i="1"/>
  <c r="H473" i="1" s="1"/>
  <c r="G472" i="1"/>
  <c r="H472" i="1" s="1"/>
  <c r="G471" i="1"/>
  <c r="H471" i="1" s="1"/>
  <c r="G470" i="1"/>
  <c r="H470" i="1" s="1"/>
  <c r="G469" i="1"/>
  <c r="H469" i="1" s="1"/>
  <c r="G468" i="1"/>
  <c r="H468" i="1" s="1"/>
  <c r="G467" i="1"/>
  <c r="H467" i="1" s="1"/>
  <c r="G466" i="1"/>
  <c r="H466" i="1" s="1"/>
  <c r="G465" i="1"/>
  <c r="H465" i="1" s="1"/>
  <c r="G464" i="1"/>
  <c r="H464" i="1" s="1"/>
  <c r="G463" i="1"/>
  <c r="H463" i="1" s="1"/>
  <c r="G462" i="1"/>
  <c r="H462" i="1" s="1"/>
  <c r="G461" i="1"/>
  <c r="H461" i="1" s="1"/>
  <c r="G460" i="1"/>
  <c r="H460" i="1" s="1"/>
  <c r="G459" i="1"/>
  <c r="H459" i="1" s="1"/>
  <c r="G458" i="1"/>
  <c r="H458" i="1" s="1"/>
  <c r="G457" i="1"/>
  <c r="H457" i="1" s="1"/>
  <c r="G456" i="1"/>
  <c r="H456" i="1" s="1"/>
  <c r="G455" i="1"/>
  <c r="H455" i="1" s="1"/>
  <c r="G454" i="1"/>
  <c r="H454" i="1" s="1"/>
  <c r="G453" i="1"/>
  <c r="H453" i="1" s="1"/>
  <c r="G452" i="1"/>
  <c r="H452" i="1" s="1"/>
  <c r="G451" i="1"/>
  <c r="H451" i="1" s="1"/>
  <c r="G450" i="1"/>
  <c r="H450" i="1" s="1"/>
  <c r="G449" i="1"/>
  <c r="H449" i="1" s="1"/>
  <c r="G448" i="1"/>
  <c r="H448" i="1" s="1"/>
  <c r="G447" i="1"/>
  <c r="H447" i="1" s="1"/>
  <c r="G446" i="1"/>
  <c r="H446" i="1" s="1"/>
  <c r="G445" i="1"/>
  <c r="H445" i="1" s="1"/>
  <c r="G444" i="1"/>
  <c r="H444" i="1" s="1"/>
  <c r="G443" i="1"/>
  <c r="H443" i="1" s="1"/>
  <c r="G442" i="1"/>
  <c r="H442" i="1" s="1"/>
  <c r="G441" i="1"/>
  <c r="H441" i="1" s="1"/>
  <c r="G440" i="1"/>
  <c r="H440" i="1" s="1"/>
  <c r="G439" i="1"/>
  <c r="H439" i="1" s="1"/>
  <c r="G438" i="1"/>
  <c r="H438" i="1" s="1"/>
  <c r="G437" i="1"/>
  <c r="H437" i="1" s="1"/>
  <c r="G436" i="1"/>
  <c r="H436" i="1" s="1"/>
  <c r="G435" i="1"/>
  <c r="H435" i="1" s="1"/>
  <c r="G434" i="1"/>
  <c r="H434" i="1" s="1"/>
  <c r="G433" i="1"/>
  <c r="H433" i="1" s="1"/>
  <c r="G432" i="1"/>
  <c r="H432" i="1" s="1"/>
  <c r="G431" i="1"/>
  <c r="H431" i="1" s="1"/>
  <c r="G430" i="1"/>
  <c r="H430" i="1" s="1"/>
  <c r="G429" i="1"/>
  <c r="H429" i="1" s="1"/>
  <c r="G428" i="1"/>
  <c r="H428" i="1" s="1"/>
  <c r="G427" i="1"/>
  <c r="H427" i="1" s="1"/>
  <c r="G426" i="1"/>
  <c r="H426" i="1" s="1"/>
  <c r="G425" i="1"/>
  <c r="H425" i="1" s="1"/>
  <c r="G424" i="1"/>
  <c r="H424" i="1" s="1"/>
  <c r="G423" i="1"/>
  <c r="H423" i="1" s="1"/>
  <c r="G422" i="1"/>
  <c r="H422" i="1" s="1"/>
  <c r="G421" i="1"/>
  <c r="H421" i="1" s="1"/>
  <c r="G420" i="1"/>
  <c r="H420" i="1" s="1"/>
  <c r="G419" i="1"/>
  <c r="H419" i="1" s="1"/>
  <c r="G418" i="1"/>
  <c r="H418" i="1" s="1"/>
  <c r="G417" i="1"/>
  <c r="H417" i="1" s="1"/>
  <c r="G416" i="1"/>
  <c r="H416" i="1" s="1"/>
  <c r="G415" i="1"/>
  <c r="H415" i="1" s="1"/>
  <c r="G414" i="1"/>
  <c r="H414" i="1" s="1"/>
  <c r="G413" i="1"/>
  <c r="H413" i="1" s="1"/>
  <c r="G412" i="1"/>
  <c r="H412" i="1" s="1"/>
  <c r="G411" i="1"/>
  <c r="H411" i="1" s="1"/>
  <c r="G410" i="1"/>
  <c r="H410" i="1" s="1"/>
  <c r="G409" i="1"/>
  <c r="H409" i="1" s="1"/>
  <c r="G408" i="1"/>
  <c r="H408" i="1" s="1"/>
  <c r="G407" i="1"/>
  <c r="H407" i="1" s="1"/>
  <c r="G406" i="1"/>
  <c r="H406" i="1" s="1"/>
  <c r="G405" i="1"/>
  <c r="H405" i="1" s="1"/>
  <c r="G404" i="1"/>
  <c r="H404" i="1" s="1"/>
  <c r="G403" i="1"/>
  <c r="H403" i="1" s="1"/>
  <c r="G402" i="1"/>
  <c r="H402" i="1" s="1"/>
  <c r="G401" i="1"/>
  <c r="H401" i="1" s="1"/>
  <c r="G400" i="1"/>
  <c r="H400" i="1" s="1"/>
  <c r="G399" i="1"/>
  <c r="H399" i="1" s="1"/>
  <c r="G398" i="1"/>
  <c r="H398" i="1" s="1"/>
  <c r="G397" i="1"/>
  <c r="H397" i="1" s="1"/>
  <c r="G396" i="1"/>
  <c r="H396" i="1" s="1"/>
  <c r="G395" i="1"/>
  <c r="H395" i="1" s="1"/>
  <c r="G394" i="1"/>
  <c r="H394" i="1" s="1"/>
  <c r="G393" i="1"/>
  <c r="H393" i="1" s="1"/>
  <c r="G392" i="1"/>
  <c r="H392" i="1" s="1"/>
  <c r="G391" i="1"/>
  <c r="H391" i="1" s="1"/>
  <c r="G390" i="1"/>
  <c r="H390" i="1" s="1"/>
  <c r="G389" i="1"/>
  <c r="H389" i="1" s="1"/>
  <c r="G388" i="1"/>
  <c r="H388" i="1" s="1"/>
  <c r="G387" i="1"/>
  <c r="H387" i="1" s="1"/>
  <c r="G386" i="1"/>
  <c r="H386" i="1" s="1"/>
  <c r="G385" i="1"/>
  <c r="H385" i="1" s="1"/>
  <c r="G384" i="1"/>
  <c r="H384" i="1" s="1"/>
  <c r="G383" i="1"/>
  <c r="H383" i="1" s="1"/>
  <c r="G382" i="1"/>
  <c r="H382" i="1" s="1"/>
  <c r="G381" i="1"/>
  <c r="H381" i="1" s="1"/>
  <c r="G380" i="1"/>
  <c r="H380" i="1" s="1"/>
  <c r="G379" i="1"/>
  <c r="H379" i="1" s="1"/>
  <c r="G378" i="1"/>
  <c r="H378" i="1" s="1"/>
  <c r="G377" i="1"/>
  <c r="H377" i="1" s="1"/>
  <c r="G376" i="1"/>
  <c r="H376" i="1" s="1"/>
  <c r="G375" i="1"/>
  <c r="H375" i="1" s="1"/>
  <c r="G374" i="1"/>
  <c r="H374" i="1" s="1"/>
  <c r="G373" i="1"/>
  <c r="H373" i="1" s="1"/>
  <c r="G372" i="1"/>
  <c r="H372" i="1" s="1"/>
  <c r="G371" i="1"/>
  <c r="H371" i="1" s="1"/>
  <c r="G370" i="1"/>
  <c r="H370" i="1" s="1"/>
  <c r="G369" i="1"/>
  <c r="H369" i="1" s="1"/>
  <c r="G368" i="1"/>
  <c r="H368" i="1" s="1"/>
  <c r="G367" i="1"/>
  <c r="H367" i="1" s="1"/>
  <c r="G366" i="1"/>
  <c r="H366" i="1" s="1"/>
  <c r="G365" i="1"/>
  <c r="H365" i="1" s="1"/>
  <c r="G364" i="1"/>
  <c r="H364" i="1" s="1"/>
  <c r="G363" i="1"/>
  <c r="H363" i="1" s="1"/>
  <c r="G362" i="1"/>
  <c r="H362" i="1" s="1"/>
  <c r="G361" i="1"/>
  <c r="H361" i="1" s="1"/>
  <c r="G360" i="1"/>
  <c r="H360" i="1" s="1"/>
  <c r="G359" i="1"/>
  <c r="H359" i="1" s="1"/>
  <c r="G358" i="1"/>
  <c r="H358" i="1" s="1"/>
  <c r="G357" i="1"/>
  <c r="H357" i="1" s="1"/>
  <c r="G356" i="1"/>
  <c r="H356" i="1" s="1"/>
  <c r="G355" i="1"/>
  <c r="H355" i="1" s="1"/>
  <c r="G354" i="1"/>
  <c r="H354" i="1" s="1"/>
  <c r="G353" i="1"/>
  <c r="H353" i="1" s="1"/>
  <c r="G352" i="1"/>
  <c r="H352" i="1" s="1"/>
  <c r="G351" i="1"/>
  <c r="H351" i="1" s="1"/>
  <c r="G350" i="1"/>
  <c r="H350" i="1" s="1"/>
  <c r="G349" i="1"/>
  <c r="H349" i="1" s="1"/>
  <c r="G348" i="1"/>
  <c r="H348" i="1" s="1"/>
  <c r="G347" i="1"/>
  <c r="H347" i="1" s="1"/>
  <c r="G346" i="1"/>
  <c r="H346" i="1" s="1"/>
  <c r="G345" i="1"/>
  <c r="H345" i="1" s="1"/>
  <c r="G344" i="1"/>
  <c r="H344" i="1" s="1"/>
  <c r="G343" i="1"/>
  <c r="H343" i="1" s="1"/>
  <c r="G342" i="1"/>
  <c r="H342" i="1" s="1"/>
  <c r="G341" i="1"/>
  <c r="H341" i="1" s="1"/>
  <c r="G340" i="1"/>
  <c r="H340" i="1" s="1"/>
  <c r="G339" i="1"/>
  <c r="H339" i="1" s="1"/>
  <c r="G338" i="1"/>
  <c r="H338" i="1" s="1"/>
  <c r="G337" i="1"/>
  <c r="H337" i="1" s="1"/>
  <c r="G336" i="1"/>
  <c r="H336" i="1" s="1"/>
  <c r="G335" i="1"/>
  <c r="H335" i="1" s="1"/>
  <c r="G334" i="1"/>
  <c r="H334" i="1" s="1"/>
  <c r="G333" i="1"/>
  <c r="H333" i="1" s="1"/>
  <c r="G332" i="1"/>
  <c r="H332" i="1" s="1"/>
  <c r="G331" i="1"/>
  <c r="H331" i="1" s="1"/>
  <c r="G330" i="1"/>
  <c r="H330" i="1" s="1"/>
  <c r="G329" i="1"/>
  <c r="H329" i="1" s="1"/>
  <c r="G328" i="1"/>
  <c r="H328" i="1" s="1"/>
  <c r="G327" i="1"/>
  <c r="H327" i="1" s="1"/>
  <c r="G326" i="1"/>
  <c r="H326" i="1" s="1"/>
  <c r="G325" i="1"/>
  <c r="H325" i="1" s="1"/>
  <c r="G324" i="1"/>
  <c r="H324" i="1" s="1"/>
  <c r="G323" i="1"/>
  <c r="H323" i="1" s="1"/>
  <c r="G322" i="1"/>
  <c r="H322" i="1" s="1"/>
  <c r="G321" i="1"/>
  <c r="H321" i="1" s="1"/>
  <c r="G320" i="1"/>
  <c r="H320" i="1" s="1"/>
  <c r="G319" i="1"/>
  <c r="H319" i="1" s="1"/>
  <c r="G318" i="1"/>
  <c r="H318" i="1" s="1"/>
  <c r="G317" i="1"/>
  <c r="H317" i="1" s="1"/>
  <c r="G316" i="1"/>
  <c r="H316" i="1" s="1"/>
  <c r="G315" i="1"/>
  <c r="H315" i="1" s="1"/>
  <c r="G314" i="1"/>
  <c r="H314" i="1" s="1"/>
  <c r="G313" i="1"/>
  <c r="H313" i="1" s="1"/>
  <c r="G312" i="1"/>
  <c r="H312" i="1" s="1"/>
  <c r="G311" i="1"/>
  <c r="H311" i="1" s="1"/>
  <c r="G310" i="1"/>
  <c r="H310" i="1" s="1"/>
  <c r="G309" i="1"/>
  <c r="H309" i="1" s="1"/>
  <c r="G308" i="1"/>
  <c r="H308" i="1" s="1"/>
  <c r="G307" i="1"/>
  <c r="H307" i="1" s="1"/>
  <c r="G306" i="1"/>
  <c r="H306" i="1" s="1"/>
  <c r="G305" i="1"/>
  <c r="H305" i="1" s="1"/>
  <c r="G304" i="1"/>
  <c r="H304" i="1" s="1"/>
  <c r="G303" i="1"/>
  <c r="H303" i="1" s="1"/>
  <c r="G302" i="1"/>
  <c r="H302" i="1" s="1"/>
  <c r="G301" i="1"/>
  <c r="H301" i="1" s="1"/>
  <c r="G300" i="1"/>
  <c r="H300" i="1" s="1"/>
  <c r="G299" i="1"/>
  <c r="H299" i="1" s="1"/>
  <c r="G298" i="1"/>
  <c r="H298" i="1" s="1"/>
  <c r="G297" i="1"/>
  <c r="H297" i="1" s="1"/>
  <c r="G296" i="1"/>
  <c r="H296" i="1" s="1"/>
  <c r="G295" i="1"/>
  <c r="H295" i="1" s="1"/>
  <c r="G294" i="1"/>
  <c r="H294" i="1" s="1"/>
  <c r="G293" i="1"/>
  <c r="H293" i="1" s="1"/>
  <c r="G292" i="1"/>
  <c r="H292" i="1" s="1"/>
  <c r="G291" i="1"/>
  <c r="H291" i="1" s="1"/>
  <c r="G290" i="1"/>
  <c r="H290" i="1" s="1"/>
  <c r="G289" i="1"/>
  <c r="H289" i="1" s="1"/>
  <c r="G288" i="1"/>
  <c r="H288" i="1" s="1"/>
  <c r="G287" i="1"/>
  <c r="H287" i="1" s="1"/>
  <c r="G286" i="1"/>
  <c r="H286" i="1" s="1"/>
  <c r="G285" i="1"/>
  <c r="H285" i="1" s="1"/>
  <c r="G284" i="1"/>
  <c r="H284" i="1" s="1"/>
  <c r="G283" i="1"/>
  <c r="H283" i="1" s="1"/>
  <c r="G282" i="1"/>
  <c r="H282" i="1" s="1"/>
  <c r="G281" i="1"/>
  <c r="H281" i="1" s="1"/>
  <c r="G280" i="1"/>
  <c r="H280" i="1" s="1"/>
  <c r="G279" i="1"/>
  <c r="H279" i="1" s="1"/>
  <c r="G278" i="1"/>
  <c r="H278" i="1" s="1"/>
  <c r="G277" i="1"/>
  <c r="H277" i="1" s="1"/>
  <c r="G276" i="1"/>
  <c r="H276" i="1" s="1"/>
  <c r="G275" i="1"/>
  <c r="H275" i="1" s="1"/>
  <c r="G274" i="1"/>
  <c r="H274" i="1" s="1"/>
  <c r="G273" i="1"/>
  <c r="H273" i="1" s="1"/>
  <c r="G272" i="1"/>
  <c r="H272" i="1" s="1"/>
  <c r="G271" i="1"/>
  <c r="H271" i="1" s="1"/>
  <c r="G270" i="1"/>
  <c r="H270" i="1" s="1"/>
  <c r="G269" i="1"/>
  <c r="H269" i="1" s="1"/>
  <c r="G268" i="1"/>
  <c r="H268" i="1" s="1"/>
  <c r="G267" i="1"/>
  <c r="H267" i="1" s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7" i="1"/>
  <c r="H257" i="1" s="1"/>
  <c r="G256" i="1"/>
  <c r="H256" i="1" s="1"/>
  <c r="G255" i="1"/>
  <c r="H255" i="1" s="1"/>
  <c r="G254" i="1"/>
  <c r="H254" i="1" s="1"/>
  <c r="G253" i="1"/>
  <c r="H253" i="1" s="1"/>
  <c r="G252" i="1"/>
  <c r="H252" i="1" s="1"/>
  <c r="G251" i="1"/>
  <c r="H251" i="1" s="1"/>
  <c r="G250" i="1"/>
  <c r="H250" i="1" s="1"/>
  <c r="G249" i="1"/>
  <c r="H249" i="1" s="1"/>
  <c r="G248" i="1"/>
  <c r="H248" i="1" s="1"/>
  <c r="G247" i="1"/>
  <c r="H247" i="1" s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5" i="1"/>
  <c r="H235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H216" i="1" s="1"/>
  <c r="G215" i="1"/>
  <c r="H215" i="1" s="1"/>
  <c r="G214" i="1"/>
  <c r="H214" i="1" s="1"/>
  <c r="G213" i="1"/>
  <c r="H213" i="1" s="1"/>
  <c r="G212" i="1"/>
  <c r="H212" i="1" s="1"/>
  <c r="G211" i="1"/>
  <c r="H211" i="1" s="1"/>
  <c r="G210" i="1"/>
  <c r="H210" i="1" s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Q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H1074" i="2" l="1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AN965" i="2"/>
  <c r="AN966" i="2"/>
  <c r="AN967" i="2"/>
  <c r="AN968" i="2"/>
  <c r="AN969" i="2"/>
  <c r="AN970" i="2"/>
  <c r="AN971" i="2"/>
  <c r="AN972" i="2"/>
  <c r="AN973" i="2"/>
  <c r="AN974" i="2"/>
  <c r="AN975" i="2"/>
  <c r="AN976" i="2"/>
  <c r="AN977" i="2"/>
  <c r="AN978" i="2"/>
  <c r="AN979" i="2"/>
  <c r="AN980" i="2"/>
  <c r="AN981" i="2"/>
  <c r="AN982" i="2"/>
  <c r="AN983" i="2"/>
  <c r="AN984" i="2"/>
  <c r="AN985" i="2"/>
  <c r="AN986" i="2"/>
  <c r="AN987" i="2"/>
  <c r="AN988" i="2"/>
  <c r="AN989" i="2"/>
  <c r="AN990" i="2"/>
  <c r="AN991" i="2"/>
  <c r="AN992" i="2"/>
  <c r="AN993" i="2"/>
  <c r="AN994" i="2"/>
  <c r="AN995" i="2"/>
  <c r="AN996" i="2"/>
  <c r="AN997" i="2"/>
  <c r="AN998" i="2"/>
  <c r="AN999" i="2"/>
  <c r="AN1000" i="2"/>
  <c r="AN1001" i="2"/>
  <c r="AN1002" i="2"/>
  <c r="AN1003" i="2"/>
  <c r="AN1004" i="2"/>
  <c r="AN1005" i="2"/>
  <c r="AN1006" i="2"/>
  <c r="AN1007" i="2"/>
  <c r="AN1008" i="2"/>
  <c r="AN1009" i="2"/>
  <c r="AN1010" i="2"/>
  <c r="AN1011" i="2"/>
  <c r="AN1012" i="2"/>
  <c r="AN1013" i="2"/>
  <c r="AN1014" i="2"/>
  <c r="AN1015" i="2"/>
  <c r="AN1016" i="2"/>
  <c r="AN1017" i="2"/>
  <c r="AN1018" i="2"/>
  <c r="AN1019" i="2"/>
  <c r="AN1020" i="2"/>
  <c r="AN1021" i="2"/>
  <c r="AN1022" i="2"/>
  <c r="AN1023" i="2"/>
  <c r="AN1024" i="2"/>
  <c r="AN1025" i="2"/>
  <c r="AN1026" i="2"/>
  <c r="AN1027" i="2"/>
  <c r="AN1028" i="2"/>
  <c r="AN1029" i="2"/>
  <c r="AN1030" i="2"/>
  <c r="AN1031" i="2"/>
  <c r="AN1032" i="2"/>
  <c r="AN1033" i="2"/>
  <c r="AN1034" i="2"/>
  <c r="AN1035" i="2"/>
  <c r="AN1036" i="2"/>
  <c r="AN1037" i="2"/>
  <c r="AN1038" i="2"/>
  <c r="AN1039" i="2"/>
  <c r="AN1040" i="2"/>
  <c r="AN1041" i="2"/>
  <c r="AN1042" i="2"/>
  <c r="AN1043" i="2"/>
  <c r="AN1044" i="2"/>
  <c r="AN1045" i="2"/>
  <c r="AN1046" i="2"/>
  <c r="AN1047" i="2"/>
  <c r="AN1048" i="2"/>
  <c r="AN1049" i="2"/>
  <c r="AN1050" i="2"/>
  <c r="AN1051" i="2"/>
  <c r="AN1052" i="2"/>
  <c r="AN1053" i="2"/>
  <c r="AN1054" i="2"/>
  <c r="AN1055" i="2"/>
  <c r="AN1056" i="2"/>
  <c r="AN1057" i="2"/>
  <c r="AN1058" i="2"/>
  <c r="AN1059" i="2"/>
  <c r="AN1060" i="2"/>
  <c r="AN1061" i="2"/>
  <c r="AN1062" i="2"/>
  <c r="AN1063" i="2"/>
  <c r="AN1064" i="2"/>
  <c r="AN1065" i="2"/>
  <c r="AN1066" i="2"/>
  <c r="AN1067" i="2"/>
  <c r="AN1068" i="2"/>
  <c r="AN1069" i="2"/>
  <c r="AN1070" i="2"/>
  <c r="AN1071" i="2"/>
  <c r="AN1072" i="2"/>
  <c r="AN1073" i="2"/>
  <c r="AN1074" i="2"/>
  <c r="AO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O543" i="2"/>
  <c r="AO544" i="2"/>
  <c r="AO545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68" i="2"/>
  <c r="AO569" i="2"/>
  <c r="AO570" i="2"/>
  <c r="AO571" i="2"/>
  <c r="AO572" i="2"/>
  <c r="AO573" i="2"/>
  <c r="AO574" i="2"/>
  <c r="AO575" i="2"/>
  <c r="AO576" i="2"/>
  <c r="AO577" i="2"/>
  <c r="AO578" i="2"/>
  <c r="AO579" i="2"/>
  <c r="AO580" i="2"/>
  <c r="AO581" i="2"/>
  <c r="AO582" i="2"/>
  <c r="AO583" i="2"/>
  <c r="AO584" i="2"/>
  <c r="AO585" i="2"/>
  <c r="AO586" i="2"/>
  <c r="AO587" i="2"/>
  <c r="AO588" i="2"/>
  <c r="AO589" i="2"/>
  <c r="AO590" i="2"/>
  <c r="AO591" i="2"/>
  <c r="AO592" i="2"/>
  <c r="AO593" i="2"/>
  <c r="AO594" i="2"/>
  <c r="AO595" i="2"/>
  <c r="AO596" i="2"/>
  <c r="AO597" i="2"/>
  <c r="AO598" i="2"/>
  <c r="AO599" i="2"/>
  <c r="AO600" i="2"/>
  <c r="AO601" i="2"/>
  <c r="AO602" i="2"/>
  <c r="AO603" i="2"/>
  <c r="AO604" i="2"/>
  <c r="AO605" i="2"/>
  <c r="AO606" i="2"/>
  <c r="AO607" i="2"/>
  <c r="AO608" i="2"/>
  <c r="AO609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625" i="2"/>
  <c r="AO626" i="2"/>
  <c r="AO627" i="2"/>
  <c r="AO628" i="2"/>
  <c r="AO629" i="2"/>
  <c r="AO630" i="2"/>
  <c r="AO631" i="2"/>
  <c r="AO632" i="2"/>
  <c r="AO633" i="2"/>
  <c r="AO634" i="2"/>
  <c r="AO635" i="2"/>
  <c r="AO636" i="2"/>
  <c r="AO637" i="2"/>
  <c r="AO638" i="2"/>
  <c r="AO639" i="2"/>
  <c r="AO640" i="2"/>
  <c r="AO641" i="2"/>
  <c r="AO642" i="2"/>
  <c r="AO643" i="2"/>
  <c r="AO644" i="2"/>
  <c r="AO645" i="2"/>
  <c r="AO646" i="2"/>
  <c r="AO647" i="2"/>
  <c r="AO648" i="2"/>
  <c r="AO649" i="2"/>
  <c r="AO650" i="2"/>
  <c r="AO651" i="2"/>
  <c r="AO652" i="2"/>
  <c r="AO653" i="2"/>
  <c r="AO654" i="2"/>
  <c r="AO655" i="2"/>
  <c r="AO656" i="2"/>
  <c r="AO657" i="2"/>
  <c r="AO658" i="2"/>
  <c r="AO659" i="2"/>
  <c r="AO660" i="2"/>
  <c r="AO661" i="2"/>
  <c r="AO662" i="2"/>
  <c r="AO663" i="2"/>
  <c r="AO664" i="2"/>
  <c r="AO665" i="2"/>
  <c r="AO666" i="2"/>
  <c r="AO667" i="2"/>
  <c r="AO668" i="2"/>
  <c r="AO669" i="2"/>
  <c r="AO670" i="2"/>
  <c r="AO671" i="2"/>
  <c r="AO672" i="2"/>
  <c r="AO673" i="2"/>
  <c r="AO674" i="2"/>
  <c r="AO675" i="2"/>
  <c r="AO676" i="2"/>
  <c r="AO677" i="2"/>
  <c r="AO678" i="2"/>
  <c r="AO679" i="2"/>
  <c r="AO680" i="2"/>
  <c r="AO681" i="2"/>
  <c r="AO682" i="2"/>
  <c r="AO683" i="2"/>
  <c r="AO684" i="2"/>
  <c r="AO685" i="2"/>
  <c r="AO686" i="2"/>
  <c r="AO687" i="2"/>
  <c r="AO688" i="2"/>
  <c r="AO689" i="2"/>
  <c r="AO690" i="2"/>
  <c r="AO691" i="2"/>
  <c r="AO692" i="2"/>
  <c r="AO693" i="2"/>
  <c r="AO694" i="2"/>
  <c r="AO695" i="2"/>
  <c r="AO696" i="2"/>
  <c r="AO697" i="2"/>
  <c r="AO698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11" i="2"/>
  <c r="AO712" i="2"/>
  <c r="AO713" i="2"/>
  <c r="AO714" i="2"/>
  <c r="AO715" i="2"/>
  <c r="AO716" i="2"/>
  <c r="AO717" i="2"/>
  <c r="AO718" i="2"/>
  <c r="AO719" i="2"/>
  <c r="AO720" i="2"/>
  <c r="AO721" i="2"/>
  <c r="AO722" i="2"/>
  <c r="AO723" i="2"/>
  <c r="AO724" i="2"/>
  <c r="AO725" i="2"/>
  <c r="AO726" i="2"/>
  <c r="AO727" i="2"/>
  <c r="AO728" i="2"/>
  <c r="AO729" i="2"/>
  <c r="AO730" i="2"/>
  <c r="AO731" i="2"/>
  <c r="AO732" i="2"/>
  <c r="AO733" i="2"/>
  <c r="AO734" i="2"/>
  <c r="AO735" i="2"/>
  <c r="AO736" i="2"/>
  <c r="AO737" i="2"/>
  <c r="AO738" i="2"/>
  <c r="AO739" i="2"/>
  <c r="AO740" i="2"/>
  <c r="AO741" i="2"/>
  <c r="AO742" i="2"/>
  <c r="AO743" i="2"/>
  <c r="AO744" i="2"/>
  <c r="AO745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64" i="2"/>
  <c r="AO765" i="2"/>
  <c r="AO766" i="2"/>
  <c r="AO767" i="2"/>
  <c r="AO768" i="2"/>
  <c r="AO769" i="2"/>
  <c r="AO770" i="2"/>
  <c r="AO771" i="2"/>
  <c r="AO772" i="2"/>
  <c r="AO773" i="2"/>
  <c r="AO774" i="2"/>
  <c r="AO775" i="2"/>
  <c r="AO776" i="2"/>
  <c r="AO777" i="2"/>
  <c r="AO778" i="2"/>
  <c r="AO779" i="2"/>
  <c r="AO780" i="2"/>
  <c r="AO781" i="2"/>
  <c r="AO782" i="2"/>
  <c r="AO783" i="2"/>
  <c r="AO784" i="2"/>
  <c r="AO785" i="2"/>
  <c r="AO786" i="2"/>
  <c r="AO787" i="2"/>
  <c r="AO788" i="2"/>
  <c r="AO789" i="2"/>
  <c r="AO790" i="2"/>
  <c r="AO791" i="2"/>
  <c r="AO792" i="2"/>
  <c r="AO793" i="2"/>
  <c r="AO794" i="2"/>
  <c r="AO795" i="2"/>
  <c r="AO796" i="2"/>
  <c r="AO797" i="2"/>
  <c r="AO798" i="2"/>
  <c r="AO799" i="2"/>
  <c r="AO800" i="2"/>
  <c r="AO801" i="2"/>
  <c r="AO802" i="2"/>
  <c r="AO803" i="2"/>
  <c r="AO804" i="2"/>
  <c r="AO805" i="2"/>
  <c r="AO806" i="2"/>
  <c r="AO807" i="2"/>
  <c r="AO808" i="2"/>
  <c r="AO809" i="2"/>
  <c r="AO810" i="2"/>
  <c r="AO811" i="2"/>
  <c r="AO812" i="2"/>
  <c r="AO813" i="2"/>
  <c r="AO814" i="2"/>
  <c r="AO815" i="2"/>
  <c r="AO816" i="2"/>
  <c r="AO817" i="2"/>
  <c r="AO818" i="2"/>
  <c r="AO819" i="2"/>
  <c r="AO820" i="2"/>
  <c r="AO821" i="2"/>
  <c r="AO822" i="2"/>
  <c r="AO82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842" i="2"/>
  <c r="AO843" i="2"/>
  <c r="AO844" i="2"/>
  <c r="AO845" i="2"/>
  <c r="AO846" i="2"/>
  <c r="AO847" i="2"/>
  <c r="AO848" i="2"/>
  <c r="AO849" i="2"/>
  <c r="AO850" i="2"/>
  <c r="AO851" i="2"/>
  <c r="AO852" i="2"/>
  <c r="AO853" i="2"/>
  <c r="AO854" i="2"/>
  <c r="AO855" i="2"/>
  <c r="AO856" i="2"/>
  <c r="AO857" i="2"/>
  <c r="AO858" i="2"/>
  <c r="AO859" i="2"/>
  <c r="AO860" i="2"/>
  <c r="AO861" i="2"/>
  <c r="AO862" i="2"/>
  <c r="AO863" i="2"/>
  <c r="AO864" i="2"/>
  <c r="AO865" i="2"/>
  <c r="AO866" i="2"/>
  <c r="AO867" i="2"/>
  <c r="AO868" i="2"/>
  <c r="AO869" i="2"/>
  <c r="AO870" i="2"/>
  <c r="AO871" i="2"/>
  <c r="AO872" i="2"/>
  <c r="AO873" i="2"/>
  <c r="AO874" i="2"/>
  <c r="AO875" i="2"/>
  <c r="AO876" i="2"/>
  <c r="AO877" i="2"/>
  <c r="AO878" i="2"/>
  <c r="AO879" i="2"/>
  <c r="AO880" i="2"/>
  <c r="AO881" i="2"/>
  <c r="AO882" i="2"/>
  <c r="AO883" i="2"/>
  <c r="AO884" i="2"/>
  <c r="AO885" i="2"/>
  <c r="AO886" i="2"/>
  <c r="AO887" i="2"/>
  <c r="AO888" i="2"/>
  <c r="AO889" i="2"/>
  <c r="AO890" i="2"/>
  <c r="AO891" i="2"/>
  <c r="AO892" i="2"/>
  <c r="AO893" i="2"/>
  <c r="AO894" i="2"/>
  <c r="AO895" i="2"/>
  <c r="AO896" i="2"/>
  <c r="AO897" i="2"/>
  <c r="AO898" i="2"/>
  <c r="AO899" i="2"/>
  <c r="AO900" i="2"/>
  <c r="AO901" i="2"/>
  <c r="AO902" i="2"/>
  <c r="AO903" i="2"/>
  <c r="AO904" i="2"/>
  <c r="AO905" i="2"/>
  <c r="AO906" i="2"/>
  <c r="AO907" i="2"/>
  <c r="AO908" i="2"/>
  <c r="AO909" i="2"/>
  <c r="AO910" i="2"/>
  <c r="AO911" i="2"/>
  <c r="AO912" i="2"/>
  <c r="AO913" i="2"/>
  <c r="AO914" i="2"/>
  <c r="AO915" i="2"/>
  <c r="AO916" i="2"/>
  <c r="AO917" i="2"/>
  <c r="AO918" i="2"/>
  <c r="AO919" i="2"/>
  <c r="AO920" i="2"/>
  <c r="AO921" i="2"/>
  <c r="AO922" i="2"/>
  <c r="AO923" i="2"/>
  <c r="AO924" i="2"/>
  <c r="AO925" i="2"/>
  <c r="AO926" i="2"/>
  <c r="AO927" i="2"/>
  <c r="AO928" i="2"/>
  <c r="AO929" i="2"/>
  <c r="AO930" i="2"/>
  <c r="AO931" i="2"/>
  <c r="AO932" i="2"/>
  <c r="AO933" i="2"/>
  <c r="AO934" i="2"/>
  <c r="AO935" i="2"/>
  <c r="AO936" i="2"/>
  <c r="AO937" i="2"/>
  <c r="AO938" i="2"/>
  <c r="AO939" i="2"/>
  <c r="AO940" i="2"/>
  <c r="AO941" i="2"/>
  <c r="AO942" i="2"/>
  <c r="AO943" i="2"/>
  <c r="AO944" i="2"/>
  <c r="AO945" i="2"/>
  <c r="AO946" i="2"/>
  <c r="AO947" i="2"/>
  <c r="AO948" i="2"/>
  <c r="AO949" i="2"/>
  <c r="AO950" i="2"/>
  <c r="AO951" i="2"/>
  <c r="AO952" i="2"/>
  <c r="AO953" i="2"/>
  <c r="AO954" i="2"/>
  <c r="AO955" i="2"/>
  <c r="AO956" i="2"/>
  <c r="AO957" i="2"/>
  <c r="AO958" i="2"/>
  <c r="AO959" i="2"/>
  <c r="AO960" i="2"/>
  <c r="AO961" i="2"/>
  <c r="AO962" i="2"/>
  <c r="AO963" i="2"/>
  <c r="AO964" i="2"/>
  <c r="AO965" i="2"/>
  <c r="AO966" i="2"/>
  <c r="AO967" i="2"/>
  <c r="AO968" i="2"/>
  <c r="AO969" i="2"/>
  <c r="AO970" i="2"/>
  <c r="AO971" i="2"/>
  <c r="AO972" i="2"/>
  <c r="AO973" i="2"/>
  <c r="AO974" i="2"/>
  <c r="AO975" i="2"/>
  <c r="AO976" i="2"/>
  <c r="AO977" i="2"/>
  <c r="AO978" i="2"/>
  <c r="AO979" i="2"/>
  <c r="AO980" i="2"/>
  <c r="AO981" i="2"/>
  <c r="AO982" i="2"/>
  <c r="AO983" i="2"/>
  <c r="AO984" i="2"/>
  <c r="AO985" i="2"/>
  <c r="AO986" i="2"/>
  <c r="AO987" i="2"/>
  <c r="AO988" i="2"/>
  <c r="AO989" i="2"/>
  <c r="AO990" i="2"/>
  <c r="AO991" i="2"/>
  <c r="AO992" i="2"/>
  <c r="AO993" i="2"/>
  <c r="AO994" i="2"/>
  <c r="AO995" i="2"/>
  <c r="AO996" i="2"/>
  <c r="AO997" i="2"/>
  <c r="AO998" i="2"/>
  <c r="AO999" i="2"/>
  <c r="AO1000" i="2"/>
  <c r="AO1001" i="2"/>
  <c r="AO1002" i="2"/>
  <c r="AO1003" i="2"/>
  <c r="AO1004" i="2"/>
  <c r="AO1005" i="2"/>
  <c r="AO1006" i="2"/>
  <c r="AO1007" i="2"/>
  <c r="AO1008" i="2"/>
  <c r="AO1009" i="2"/>
  <c r="AO1010" i="2"/>
  <c r="AO1011" i="2"/>
  <c r="AO1012" i="2"/>
  <c r="AO1013" i="2"/>
  <c r="AO1014" i="2"/>
  <c r="AO1015" i="2"/>
  <c r="AO1016" i="2"/>
  <c r="AO1017" i="2"/>
  <c r="AO1018" i="2"/>
  <c r="AO1019" i="2"/>
  <c r="AO1020" i="2"/>
  <c r="AO1021" i="2"/>
  <c r="AO1022" i="2"/>
  <c r="AO1023" i="2"/>
  <c r="AO1024" i="2"/>
  <c r="AO1025" i="2"/>
  <c r="AO1026" i="2"/>
  <c r="AO1027" i="2"/>
  <c r="AO1028" i="2"/>
  <c r="AO1029" i="2"/>
  <c r="AO1030" i="2"/>
  <c r="AO1031" i="2"/>
  <c r="AO1032" i="2"/>
  <c r="AO1033" i="2"/>
  <c r="AO1034" i="2"/>
  <c r="AO1035" i="2"/>
  <c r="AO1036" i="2"/>
  <c r="AO1037" i="2"/>
  <c r="AO1038" i="2"/>
  <c r="AO1039" i="2"/>
  <c r="AO1040" i="2"/>
  <c r="AO1041" i="2"/>
  <c r="AO1042" i="2"/>
  <c r="AO1043" i="2"/>
  <c r="AO1044" i="2"/>
  <c r="AO1045" i="2"/>
  <c r="AO1046" i="2"/>
  <c r="AO1047" i="2"/>
  <c r="AO1048" i="2"/>
  <c r="AO1049" i="2"/>
  <c r="AO1050" i="2"/>
  <c r="AO1051" i="2"/>
  <c r="AO1052" i="2"/>
  <c r="AO1053" i="2"/>
  <c r="AO1054" i="2"/>
  <c r="AO1055" i="2"/>
  <c r="AO1056" i="2"/>
  <c r="AO1057" i="2"/>
  <c r="AO1058" i="2"/>
  <c r="AO1059" i="2"/>
  <c r="AO1060" i="2"/>
  <c r="AO1061" i="2"/>
  <c r="AO1062" i="2"/>
  <c r="AO1063" i="2"/>
  <c r="AO1064" i="2"/>
  <c r="AO1065" i="2"/>
  <c r="AO1066" i="2"/>
  <c r="AO1067" i="2"/>
  <c r="AO1068" i="2"/>
  <c r="AO1069" i="2"/>
  <c r="AO1070" i="2"/>
  <c r="AO1071" i="2"/>
  <c r="AO1072" i="2"/>
  <c r="AO1073" i="2"/>
  <c r="AO1074" i="2"/>
  <c r="AP2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AP205" i="2"/>
  <c r="AP206" i="2"/>
  <c r="AP207" i="2"/>
  <c r="AP208" i="2"/>
  <c r="AP209" i="2"/>
  <c r="AP210" i="2"/>
  <c r="AP211" i="2"/>
  <c r="AP212" i="2"/>
  <c r="AP213" i="2"/>
  <c r="AP214" i="2"/>
  <c r="AP215" i="2"/>
  <c r="AP216" i="2"/>
  <c r="AP217" i="2"/>
  <c r="AP218" i="2"/>
  <c r="AP219" i="2"/>
  <c r="AP220" i="2"/>
  <c r="AP221" i="2"/>
  <c r="AP222" i="2"/>
  <c r="AP223" i="2"/>
  <c r="AP224" i="2"/>
  <c r="AP225" i="2"/>
  <c r="AP226" i="2"/>
  <c r="AP227" i="2"/>
  <c r="AP228" i="2"/>
  <c r="AP229" i="2"/>
  <c r="AP230" i="2"/>
  <c r="AP231" i="2"/>
  <c r="AP232" i="2"/>
  <c r="AP233" i="2"/>
  <c r="AP234" i="2"/>
  <c r="AP235" i="2"/>
  <c r="AP236" i="2"/>
  <c r="AP237" i="2"/>
  <c r="AP238" i="2"/>
  <c r="AP239" i="2"/>
  <c r="AP240" i="2"/>
  <c r="AP241" i="2"/>
  <c r="AP242" i="2"/>
  <c r="AP243" i="2"/>
  <c r="AP244" i="2"/>
  <c r="AP245" i="2"/>
  <c r="AP246" i="2"/>
  <c r="AP247" i="2"/>
  <c r="AP248" i="2"/>
  <c r="AP249" i="2"/>
  <c r="AP250" i="2"/>
  <c r="AP251" i="2"/>
  <c r="AP252" i="2"/>
  <c r="AP253" i="2"/>
  <c r="AP254" i="2"/>
  <c r="AP255" i="2"/>
  <c r="AP256" i="2"/>
  <c r="AP257" i="2"/>
  <c r="AP258" i="2"/>
  <c r="AP259" i="2"/>
  <c r="AP260" i="2"/>
  <c r="AP261" i="2"/>
  <c r="AP262" i="2"/>
  <c r="AP263" i="2"/>
  <c r="AP264" i="2"/>
  <c r="AP265" i="2"/>
  <c r="AP266" i="2"/>
  <c r="AP267" i="2"/>
  <c r="AP268" i="2"/>
  <c r="AP269" i="2"/>
  <c r="AP270" i="2"/>
  <c r="AP271" i="2"/>
  <c r="AP272" i="2"/>
  <c r="AP273" i="2"/>
  <c r="AP274" i="2"/>
  <c r="AP275" i="2"/>
  <c r="AP276" i="2"/>
  <c r="AP277" i="2"/>
  <c r="AP278" i="2"/>
  <c r="AP279" i="2"/>
  <c r="AP280" i="2"/>
  <c r="AP281" i="2"/>
  <c r="AP282" i="2"/>
  <c r="AP283" i="2"/>
  <c r="AP284" i="2"/>
  <c r="AP285" i="2"/>
  <c r="AP286" i="2"/>
  <c r="AP287" i="2"/>
  <c r="AP288" i="2"/>
  <c r="AP289" i="2"/>
  <c r="AP290" i="2"/>
  <c r="AP291" i="2"/>
  <c r="AP292" i="2"/>
  <c r="AP293" i="2"/>
  <c r="AP294" i="2"/>
  <c r="AP295" i="2"/>
  <c r="AP296" i="2"/>
  <c r="AP297" i="2"/>
  <c r="AP298" i="2"/>
  <c r="AP299" i="2"/>
  <c r="AP300" i="2"/>
  <c r="AP301" i="2"/>
  <c r="AP302" i="2"/>
  <c r="AP303" i="2"/>
  <c r="AP304" i="2"/>
  <c r="AP305" i="2"/>
  <c r="AP306" i="2"/>
  <c r="AP307" i="2"/>
  <c r="AP308" i="2"/>
  <c r="AP309" i="2"/>
  <c r="AP310" i="2"/>
  <c r="AP311" i="2"/>
  <c r="AP312" i="2"/>
  <c r="AP313" i="2"/>
  <c r="AP314" i="2"/>
  <c r="AP315" i="2"/>
  <c r="AP316" i="2"/>
  <c r="AP317" i="2"/>
  <c r="AP318" i="2"/>
  <c r="AP319" i="2"/>
  <c r="AP320" i="2"/>
  <c r="AP321" i="2"/>
  <c r="AP322" i="2"/>
  <c r="AP323" i="2"/>
  <c r="AP324" i="2"/>
  <c r="AP325" i="2"/>
  <c r="AP326" i="2"/>
  <c r="AP327" i="2"/>
  <c r="AP328" i="2"/>
  <c r="AP329" i="2"/>
  <c r="AP330" i="2"/>
  <c r="AP331" i="2"/>
  <c r="AP332" i="2"/>
  <c r="AP333" i="2"/>
  <c r="AP334" i="2"/>
  <c r="AP335" i="2"/>
  <c r="AP336" i="2"/>
  <c r="AP337" i="2"/>
  <c r="AP338" i="2"/>
  <c r="AP339" i="2"/>
  <c r="AP340" i="2"/>
  <c r="AP341" i="2"/>
  <c r="AP342" i="2"/>
  <c r="AP343" i="2"/>
  <c r="AP344" i="2"/>
  <c r="AP345" i="2"/>
  <c r="AP346" i="2"/>
  <c r="AP347" i="2"/>
  <c r="AP348" i="2"/>
  <c r="AP349" i="2"/>
  <c r="AP350" i="2"/>
  <c r="AP351" i="2"/>
  <c r="AP352" i="2"/>
  <c r="AP353" i="2"/>
  <c r="AP354" i="2"/>
  <c r="AP355" i="2"/>
  <c r="AP356" i="2"/>
  <c r="AP357" i="2"/>
  <c r="AP358" i="2"/>
  <c r="AP359" i="2"/>
  <c r="AP360" i="2"/>
  <c r="AP361" i="2"/>
  <c r="AP362" i="2"/>
  <c r="AP363" i="2"/>
  <c r="AP364" i="2"/>
  <c r="AP365" i="2"/>
  <c r="AP366" i="2"/>
  <c r="AP367" i="2"/>
  <c r="AP368" i="2"/>
  <c r="AP369" i="2"/>
  <c r="AP370" i="2"/>
  <c r="AP371" i="2"/>
  <c r="AP372" i="2"/>
  <c r="AP373" i="2"/>
  <c r="AP374" i="2"/>
  <c r="AP375" i="2"/>
  <c r="AP376" i="2"/>
  <c r="AP377" i="2"/>
  <c r="AP378" i="2"/>
  <c r="AP379" i="2"/>
  <c r="AP380" i="2"/>
  <c r="AP381" i="2"/>
  <c r="AP382" i="2"/>
  <c r="AP383" i="2"/>
  <c r="AP384" i="2"/>
  <c r="AP385" i="2"/>
  <c r="AP386" i="2"/>
  <c r="AP387" i="2"/>
  <c r="AP388" i="2"/>
  <c r="AP389" i="2"/>
  <c r="AP390" i="2"/>
  <c r="AP391" i="2"/>
  <c r="AP392" i="2"/>
  <c r="AP393" i="2"/>
  <c r="AP394" i="2"/>
  <c r="AP395" i="2"/>
  <c r="AP396" i="2"/>
  <c r="AP397" i="2"/>
  <c r="AP398" i="2"/>
  <c r="AP399" i="2"/>
  <c r="AP400" i="2"/>
  <c r="AP401" i="2"/>
  <c r="AP402" i="2"/>
  <c r="AP403" i="2"/>
  <c r="AP404" i="2"/>
  <c r="AP405" i="2"/>
  <c r="AP406" i="2"/>
  <c r="AP407" i="2"/>
  <c r="AP408" i="2"/>
  <c r="AP409" i="2"/>
  <c r="AP410" i="2"/>
  <c r="AP411" i="2"/>
  <c r="AP412" i="2"/>
  <c r="AP413" i="2"/>
  <c r="AP414" i="2"/>
  <c r="AP415" i="2"/>
  <c r="AP416" i="2"/>
  <c r="AP417" i="2"/>
  <c r="AP418" i="2"/>
  <c r="AP419" i="2"/>
  <c r="AP420" i="2"/>
  <c r="AP421" i="2"/>
  <c r="AP422" i="2"/>
  <c r="AP423" i="2"/>
  <c r="AP424" i="2"/>
  <c r="AP425" i="2"/>
  <c r="AP426" i="2"/>
  <c r="AP427" i="2"/>
  <c r="AP428" i="2"/>
  <c r="AP429" i="2"/>
  <c r="AP430" i="2"/>
  <c r="AP431" i="2"/>
  <c r="AP432" i="2"/>
  <c r="AP433" i="2"/>
  <c r="AP434" i="2"/>
  <c r="AP435" i="2"/>
  <c r="AP436" i="2"/>
  <c r="AP437" i="2"/>
  <c r="AP438" i="2"/>
  <c r="AP439" i="2"/>
  <c r="AP440" i="2"/>
  <c r="AP441" i="2"/>
  <c r="AP442" i="2"/>
  <c r="AP443" i="2"/>
  <c r="AP444" i="2"/>
  <c r="AP445" i="2"/>
  <c r="AP446" i="2"/>
  <c r="AP447" i="2"/>
  <c r="AP448" i="2"/>
  <c r="AP449" i="2"/>
  <c r="AP450" i="2"/>
  <c r="AP451" i="2"/>
  <c r="AP452" i="2"/>
  <c r="AP453" i="2"/>
  <c r="AP454" i="2"/>
  <c r="AP455" i="2"/>
  <c r="AP456" i="2"/>
  <c r="AP457" i="2"/>
  <c r="AP458" i="2"/>
  <c r="AP459" i="2"/>
  <c r="AP460" i="2"/>
  <c r="AP461" i="2"/>
  <c r="AP462" i="2"/>
  <c r="AP463" i="2"/>
  <c r="AP464" i="2"/>
  <c r="AP465" i="2"/>
  <c r="AP466" i="2"/>
  <c r="AP467" i="2"/>
  <c r="AP468" i="2"/>
  <c r="AP469" i="2"/>
  <c r="AP470" i="2"/>
  <c r="AP471" i="2"/>
  <c r="AP472" i="2"/>
  <c r="AP473" i="2"/>
  <c r="AP474" i="2"/>
  <c r="AP475" i="2"/>
  <c r="AP476" i="2"/>
  <c r="AP477" i="2"/>
  <c r="AP478" i="2"/>
  <c r="AP479" i="2"/>
  <c r="AP480" i="2"/>
  <c r="AP481" i="2"/>
  <c r="AP482" i="2"/>
  <c r="AP483" i="2"/>
  <c r="AP484" i="2"/>
  <c r="AP485" i="2"/>
  <c r="AP486" i="2"/>
  <c r="AP487" i="2"/>
  <c r="AP488" i="2"/>
  <c r="AP489" i="2"/>
  <c r="AP490" i="2"/>
  <c r="AP491" i="2"/>
  <c r="AP492" i="2"/>
  <c r="AP493" i="2"/>
  <c r="AP494" i="2"/>
  <c r="AP495" i="2"/>
  <c r="AP496" i="2"/>
  <c r="AP497" i="2"/>
  <c r="AP498" i="2"/>
  <c r="AP499" i="2"/>
  <c r="AP500" i="2"/>
  <c r="AP501" i="2"/>
  <c r="AP502" i="2"/>
  <c r="AP503" i="2"/>
  <c r="AP504" i="2"/>
  <c r="AP505" i="2"/>
  <c r="AP506" i="2"/>
  <c r="AP507" i="2"/>
  <c r="AP508" i="2"/>
  <c r="AP509" i="2"/>
  <c r="AP510" i="2"/>
  <c r="AP511" i="2"/>
  <c r="AP512" i="2"/>
  <c r="AP513" i="2"/>
  <c r="AP514" i="2"/>
  <c r="AP515" i="2"/>
  <c r="AP516" i="2"/>
  <c r="AP517" i="2"/>
  <c r="AP518" i="2"/>
  <c r="AP519" i="2"/>
  <c r="AP520" i="2"/>
  <c r="AP521" i="2"/>
  <c r="AP522" i="2"/>
  <c r="AP523" i="2"/>
  <c r="AP524" i="2"/>
  <c r="AP525" i="2"/>
  <c r="AP526" i="2"/>
  <c r="AP527" i="2"/>
  <c r="AP528" i="2"/>
  <c r="AP529" i="2"/>
  <c r="AP530" i="2"/>
  <c r="AP531" i="2"/>
  <c r="AP532" i="2"/>
  <c r="AP533" i="2"/>
  <c r="AP534" i="2"/>
  <c r="AP535" i="2"/>
  <c r="AP536" i="2"/>
  <c r="AP537" i="2"/>
  <c r="AP538" i="2"/>
  <c r="AP539" i="2"/>
  <c r="AP540" i="2"/>
  <c r="AP541" i="2"/>
  <c r="AP542" i="2"/>
  <c r="AP543" i="2"/>
  <c r="AP544" i="2"/>
  <c r="AP545" i="2"/>
  <c r="AP546" i="2"/>
  <c r="AP547" i="2"/>
  <c r="AP548" i="2"/>
  <c r="AP549" i="2"/>
  <c r="AP550" i="2"/>
  <c r="AP551" i="2"/>
  <c r="AP552" i="2"/>
  <c r="AP553" i="2"/>
  <c r="AP554" i="2"/>
  <c r="AP555" i="2"/>
  <c r="AP556" i="2"/>
  <c r="AP557" i="2"/>
  <c r="AP558" i="2"/>
  <c r="AP559" i="2"/>
  <c r="AP560" i="2"/>
  <c r="AP561" i="2"/>
  <c r="AP562" i="2"/>
  <c r="AP563" i="2"/>
  <c r="AP564" i="2"/>
  <c r="AP565" i="2"/>
  <c r="AP566" i="2"/>
  <c r="AP567" i="2"/>
  <c r="AP568" i="2"/>
  <c r="AP569" i="2"/>
  <c r="AP570" i="2"/>
  <c r="AP571" i="2"/>
  <c r="AP572" i="2"/>
  <c r="AP573" i="2"/>
  <c r="AP574" i="2"/>
  <c r="AP575" i="2"/>
  <c r="AP576" i="2"/>
  <c r="AP577" i="2"/>
  <c r="AP578" i="2"/>
  <c r="AP579" i="2"/>
  <c r="AP580" i="2"/>
  <c r="AP581" i="2"/>
  <c r="AP582" i="2"/>
  <c r="AP583" i="2"/>
  <c r="AP584" i="2"/>
  <c r="AP585" i="2"/>
  <c r="AP586" i="2"/>
  <c r="AP587" i="2"/>
  <c r="AP588" i="2"/>
  <c r="AP589" i="2"/>
  <c r="AP590" i="2"/>
  <c r="AP591" i="2"/>
  <c r="AP592" i="2"/>
  <c r="AP593" i="2"/>
  <c r="AP594" i="2"/>
  <c r="AP595" i="2"/>
  <c r="AP596" i="2"/>
  <c r="AP597" i="2"/>
  <c r="AP598" i="2"/>
  <c r="AP599" i="2"/>
  <c r="AP600" i="2"/>
  <c r="AP601" i="2"/>
  <c r="AP602" i="2"/>
  <c r="AP603" i="2"/>
  <c r="AP604" i="2"/>
  <c r="AP605" i="2"/>
  <c r="AP606" i="2"/>
  <c r="AP607" i="2"/>
  <c r="AP608" i="2"/>
  <c r="AP609" i="2"/>
  <c r="AP610" i="2"/>
  <c r="AP611" i="2"/>
  <c r="AP612" i="2"/>
  <c r="AP613" i="2"/>
  <c r="AP614" i="2"/>
  <c r="AP615" i="2"/>
  <c r="AP616" i="2"/>
  <c r="AP617" i="2"/>
  <c r="AP618" i="2"/>
  <c r="AP619" i="2"/>
  <c r="AP620" i="2"/>
  <c r="AP621" i="2"/>
  <c r="AP622" i="2"/>
  <c r="AP623" i="2"/>
  <c r="AP624" i="2"/>
  <c r="AP625" i="2"/>
  <c r="AP626" i="2"/>
  <c r="AP627" i="2"/>
  <c r="AP628" i="2"/>
  <c r="AP629" i="2"/>
  <c r="AP630" i="2"/>
  <c r="AP631" i="2"/>
  <c r="AP632" i="2"/>
  <c r="AP633" i="2"/>
  <c r="AP634" i="2"/>
  <c r="AP635" i="2"/>
  <c r="AP636" i="2"/>
  <c r="AP637" i="2"/>
  <c r="AP638" i="2"/>
  <c r="AP639" i="2"/>
  <c r="AP640" i="2"/>
  <c r="AP641" i="2"/>
  <c r="AP642" i="2"/>
  <c r="AP643" i="2"/>
  <c r="AP644" i="2"/>
  <c r="AP645" i="2"/>
  <c r="AP646" i="2"/>
  <c r="AP647" i="2"/>
  <c r="AP648" i="2"/>
  <c r="AP649" i="2"/>
  <c r="AP650" i="2"/>
  <c r="AP651" i="2"/>
  <c r="AP652" i="2"/>
  <c r="AP653" i="2"/>
  <c r="AP654" i="2"/>
  <c r="AP655" i="2"/>
  <c r="AP656" i="2"/>
  <c r="AP657" i="2"/>
  <c r="AP658" i="2"/>
  <c r="AP659" i="2"/>
  <c r="AP660" i="2"/>
  <c r="AP661" i="2"/>
  <c r="AP662" i="2"/>
  <c r="AP663" i="2"/>
  <c r="AP664" i="2"/>
  <c r="AP665" i="2"/>
  <c r="AP666" i="2"/>
  <c r="AP667" i="2"/>
  <c r="AP668" i="2"/>
  <c r="AP669" i="2"/>
  <c r="AP670" i="2"/>
  <c r="AP671" i="2"/>
  <c r="AP672" i="2"/>
  <c r="AP673" i="2"/>
  <c r="AP674" i="2"/>
  <c r="AP675" i="2"/>
  <c r="AP676" i="2"/>
  <c r="AP677" i="2"/>
  <c r="AP678" i="2"/>
  <c r="AP679" i="2"/>
  <c r="AP680" i="2"/>
  <c r="AP681" i="2"/>
  <c r="AP682" i="2"/>
  <c r="AP683" i="2"/>
  <c r="AP684" i="2"/>
  <c r="AP685" i="2"/>
  <c r="AP686" i="2"/>
  <c r="AP687" i="2"/>
  <c r="AP688" i="2"/>
  <c r="AP689" i="2"/>
  <c r="AP690" i="2"/>
  <c r="AP691" i="2"/>
  <c r="AP692" i="2"/>
  <c r="AP693" i="2"/>
  <c r="AP694" i="2"/>
  <c r="AP695" i="2"/>
  <c r="AP696" i="2"/>
  <c r="AP697" i="2"/>
  <c r="AP698" i="2"/>
  <c r="AP699" i="2"/>
  <c r="AP700" i="2"/>
  <c r="AP701" i="2"/>
  <c r="AP702" i="2"/>
  <c r="AP703" i="2"/>
  <c r="AP704" i="2"/>
  <c r="AP705" i="2"/>
  <c r="AP706" i="2"/>
  <c r="AP707" i="2"/>
  <c r="AP708" i="2"/>
  <c r="AP709" i="2"/>
  <c r="AP710" i="2"/>
  <c r="AP711" i="2"/>
  <c r="AP712" i="2"/>
  <c r="AP713" i="2"/>
  <c r="AP714" i="2"/>
  <c r="AP715" i="2"/>
  <c r="AP716" i="2"/>
  <c r="AP717" i="2"/>
  <c r="AP718" i="2"/>
  <c r="AP719" i="2"/>
  <c r="AP720" i="2"/>
  <c r="AP721" i="2"/>
  <c r="AP722" i="2"/>
  <c r="AP723" i="2"/>
  <c r="AP724" i="2"/>
  <c r="AP725" i="2"/>
  <c r="AP726" i="2"/>
  <c r="AP727" i="2"/>
  <c r="AP728" i="2"/>
  <c r="AP729" i="2"/>
  <c r="AP730" i="2"/>
  <c r="AP731" i="2"/>
  <c r="AP732" i="2"/>
  <c r="AP733" i="2"/>
  <c r="AP734" i="2"/>
  <c r="AP735" i="2"/>
  <c r="AP736" i="2"/>
  <c r="AP737" i="2"/>
  <c r="AP738" i="2"/>
  <c r="AP739" i="2"/>
  <c r="AP740" i="2"/>
  <c r="AP741" i="2"/>
  <c r="AP742" i="2"/>
  <c r="AP743" i="2"/>
  <c r="AP744" i="2"/>
  <c r="AP745" i="2"/>
  <c r="AP746" i="2"/>
  <c r="AP747" i="2"/>
  <c r="AP748" i="2"/>
  <c r="AP749" i="2"/>
  <c r="AP750" i="2"/>
  <c r="AP751" i="2"/>
  <c r="AP752" i="2"/>
  <c r="AP753" i="2"/>
  <c r="AP754" i="2"/>
  <c r="AP755" i="2"/>
  <c r="AP756" i="2"/>
  <c r="AP757" i="2"/>
  <c r="AP758" i="2"/>
  <c r="AP759" i="2"/>
  <c r="AP760" i="2"/>
  <c r="AP761" i="2"/>
  <c r="AP762" i="2"/>
  <c r="AP763" i="2"/>
  <c r="AP764" i="2"/>
  <c r="AP765" i="2"/>
  <c r="AP766" i="2"/>
  <c r="AP767" i="2"/>
  <c r="AP768" i="2"/>
  <c r="AP769" i="2"/>
  <c r="AP770" i="2"/>
  <c r="AP771" i="2"/>
  <c r="AP772" i="2"/>
  <c r="AP773" i="2"/>
  <c r="AP774" i="2"/>
  <c r="AP775" i="2"/>
  <c r="AP776" i="2"/>
  <c r="AP777" i="2"/>
  <c r="AP778" i="2"/>
  <c r="AP779" i="2"/>
  <c r="AP780" i="2"/>
  <c r="AP781" i="2"/>
  <c r="AP782" i="2"/>
  <c r="AP783" i="2"/>
  <c r="AP784" i="2"/>
  <c r="AP785" i="2"/>
  <c r="AP786" i="2"/>
  <c r="AP787" i="2"/>
  <c r="AP788" i="2"/>
  <c r="AP789" i="2"/>
  <c r="AP790" i="2"/>
  <c r="AP791" i="2"/>
  <c r="AP792" i="2"/>
  <c r="AP793" i="2"/>
  <c r="AP794" i="2"/>
  <c r="AP795" i="2"/>
  <c r="AP796" i="2"/>
  <c r="AP797" i="2"/>
  <c r="AP798" i="2"/>
  <c r="AP799" i="2"/>
  <c r="AP800" i="2"/>
  <c r="AP801" i="2"/>
  <c r="AP802" i="2"/>
  <c r="AP803" i="2"/>
  <c r="AP804" i="2"/>
  <c r="AP805" i="2"/>
  <c r="AP806" i="2"/>
  <c r="AP807" i="2"/>
  <c r="AP808" i="2"/>
  <c r="AP809" i="2"/>
  <c r="AP810" i="2"/>
  <c r="AP811" i="2"/>
  <c r="AP812" i="2"/>
  <c r="AP813" i="2"/>
  <c r="AP814" i="2"/>
  <c r="AP815" i="2"/>
  <c r="AP816" i="2"/>
  <c r="AP817" i="2"/>
  <c r="AP818" i="2"/>
  <c r="AP819" i="2"/>
  <c r="AP820" i="2"/>
  <c r="AP821" i="2"/>
  <c r="AP822" i="2"/>
  <c r="AP823" i="2"/>
  <c r="AP824" i="2"/>
  <c r="AP825" i="2"/>
  <c r="AP826" i="2"/>
  <c r="AP827" i="2"/>
  <c r="AP828" i="2"/>
  <c r="AP829" i="2"/>
  <c r="AP830" i="2"/>
  <c r="AP831" i="2"/>
  <c r="AP832" i="2"/>
  <c r="AP833" i="2"/>
  <c r="AP834" i="2"/>
  <c r="AP835" i="2"/>
  <c r="AP836" i="2"/>
  <c r="AP837" i="2"/>
  <c r="AP838" i="2"/>
  <c r="AP839" i="2"/>
  <c r="AP840" i="2"/>
  <c r="AP841" i="2"/>
  <c r="AP842" i="2"/>
  <c r="AP843" i="2"/>
  <c r="AP844" i="2"/>
  <c r="AP845" i="2"/>
  <c r="AP846" i="2"/>
  <c r="AP847" i="2"/>
  <c r="AP848" i="2"/>
  <c r="AP849" i="2"/>
  <c r="AP850" i="2"/>
  <c r="AP851" i="2"/>
  <c r="AP852" i="2"/>
  <c r="AP853" i="2"/>
  <c r="AP854" i="2"/>
  <c r="AP855" i="2"/>
  <c r="AP856" i="2"/>
  <c r="AP857" i="2"/>
  <c r="AP858" i="2"/>
  <c r="AP859" i="2"/>
  <c r="AP860" i="2"/>
  <c r="AP861" i="2"/>
  <c r="AP862" i="2"/>
  <c r="AP863" i="2"/>
  <c r="AP864" i="2"/>
  <c r="AP865" i="2"/>
  <c r="AP866" i="2"/>
  <c r="AP867" i="2"/>
  <c r="AP868" i="2"/>
  <c r="AP869" i="2"/>
  <c r="AP870" i="2"/>
  <c r="AP871" i="2"/>
  <c r="AP872" i="2"/>
  <c r="AP873" i="2"/>
  <c r="AP874" i="2"/>
  <c r="AP875" i="2"/>
  <c r="AP876" i="2"/>
  <c r="AP877" i="2"/>
  <c r="AP878" i="2"/>
  <c r="AP879" i="2"/>
  <c r="AP880" i="2"/>
  <c r="AP881" i="2"/>
  <c r="AP882" i="2"/>
  <c r="AP883" i="2"/>
  <c r="AP884" i="2"/>
  <c r="AP885" i="2"/>
  <c r="AP886" i="2"/>
  <c r="AP887" i="2"/>
  <c r="AP888" i="2"/>
  <c r="AP889" i="2"/>
  <c r="AP890" i="2"/>
  <c r="AP891" i="2"/>
  <c r="AP892" i="2"/>
  <c r="AP893" i="2"/>
  <c r="AP894" i="2"/>
  <c r="AP895" i="2"/>
  <c r="AP896" i="2"/>
  <c r="AP897" i="2"/>
  <c r="AP898" i="2"/>
  <c r="AP899" i="2"/>
  <c r="AP900" i="2"/>
  <c r="AP901" i="2"/>
  <c r="AP902" i="2"/>
  <c r="AP903" i="2"/>
  <c r="AP904" i="2"/>
  <c r="AP905" i="2"/>
  <c r="AP906" i="2"/>
  <c r="AP907" i="2"/>
  <c r="AP908" i="2"/>
  <c r="AP909" i="2"/>
  <c r="AP910" i="2"/>
  <c r="AP911" i="2"/>
  <c r="AP912" i="2"/>
  <c r="AP913" i="2"/>
  <c r="AP914" i="2"/>
  <c r="AP915" i="2"/>
  <c r="AP916" i="2"/>
  <c r="AP917" i="2"/>
  <c r="AP918" i="2"/>
  <c r="AP919" i="2"/>
  <c r="AP920" i="2"/>
  <c r="AP921" i="2"/>
  <c r="AP922" i="2"/>
  <c r="AP923" i="2"/>
  <c r="AP924" i="2"/>
  <c r="AP925" i="2"/>
  <c r="AP926" i="2"/>
  <c r="AP927" i="2"/>
  <c r="AP928" i="2"/>
  <c r="AP929" i="2"/>
  <c r="AP930" i="2"/>
  <c r="AP931" i="2"/>
  <c r="AP932" i="2"/>
  <c r="AP933" i="2"/>
  <c r="AP934" i="2"/>
  <c r="AP935" i="2"/>
  <c r="AP936" i="2"/>
  <c r="AP937" i="2"/>
  <c r="AP938" i="2"/>
  <c r="AP939" i="2"/>
  <c r="AP940" i="2"/>
  <c r="AP941" i="2"/>
  <c r="AP942" i="2"/>
  <c r="AP943" i="2"/>
  <c r="AP944" i="2"/>
  <c r="AP945" i="2"/>
  <c r="AP946" i="2"/>
  <c r="AP947" i="2"/>
  <c r="AP948" i="2"/>
  <c r="AP949" i="2"/>
  <c r="AP950" i="2"/>
  <c r="AP951" i="2"/>
  <c r="AP952" i="2"/>
  <c r="AP953" i="2"/>
  <c r="AP954" i="2"/>
  <c r="AP955" i="2"/>
  <c r="AP956" i="2"/>
  <c r="AP957" i="2"/>
  <c r="AP958" i="2"/>
  <c r="AP959" i="2"/>
  <c r="AP960" i="2"/>
  <c r="AP961" i="2"/>
  <c r="AP962" i="2"/>
  <c r="AP963" i="2"/>
  <c r="AP964" i="2"/>
  <c r="AP965" i="2"/>
  <c r="AP966" i="2"/>
  <c r="AP967" i="2"/>
  <c r="AP968" i="2"/>
  <c r="AP969" i="2"/>
  <c r="AP970" i="2"/>
  <c r="AP971" i="2"/>
  <c r="AP972" i="2"/>
  <c r="AP973" i="2"/>
  <c r="AP974" i="2"/>
  <c r="AP975" i="2"/>
  <c r="AP976" i="2"/>
  <c r="AP977" i="2"/>
  <c r="AP978" i="2"/>
  <c r="AP979" i="2"/>
  <c r="AP980" i="2"/>
  <c r="AP981" i="2"/>
  <c r="AP982" i="2"/>
  <c r="AP983" i="2"/>
  <c r="AP984" i="2"/>
  <c r="AP985" i="2"/>
  <c r="AP986" i="2"/>
  <c r="AP987" i="2"/>
  <c r="AP988" i="2"/>
  <c r="AP989" i="2"/>
  <c r="AP990" i="2"/>
  <c r="AP991" i="2"/>
  <c r="AP992" i="2"/>
  <c r="AP993" i="2"/>
  <c r="AP994" i="2"/>
  <c r="AP995" i="2"/>
  <c r="AP996" i="2"/>
  <c r="AP997" i="2"/>
  <c r="AP998" i="2"/>
  <c r="AP999" i="2"/>
  <c r="AP1000" i="2"/>
  <c r="AP1001" i="2"/>
  <c r="AP1002" i="2"/>
  <c r="AP1003" i="2"/>
  <c r="AP1004" i="2"/>
  <c r="AP1005" i="2"/>
  <c r="AP1006" i="2"/>
  <c r="AP1007" i="2"/>
  <c r="AP1008" i="2"/>
  <c r="AP1009" i="2"/>
  <c r="AP1010" i="2"/>
  <c r="AP1011" i="2"/>
  <c r="AP1012" i="2"/>
  <c r="AP1013" i="2"/>
  <c r="AP1014" i="2"/>
  <c r="AP1015" i="2"/>
  <c r="AP1016" i="2"/>
  <c r="AP1017" i="2"/>
  <c r="AP1018" i="2"/>
  <c r="AP1019" i="2"/>
  <c r="AP1020" i="2"/>
  <c r="AP1021" i="2"/>
  <c r="AP1022" i="2"/>
  <c r="AP1023" i="2"/>
  <c r="AP1024" i="2"/>
  <c r="AP1025" i="2"/>
  <c r="AP1026" i="2"/>
  <c r="AP1027" i="2"/>
  <c r="AP1028" i="2"/>
  <c r="AP1029" i="2"/>
  <c r="AP1030" i="2"/>
  <c r="AP1031" i="2"/>
  <c r="AP1032" i="2"/>
  <c r="AP1033" i="2"/>
  <c r="AP1034" i="2"/>
  <c r="AP1035" i="2"/>
  <c r="AP1036" i="2"/>
  <c r="AP1037" i="2"/>
  <c r="AP1038" i="2"/>
  <c r="AP1039" i="2"/>
  <c r="AP1040" i="2"/>
  <c r="AP1041" i="2"/>
  <c r="AP1042" i="2"/>
  <c r="AP1043" i="2"/>
  <c r="AP1044" i="2"/>
  <c r="AP1045" i="2"/>
  <c r="AP1046" i="2"/>
  <c r="AP1047" i="2"/>
  <c r="AP1048" i="2"/>
  <c r="AP1049" i="2"/>
  <c r="AP1050" i="2"/>
  <c r="AP1051" i="2"/>
  <c r="AP1052" i="2"/>
  <c r="AP1053" i="2"/>
  <c r="AP1054" i="2"/>
  <c r="AP1055" i="2"/>
  <c r="AP1056" i="2"/>
  <c r="AP1057" i="2"/>
  <c r="AP1058" i="2"/>
  <c r="AP1059" i="2"/>
  <c r="AP1060" i="2"/>
  <c r="AP1061" i="2"/>
  <c r="AP1062" i="2"/>
  <c r="AP1063" i="2"/>
  <c r="AP1064" i="2"/>
  <c r="AP1065" i="2"/>
  <c r="AP1066" i="2"/>
  <c r="AP1067" i="2"/>
  <c r="AP1068" i="2"/>
  <c r="AP1069" i="2"/>
  <c r="AP1070" i="2"/>
  <c r="AP1071" i="2"/>
  <c r="AP1072" i="2"/>
  <c r="AP1073" i="2"/>
  <c r="AP1074" i="2"/>
  <c r="AQ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255" i="2"/>
  <c r="AQ256" i="2"/>
  <c r="AQ257" i="2"/>
  <c r="AQ258" i="2"/>
  <c r="AQ259" i="2"/>
  <c r="AQ260" i="2"/>
  <c r="AQ261" i="2"/>
  <c r="AQ262" i="2"/>
  <c r="AQ263" i="2"/>
  <c r="AQ264" i="2"/>
  <c r="AQ265" i="2"/>
  <c r="AQ266" i="2"/>
  <c r="AQ267" i="2"/>
  <c r="AQ268" i="2"/>
  <c r="AQ269" i="2"/>
  <c r="AQ270" i="2"/>
  <c r="AQ271" i="2"/>
  <c r="AQ272" i="2"/>
  <c r="AQ273" i="2"/>
  <c r="AQ274" i="2"/>
  <c r="AQ275" i="2"/>
  <c r="AQ276" i="2"/>
  <c r="AQ277" i="2"/>
  <c r="AQ278" i="2"/>
  <c r="AQ279" i="2"/>
  <c r="AQ280" i="2"/>
  <c r="AQ281" i="2"/>
  <c r="AQ282" i="2"/>
  <c r="AQ283" i="2"/>
  <c r="AQ284" i="2"/>
  <c r="AQ285" i="2"/>
  <c r="AQ286" i="2"/>
  <c r="AQ287" i="2"/>
  <c r="AQ288" i="2"/>
  <c r="AQ289" i="2"/>
  <c r="AQ290" i="2"/>
  <c r="AQ291" i="2"/>
  <c r="AQ292" i="2"/>
  <c r="AQ293" i="2"/>
  <c r="AQ294" i="2"/>
  <c r="AQ295" i="2"/>
  <c r="AQ296" i="2"/>
  <c r="AQ297" i="2"/>
  <c r="AQ298" i="2"/>
  <c r="AQ299" i="2"/>
  <c r="AQ300" i="2"/>
  <c r="AQ301" i="2"/>
  <c r="AQ302" i="2"/>
  <c r="AQ303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37" i="2"/>
  <c r="AQ338" i="2"/>
  <c r="AQ339" i="2"/>
  <c r="AQ340" i="2"/>
  <c r="AQ341" i="2"/>
  <c r="AQ342" i="2"/>
  <c r="AQ343" i="2"/>
  <c r="AQ344" i="2"/>
  <c r="AQ345" i="2"/>
  <c r="AQ346" i="2"/>
  <c r="AQ347" i="2"/>
  <c r="AQ348" i="2"/>
  <c r="AQ349" i="2"/>
  <c r="AQ350" i="2"/>
  <c r="AQ351" i="2"/>
  <c r="AQ352" i="2"/>
  <c r="AQ353" i="2"/>
  <c r="AQ354" i="2"/>
  <c r="AQ355" i="2"/>
  <c r="AQ356" i="2"/>
  <c r="AQ357" i="2"/>
  <c r="AQ358" i="2"/>
  <c r="AQ359" i="2"/>
  <c r="AQ360" i="2"/>
  <c r="AQ361" i="2"/>
  <c r="AQ362" i="2"/>
  <c r="AQ363" i="2"/>
  <c r="AQ364" i="2"/>
  <c r="AQ365" i="2"/>
  <c r="AQ366" i="2"/>
  <c r="AQ367" i="2"/>
  <c r="AQ368" i="2"/>
  <c r="AQ369" i="2"/>
  <c r="AQ370" i="2"/>
  <c r="AQ371" i="2"/>
  <c r="AQ372" i="2"/>
  <c r="AQ373" i="2"/>
  <c r="AQ374" i="2"/>
  <c r="AQ375" i="2"/>
  <c r="AQ376" i="2"/>
  <c r="AQ377" i="2"/>
  <c r="AQ378" i="2"/>
  <c r="AQ379" i="2"/>
  <c r="AQ380" i="2"/>
  <c r="AQ381" i="2"/>
  <c r="AQ382" i="2"/>
  <c r="AQ383" i="2"/>
  <c r="AQ384" i="2"/>
  <c r="AQ385" i="2"/>
  <c r="AQ386" i="2"/>
  <c r="AQ387" i="2"/>
  <c r="AQ388" i="2"/>
  <c r="AQ389" i="2"/>
  <c r="AQ390" i="2"/>
  <c r="AQ391" i="2"/>
  <c r="AQ392" i="2"/>
  <c r="AQ393" i="2"/>
  <c r="AQ394" i="2"/>
  <c r="AQ395" i="2"/>
  <c r="AQ396" i="2"/>
  <c r="AQ397" i="2"/>
  <c r="AQ398" i="2"/>
  <c r="AQ399" i="2"/>
  <c r="AQ400" i="2"/>
  <c r="AQ401" i="2"/>
  <c r="AQ402" i="2"/>
  <c r="AQ403" i="2"/>
  <c r="AQ404" i="2"/>
  <c r="AQ405" i="2"/>
  <c r="AQ406" i="2"/>
  <c r="AQ407" i="2"/>
  <c r="AQ408" i="2"/>
  <c r="AQ409" i="2"/>
  <c r="AQ410" i="2"/>
  <c r="AQ411" i="2"/>
  <c r="AQ412" i="2"/>
  <c r="AQ413" i="2"/>
  <c r="AQ414" i="2"/>
  <c r="AQ415" i="2"/>
  <c r="AQ416" i="2"/>
  <c r="AQ417" i="2"/>
  <c r="AQ418" i="2"/>
  <c r="AQ419" i="2"/>
  <c r="AQ420" i="2"/>
  <c r="AQ421" i="2"/>
  <c r="AQ422" i="2"/>
  <c r="AQ423" i="2"/>
  <c r="AQ424" i="2"/>
  <c r="AQ425" i="2"/>
  <c r="AQ426" i="2"/>
  <c r="AQ427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56" i="2"/>
  <c r="AQ457" i="2"/>
  <c r="AQ458" i="2"/>
  <c r="AQ459" i="2"/>
  <c r="AQ460" i="2"/>
  <c r="AQ461" i="2"/>
  <c r="AQ462" i="2"/>
  <c r="AQ463" i="2"/>
  <c r="AQ464" i="2"/>
  <c r="AQ465" i="2"/>
  <c r="AQ466" i="2"/>
  <c r="AQ467" i="2"/>
  <c r="AQ468" i="2"/>
  <c r="AQ469" i="2"/>
  <c r="AQ470" i="2"/>
  <c r="AQ471" i="2"/>
  <c r="AQ472" i="2"/>
  <c r="AQ473" i="2"/>
  <c r="AQ474" i="2"/>
  <c r="AQ475" i="2"/>
  <c r="AQ476" i="2"/>
  <c r="AQ477" i="2"/>
  <c r="AQ478" i="2"/>
  <c r="AQ479" i="2"/>
  <c r="AQ480" i="2"/>
  <c r="AQ481" i="2"/>
  <c r="AQ482" i="2"/>
  <c r="AQ483" i="2"/>
  <c r="AQ484" i="2"/>
  <c r="AQ485" i="2"/>
  <c r="AQ486" i="2"/>
  <c r="AQ487" i="2"/>
  <c r="AQ488" i="2"/>
  <c r="AQ489" i="2"/>
  <c r="AQ490" i="2"/>
  <c r="AQ491" i="2"/>
  <c r="AQ492" i="2"/>
  <c r="AQ493" i="2"/>
  <c r="AQ494" i="2"/>
  <c r="AQ495" i="2"/>
  <c r="AQ496" i="2"/>
  <c r="AQ497" i="2"/>
  <c r="AQ498" i="2"/>
  <c r="AQ499" i="2"/>
  <c r="AQ500" i="2"/>
  <c r="AQ501" i="2"/>
  <c r="AQ502" i="2"/>
  <c r="AQ503" i="2"/>
  <c r="AQ504" i="2"/>
  <c r="AQ505" i="2"/>
  <c r="AQ506" i="2"/>
  <c r="AQ507" i="2"/>
  <c r="AQ508" i="2"/>
  <c r="AQ509" i="2"/>
  <c r="AQ510" i="2"/>
  <c r="AQ511" i="2"/>
  <c r="AQ512" i="2"/>
  <c r="AQ513" i="2"/>
  <c r="AQ514" i="2"/>
  <c r="AQ515" i="2"/>
  <c r="AQ516" i="2"/>
  <c r="AQ517" i="2"/>
  <c r="AQ518" i="2"/>
  <c r="AQ519" i="2"/>
  <c r="AQ520" i="2"/>
  <c r="AQ521" i="2"/>
  <c r="AQ522" i="2"/>
  <c r="AQ523" i="2"/>
  <c r="AQ524" i="2"/>
  <c r="AQ525" i="2"/>
  <c r="AQ526" i="2"/>
  <c r="AQ527" i="2"/>
  <c r="AQ528" i="2"/>
  <c r="AQ529" i="2"/>
  <c r="AQ530" i="2"/>
  <c r="AQ531" i="2"/>
  <c r="AQ532" i="2"/>
  <c r="AQ533" i="2"/>
  <c r="AQ534" i="2"/>
  <c r="AQ535" i="2"/>
  <c r="AQ536" i="2"/>
  <c r="AQ537" i="2"/>
  <c r="AQ538" i="2"/>
  <c r="AQ539" i="2"/>
  <c r="AQ540" i="2"/>
  <c r="AQ541" i="2"/>
  <c r="AQ542" i="2"/>
  <c r="AQ543" i="2"/>
  <c r="AQ544" i="2"/>
  <c r="AQ545" i="2"/>
  <c r="AQ546" i="2"/>
  <c r="AQ547" i="2"/>
  <c r="AQ548" i="2"/>
  <c r="AQ549" i="2"/>
  <c r="AQ550" i="2"/>
  <c r="AQ551" i="2"/>
  <c r="AQ552" i="2"/>
  <c r="AQ553" i="2"/>
  <c r="AQ554" i="2"/>
  <c r="AQ555" i="2"/>
  <c r="AQ556" i="2"/>
  <c r="AQ557" i="2"/>
  <c r="AQ558" i="2"/>
  <c r="AQ559" i="2"/>
  <c r="AQ560" i="2"/>
  <c r="AQ561" i="2"/>
  <c r="AQ562" i="2"/>
  <c r="AQ563" i="2"/>
  <c r="AQ564" i="2"/>
  <c r="AQ565" i="2"/>
  <c r="AQ566" i="2"/>
  <c r="AQ567" i="2"/>
  <c r="AQ568" i="2"/>
  <c r="AQ569" i="2"/>
  <c r="AQ570" i="2"/>
  <c r="AQ571" i="2"/>
  <c r="AQ572" i="2"/>
  <c r="AQ573" i="2"/>
  <c r="AQ574" i="2"/>
  <c r="AQ575" i="2"/>
  <c r="AQ576" i="2"/>
  <c r="AQ577" i="2"/>
  <c r="AQ578" i="2"/>
  <c r="AQ579" i="2"/>
  <c r="AQ580" i="2"/>
  <c r="AQ581" i="2"/>
  <c r="AQ582" i="2"/>
  <c r="AQ583" i="2"/>
  <c r="AQ584" i="2"/>
  <c r="AQ585" i="2"/>
  <c r="AQ586" i="2"/>
  <c r="AQ587" i="2"/>
  <c r="AQ588" i="2"/>
  <c r="AQ589" i="2"/>
  <c r="AQ590" i="2"/>
  <c r="AQ591" i="2"/>
  <c r="AQ592" i="2"/>
  <c r="AQ593" i="2"/>
  <c r="AQ594" i="2"/>
  <c r="AQ595" i="2"/>
  <c r="AQ596" i="2"/>
  <c r="AQ597" i="2"/>
  <c r="AQ598" i="2"/>
  <c r="AQ599" i="2"/>
  <c r="AQ600" i="2"/>
  <c r="AQ601" i="2"/>
  <c r="AQ602" i="2"/>
  <c r="AQ603" i="2"/>
  <c r="AQ604" i="2"/>
  <c r="AQ605" i="2"/>
  <c r="AQ606" i="2"/>
  <c r="AQ607" i="2"/>
  <c r="AQ608" i="2"/>
  <c r="AQ609" i="2"/>
  <c r="AQ610" i="2"/>
  <c r="AQ611" i="2"/>
  <c r="AQ612" i="2"/>
  <c r="AQ613" i="2"/>
  <c r="AQ614" i="2"/>
  <c r="AQ615" i="2"/>
  <c r="AQ616" i="2"/>
  <c r="AQ617" i="2"/>
  <c r="AQ618" i="2"/>
  <c r="AQ619" i="2"/>
  <c r="AQ620" i="2"/>
  <c r="AQ621" i="2"/>
  <c r="AQ622" i="2"/>
  <c r="AQ623" i="2"/>
  <c r="AQ624" i="2"/>
  <c r="AQ625" i="2"/>
  <c r="AQ626" i="2"/>
  <c r="AQ627" i="2"/>
  <c r="AQ628" i="2"/>
  <c r="AQ629" i="2"/>
  <c r="AQ630" i="2"/>
  <c r="AQ631" i="2"/>
  <c r="AQ632" i="2"/>
  <c r="AQ633" i="2"/>
  <c r="AQ634" i="2"/>
  <c r="AQ635" i="2"/>
  <c r="AQ636" i="2"/>
  <c r="AQ637" i="2"/>
  <c r="AQ638" i="2"/>
  <c r="AQ639" i="2"/>
  <c r="AQ640" i="2"/>
  <c r="AQ641" i="2"/>
  <c r="AQ642" i="2"/>
  <c r="AQ643" i="2"/>
  <c r="AQ644" i="2"/>
  <c r="AQ645" i="2"/>
  <c r="AQ646" i="2"/>
  <c r="AQ647" i="2"/>
  <c r="AQ648" i="2"/>
  <c r="AQ649" i="2"/>
  <c r="AQ650" i="2"/>
  <c r="AQ651" i="2"/>
  <c r="AQ652" i="2"/>
  <c r="AQ653" i="2"/>
  <c r="AQ654" i="2"/>
  <c r="AQ655" i="2"/>
  <c r="AQ656" i="2"/>
  <c r="AQ657" i="2"/>
  <c r="AQ658" i="2"/>
  <c r="AQ659" i="2"/>
  <c r="AQ660" i="2"/>
  <c r="AQ661" i="2"/>
  <c r="AQ662" i="2"/>
  <c r="AQ663" i="2"/>
  <c r="AQ664" i="2"/>
  <c r="AQ665" i="2"/>
  <c r="AQ666" i="2"/>
  <c r="AQ667" i="2"/>
  <c r="AQ668" i="2"/>
  <c r="AQ669" i="2"/>
  <c r="AQ670" i="2"/>
  <c r="AQ671" i="2"/>
  <c r="AQ672" i="2"/>
  <c r="AQ673" i="2"/>
  <c r="AQ674" i="2"/>
  <c r="AQ675" i="2"/>
  <c r="AQ676" i="2"/>
  <c r="AQ677" i="2"/>
  <c r="AQ678" i="2"/>
  <c r="AQ679" i="2"/>
  <c r="AQ680" i="2"/>
  <c r="AQ681" i="2"/>
  <c r="AQ682" i="2"/>
  <c r="AQ683" i="2"/>
  <c r="AQ684" i="2"/>
  <c r="AQ685" i="2"/>
  <c r="AQ686" i="2"/>
  <c r="AQ687" i="2"/>
  <c r="AQ688" i="2"/>
  <c r="AQ689" i="2"/>
  <c r="AQ690" i="2"/>
  <c r="AQ691" i="2"/>
  <c r="AQ692" i="2"/>
  <c r="AQ693" i="2"/>
  <c r="AQ694" i="2"/>
  <c r="AQ695" i="2"/>
  <c r="AQ696" i="2"/>
  <c r="AQ697" i="2"/>
  <c r="AQ698" i="2"/>
  <c r="AQ699" i="2"/>
  <c r="AQ700" i="2"/>
  <c r="AQ701" i="2"/>
  <c r="AQ702" i="2"/>
  <c r="AQ703" i="2"/>
  <c r="AQ704" i="2"/>
  <c r="AQ705" i="2"/>
  <c r="AQ706" i="2"/>
  <c r="AQ707" i="2"/>
  <c r="AQ708" i="2"/>
  <c r="AQ709" i="2"/>
  <c r="AQ710" i="2"/>
  <c r="AQ711" i="2"/>
  <c r="AQ712" i="2"/>
  <c r="AQ713" i="2"/>
  <c r="AQ714" i="2"/>
  <c r="AQ715" i="2"/>
  <c r="AQ716" i="2"/>
  <c r="AQ717" i="2"/>
  <c r="AQ718" i="2"/>
  <c r="AQ719" i="2"/>
  <c r="AQ720" i="2"/>
  <c r="AQ721" i="2"/>
  <c r="AQ722" i="2"/>
  <c r="AQ723" i="2"/>
  <c r="AQ724" i="2"/>
  <c r="AQ725" i="2"/>
  <c r="AQ726" i="2"/>
  <c r="AQ727" i="2"/>
  <c r="AQ728" i="2"/>
  <c r="AQ729" i="2"/>
  <c r="AQ730" i="2"/>
  <c r="AQ731" i="2"/>
  <c r="AQ732" i="2"/>
  <c r="AQ733" i="2"/>
  <c r="AQ734" i="2"/>
  <c r="AQ735" i="2"/>
  <c r="AQ736" i="2"/>
  <c r="AQ737" i="2"/>
  <c r="AQ738" i="2"/>
  <c r="AQ739" i="2"/>
  <c r="AQ740" i="2"/>
  <c r="AQ741" i="2"/>
  <c r="AQ742" i="2"/>
  <c r="AQ743" i="2"/>
  <c r="AQ744" i="2"/>
  <c r="AQ745" i="2"/>
  <c r="AQ746" i="2"/>
  <c r="AQ747" i="2"/>
  <c r="AQ748" i="2"/>
  <c r="AQ749" i="2"/>
  <c r="AQ750" i="2"/>
  <c r="AQ751" i="2"/>
  <c r="AQ752" i="2"/>
  <c r="AQ753" i="2"/>
  <c r="AQ754" i="2"/>
  <c r="AQ755" i="2"/>
  <c r="AQ756" i="2"/>
  <c r="AQ757" i="2"/>
  <c r="AQ758" i="2"/>
  <c r="AQ759" i="2"/>
  <c r="AQ760" i="2"/>
  <c r="AQ761" i="2"/>
  <c r="AQ762" i="2"/>
  <c r="AQ763" i="2"/>
  <c r="AQ764" i="2"/>
  <c r="AQ765" i="2"/>
  <c r="AQ766" i="2"/>
  <c r="AQ767" i="2"/>
  <c r="AQ768" i="2"/>
  <c r="AQ769" i="2"/>
  <c r="AQ770" i="2"/>
  <c r="AQ771" i="2"/>
  <c r="AQ772" i="2"/>
  <c r="AQ773" i="2"/>
  <c r="AQ774" i="2"/>
  <c r="AQ775" i="2"/>
  <c r="AQ776" i="2"/>
  <c r="AQ777" i="2"/>
  <c r="AQ778" i="2"/>
  <c r="AQ779" i="2"/>
  <c r="AQ780" i="2"/>
  <c r="AQ781" i="2"/>
  <c r="AQ782" i="2"/>
  <c r="AQ783" i="2"/>
  <c r="AQ784" i="2"/>
  <c r="AQ785" i="2"/>
  <c r="AQ786" i="2"/>
  <c r="AQ787" i="2"/>
  <c r="AQ788" i="2"/>
  <c r="AQ789" i="2"/>
  <c r="AQ790" i="2"/>
  <c r="AQ791" i="2"/>
  <c r="AQ792" i="2"/>
  <c r="AQ793" i="2"/>
  <c r="AQ794" i="2"/>
  <c r="AQ795" i="2"/>
  <c r="AQ796" i="2"/>
  <c r="AQ797" i="2"/>
  <c r="AQ798" i="2"/>
  <c r="AQ799" i="2"/>
  <c r="AQ800" i="2"/>
  <c r="AQ801" i="2"/>
  <c r="AQ802" i="2"/>
  <c r="AQ803" i="2"/>
  <c r="AQ804" i="2"/>
  <c r="AQ805" i="2"/>
  <c r="AQ806" i="2"/>
  <c r="AQ807" i="2"/>
  <c r="AQ808" i="2"/>
  <c r="AQ809" i="2"/>
  <c r="AQ810" i="2"/>
  <c r="AQ811" i="2"/>
  <c r="AQ812" i="2"/>
  <c r="AQ813" i="2"/>
  <c r="AQ814" i="2"/>
  <c r="AQ815" i="2"/>
  <c r="AQ816" i="2"/>
  <c r="AQ817" i="2"/>
  <c r="AQ818" i="2"/>
  <c r="AQ819" i="2"/>
  <c r="AQ820" i="2"/>
  <c r="AQ821" i="2"/>
  <c r="AQ822" i="2"/>
  <c r="AQ823" i="2"/>
  <c r="AQ824" i="2"/>
  <c r="AQ825" i="2"/>
  <c r="AQ826" i="2"/>
  <c r="AQ827" i="2"/>
  <c r="AQ828" i="2"/>
  <c r="AQ829" i="2"/>
  <c r="AQ830" i="2"/>
  <c r="AQ831" i="2"/>
  <c r="AQ832" i="2"/>
  <c r="AQ833" i="2"/>
  <c r="AQ834" i="2"/>
  <c r="AQ835" i="2"/>
  <c r="AQ836" i="2"/>
  <c r="AQ837" i="2"/>
  <c r="AQ838" i="2"/>
  <c r="AQ839" i="2"/>
  <c r="AQ840" i="2"/>
  <c r="AQ841" i="2"/>
  <c r="AQ842" i="2"/>
  <c r="AQ843" i="2"/>
  <c r="AQ844" i="2"/>
  <c r="AQ845" i="2"/>
  <c r="AQ846" i="2"/>
  <c r="AQ847" i="2"/>
  <c r="AQ848" i="2"/>
  <c r="AQ849" i="2"/>
  <c r="AQ850" i="2"/>
  <c r="AQ851" i="2"/>
  <c r="AQ852" i="2"/>
  <c r="AQ853" i="2"/>
  <c r="AQ854" i="2"/>
  <c r="AQ855" i="2"/>
  <c r="AQ856" i="2"/>
  <c r="AQ857" i="2"/>
  <c r="AQ858" i="2"/>
  <c r="AQ859" i="2"/>
  <c r="AQ860" i="2"/>
  <c r="AQ861" i="2"/>
  <c r="AQ862" i="2"/>
  <c r="AQ863" i="2"/>
  <c r="AQ864" i="2"/>
  <c r="AQ865" i="2"/>
  <c r="AQ866" i="2"/>
  <c r="AQ867" i="2"/>
  <c r="AQ868" i="2"/>
  <c r="AQ869" i="2"/>
  <c r="AQ870" i="2"/>
  <c r="AQ871" i="2"/>
  <c r="AQ872" i="2"/>
  <c r="AQ873" i="2"/>
  <c r="AQ874" i="2"/>
  <c r="AQ875" i="2"/>
  <c r="AQ876" i="2"/>
  <c r="AQ877" i="2"/>
  <c r="AQ878" i="2"/>
  <c r="AQ879" i="2"/>
  <c r="AQ880" i="2"/>
  <c r="AQ881" i="2"/>
  <c r="AQ882" i="2"/>
  <c r="AQ883" i="2"/>
  <c r="AQ884" i="2"/>
  <c r="AQ885" i="2"/>
  <c r="AQ886" i="2"/>
  <c r="AQ887" i="2"/>
  <c r="AQ888" i="2"/>
  <c r="AQ889" i="2"/>
  <c r="AQ890" i="2"/>
  <c r="AQ891" i="2"/>
  <c r="AQ892" i="2"/>
  <c r="AQ893" i="2"/>
  <c r="AQ894" i="2"/>
  <c r="AQ895" i="2"/>
  <c r="AQ896" i="2"/>
  <c r="AQ897" i="2"/>
  <c r="AQ898" i="2"/>
  <c r="AQ899" i="2"/>
  <c r="AQ900" i="2"/>
  <c r="AQ901" i="2"/>
  <c r="AQ902" i="2"/>
  <c r="AQ903" i="2"/>
  <c r="AQ904" i="2"/>
  <c r="AQ905" i="2"/>
  <c r="AQ906" i="2"/>
  <c r="AQ907" i="2"/>
  <c r="AQ908" i="2"/>
  <c r="AQ909" i="2"/>
  <c r="AQ910" i="2"/>
  <c r="AQ911" i="2"/>
  <c r="AQ912" i="2"/>
  <c r="AQ913" i="2"/>
  <c r="AQ914" i="2"/>
  <c r="AQ915" i="2"/>
  <c r="AQ916" i="2"/>
  <c r="AQ917" i="2"/>
  <c r="AQ918" i="2"/>
  <c r="AQ919" i="2"/>
  <c r="AQ920" i="2"/>
  <c r="AQ921" i="2"/>
  <c r="AQ922" i="2"/>
  <c r="AQ923" i="2"/>
  <c r="AQ924" i="2"/>
  <c r="AQ925" i="2"/>
  <c r="AQ926" i="2"/>
  <c r="AQ927" i="2"/>
  <c r="AQ928" i="2"/>
  <c r="AQ929" i="2"/>
  <c r="AQ930" i="2"/>
  <c r="AQ931" i="2"/>
  <c r="AQ932" i="2"/>
  <c r="AQ933" i="2"/>
  <c r="AQ934" i="2"/>
  <c r="AQ935" i="2"/>
  <c r="AQ936" i="2"/>
  <c r="AQ937" i="2"/>
  <c r="AQ938" i="2"/>
  <c r="AQ939" i="2"/>
  <c r="AQ940" i="2"/>
  <c r="AQ941" i="2"/>
  <c r="AQ942" i="2"/>
  <c r="AQ943" i="2"/>
  <c r="AQ944" i="2"/>
  <c r="AQ945" i="2"/>
  <c r="AQ946" i="2"/>
  <c r="AQ947" i="2"/>
  <c r="AQ948" i="2"/>
  <c r="AQ949" i="2"/>
  <c r="AQ950" i="2"/>
  <c r="AQ951" i="2"/>
  <c r="AQ952" i="2"/>
  <c r="AQ953" i="2"/>
  <c r="AQ954" i="2"/>
  <c r="AQ955" i="2"/>
  <c r="AQ956" i="2"/>
  <c r="AQ957" i="2"/>
  <c r="AQ958" i="2"/>
  <c r="AQ959" i="2"/>
  <c r="AQ960" i="2"/>
  <c r="AQ961" i="2"/>
  <c r="AQ962" i="2"/>
  <c r="AQ963" i="2"/>
  <c r="AQ964" i="2"/>
  <c r="AQ965" i="2"/>
  <c r="AQ966" i="2"/>
  <c r="AQ967" i="2"/>
  <c r="AQ968" i="2"/>
  <c r="AQ969" i="2"/>
  <c r="AQ970" i="2"/>
  <c r="AQ971" i="2"/>
  <c r="AQ972" i="2"/>
  <c r="AQ973" i="2"/>
  <c r="AQ974" i="2"/>
  <c r="AQ975" i="2"/>
  <c r="AQ976" i="2"/>
  <c r="AQ977" i="2"/>
  <c r="AQ978" i="2"/>
  <c r="AQ979" i="2"/>
  <c r="AQ980" i="2"/>
  <c r="AQ981" i="2"/>
  <c r="AQ982" i="2"/>
  <c r="AQ983" i="2"/>
  <c r="AQ984" i="2"/>
  <c r="AQ985" i="2"/>
  <c r="AQ986" i="2"/>
  <c r="AQ987" i="2"/>
  <c r="AQ988" i="2"/>
  <c r="AQ989" i="2"/>
  <c r="AQ990" i="2"/>
  <c r="AQ991" i="2"/>
  <c r="AQ992" i="2"/>
  <c r="AQ993" i="2"/>
  <c r="AQ994" i="2"/>
  <c r="AQ995" i="2"/>
  <c r="AQ996" i="2"/>
  <c r="AQ997" i="2"/>
  <c r="AQ998" i="2"/>
  <c r="AQ999" i="2"/>
  <c r="AQ1000" i="2"/>
  <c r="AQ1001" i="2"/>
  <c r="AQ1002" i="2"/>
  <c r="AQ1003" i="2"/>
  <c r="AQ1004" i="2"/>
  <c r="AQ1005" i="2"/>
  <c r="AQ1006" i="2"/>
  <c r="AQ1007" i="2"/>
  <c r="AQ1008" i="2"/>
  <c r="AQ1009" i="2"/>
  <c r="AQ1010" i="2"/>
  <c r="AQ1011" i="2"/>
  <c r="AQ1012" i="2"/>
  <c r="AQ1013" i="2"/>
  <c r="AQ1014" i="2"/>
  <c r="AQ1015" i="2"/>
  <c r="AQ1016" i="2"/>
  <c r="AQ1017" i="2"/>
  <c r="AQ1018" i="2"/>
  <c r="AQ1019" i="2"/>
  <c r="AQ1020" i="2"/>
  <c r="AQ1021" i="2"/>
  <c r="AQ1022" i="2"/>
  <c r="AQ1023" i="2"/>
  <c r="AQ1024" i="2"/>
  <c r="AQ1025" i="2"/>
  <c r="AQ1026" i="2"/>
  <c r="AQ1027" i="2"/>
  <c r="AQ1028" i="2"/>
  <c r="AQ1029" i="2"/>
  <c r="AQ1030" i="2"/>
  <c r="AQ1031" i="2"/>
  <c r="AQ1032" i="2"/>
  <c r="AQ1033" i="2"/>
  <c r="AQ1034" i="2"/>
  <c r="AQ1035" i="2"/>
  <c r="AQ1036" i="2"/>
  <c r="AQ1037" i="2"/>
  <c r="AQ1038" i="2"/>
  <c r="AQ1039" i="2"/>
  <c r="AQ1040" i="2"/>
  <c r="AQ1041" i="2"/>
  <c r="AQ1042" i="2"/>
  <c r="AQ1043" i="2"/>
  <c r="AQ1044" i="2"/>
  <c r="AQ1045" i="2"/>
  <c r="AQ1046" i="2"/>
  <c r="AQ1047" i="2"/>
  <c r="AQ1048" i="2"/>
  <c r="AQ1049" i="2"/>
  <c r="AQ1050" i="2"/>
  <c r="AQ1051" i="2"/>
  <c r="AQ1052" i="2"/>
  <c r="AQ1053" i="2"/>
  <c r="AQ1054" i="2"/>
  <c r="AQ1055" i="2"/>
  <c r="AQ1056" i="2"/>
  <c r="AQ1057" i="2"/>
  <c r="AQ1058" i="2"/>
  <c r="AQ1059" i="2"/>
  <c r="AQ1060" i="2"/>
  <c r="AQ1061" i="2"/>
  <c r="AQ1062" i="2"/>
  <c r="AQ1063" i="2"/>
  <c r="AQ1064" i="2"/>
  <c r="AQ1065" i="2"/>
  <c r="AQ1066" i="2"/>
  <c r="AQ1067" i="2"/>
  <c r="AQ1068" i="2"/>
  <c r="AQ1069" i="2"/>
  <c r="AQ1070" i="2"/>
  <c r="AQ1071" i="2"/>
  <c r="AQ1072" i="2"/>
  <c r="AQ1073" i="2"/>
  <c r="AQ1074" i="2"/>
  <c r="AK36" i="5" l="1"/>
  <c r="AF37" i="5"/>
  <c r="AL36" i="5" s="1"/>
  <c r="AE37" i="5"/>
  <c r="AD37" i="5"/>
  <c r="Z37" i="5"/>
  <c r="Y37" i="5"/>
  <c r="W37" i="5"/>
  <c r="V37" i="5"/>
  <c r="U37" i="5"/>
  <c r="AB37" i="5" l="1"/>
  <c r="AG37" i="5"/>
  <c r="AC37" i="5"/>
  <c r="X37" i="5"/>
  <c r="AA37" i="5"/>
  <c r="AM36" i="5" s="1"/>
  <c r="AN36" i="5" s="1"/>
  <c r="AO36" i="5" s="1"/>
  <c r="U74" i="5" l="1"/>
  <c r="U91" i="5" l="1"/>
  <c r="U96" i="5"/>
  <c r="U93" i="5"/>
  <c r="U95" i="5"/>
  <c r="U97" i="5"/>
  <c r="U99" i="5"/>
  <c r="U98" i="5"/>
  <c r="U87" i="5"/>
  <c r="U92" i="5"/>
  <c r="U82" i="5"/>
  <c r="U94" i="5"/>
  <c r="U89" i="5"/>
  <c r="U88" i="5"/>
  <c r="U85" i="5"/>
  <c r="U86" i="5"/>
  <c r="U90" i="5"/>
  <c r="U84" i="5"/>
  <c r="U80" i="5"/>
  <c r="U81" i="5"/>
  <c r="U83" i="5"/>
  <c r="U79" i="5"/>
  <c r="U77" i="5"/>
  <c r="U78" i="5"/>
  <c r="U76" i="5"/>
  <c r="U75" i="5"/>
  <c r="U62" i="5"/>
  <c r="U52" i="5"/>
  <c r="U68" i="5"/>
  <c r="U61" i="5"/>
  <c r="U65" i="5"/>
  <c r="U66" i="5"/>
  <c r="U64" i="5"/>
  <c r="U63" i="5"/>
  <c r="U67" i="5"/>
  <c r="U56" i="5"/>
  <c r="U59" i="5"/>
  <c r="U50" i="5"/>
  <c r="U54" i="5"/>
  <c r="U57" i="5"/>
  <c r="U49" i="5"/>
  <c r="U55" i="5"/>
  <c r="U47" i="5"/>
  <c r="U58" i="5"/>
  <c r="U60" i="5"/>
  <c r="U48" i="5"/>
  <c r="U51" i="5"/>
  <c r="U53" i="5"/>
  <c r="U46" i="5"/>
  <c r="U45" i="5"/>
  <c r="U44" i="5"/>
  <c r="U43" i="5"/>
  <c r="AK35" i="5"/>
  <c r="AK34" i="5"/>
  <c r="AK33" i="5"/>
  <c r="AK32" i="5"/>
  <c r="AK31" i="5"/>
  <c r="AK30" i="5"/>
  <c r="AK29" i="5"/>
  <c r="AK28" i="5"/>
  <c r="AK27" i="5"/>
  <c r="AK26" i="5"/>
  <c r="AK25" i="5"/>
  <c r="AK24" i="5"/>
  <c r="AF36" i="5"/>
  <c r="AL35" i="5" s="1"/>
  <c r="AF35" i="5"/>
  <c r="AL34" i="5" s="1"/>
  <c r="AF34" i="5"/>
  <c r="AL33" i="5" s="1"/>
  <c r="AF33" i="5"/>
  <c r="AL32" i="5" s="1"/>
  <c r="AF32" i="5"/>
  <c r="AL31" i="5" s="1"/>
  <c r="AF31" i="5"/>
  <c r="AL30" i="5" s="1"/>
  <c r="AF30" i="5"/>
  <c r="AL29" i="5" s="1"/>
  <c r="AF29" i="5"/>
  <c r="AL28" i="5" s="1"/>
  <c r="AF28" i="5"/>
  <c r="AL27" i="5" s="1"/>
  <c r="AF27" i="5"/>
  <c r="AL26" i="5" s="1"/>
  <c r="AF26" i="5"/>
  <c r="AL25" i="5" s="1"/>
  <c r="AF25" i="5"/>
  <c r="AE36" i="5"/>
  <c r="AE35" i="5"/>
  <c r="AE34" i="5"/>
  <c r="AE33" i="5"/>
  <c r="AE32" i="5"/>
  <c r="AE31" i="5"/>
  <c r="AE30" i="5"/>
  <c r="AE29" i="5"/>
  <c r="AE28" i="5"/>
  <c r="AE27" i="5"/>
  <c r="AE26" i="5"/>
  <c r="AE25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Z36" i="5"/>
  <c r="Z35" i="5"/>
  <c r="Z34" i="5"/>
  <c r="Z33" i="5"/>
  <c r="Z32" i="5"/>
  <c r="Z31" i="5"/>
  <c r="Z30" i="5"/>
  <c r="Z29" i="5"/>
  <c r="Z28" i="5"/>
  <c r="Z27" i="5"/>
  <c r="Z26" i="5"/>
  <c r="Z25" i="5"/>
  <c r="Y36" i="5"/>
  <c r="Y35" i="5"/>
  <c r="Y34" i="5"/>
  <c r="Y33" i="5"/>
  <c r="Y32" i="5"/>
  <c r="Y31" i="5"/>
  <c r="Y30" i="5"/>
  <c r="Y29" i="5"/>
  <c r="Y28" i="5"/>
  <c r="Y27" i="5"/>
  <c r="Y26" i="5"/>
  <c r="Y25" i="5"/>
  <c r="V36" i="5"/>
  <c r="V35" i="5"/>
  <c r="V34" i="5"/>
  <c r="V33" i="5"/>
  <c r="V32" i="5"/>
  <c r="V31" i="5"/>
  <c r="V30" i="5"/>
  <c r="V29" i="5"/>
  <c r="V28" i="5"/>
  <c r="V27" i="5"/>
  <c r="V26" i="5"/>
  <c r="V25" i="5"/>
  <c r="U36" i="5"/>
  <c r="U35" i="5"/>
  <c r="U34" i="5"/>
  <c r="U33" i="5"/>
  <c r="U32" i="5"/>
  <c r="U31" i="5"/>
  <c r="U30" i="5"/>
  <c r="U29" i="5"/>
  <c r="U28" i="5"/>
  <c r="U27" i="5"/>
  <c r="U26" i="5"/>
  <c r="U25" i="5"/>
  <c r="AK37" i="5" l="1"/>
  <c r="Y38" i="5"/>
  <c r="Z38" i="5"/>
  <c r="AD38" i="5"/>
  <c r="AE38" i="5"/>
  <c r="AL24" i="5"/>
  <c r="AL37" i="5" s="1"/>
  <c r="AF38" i="5"/>
  <c r="U38" i="5"/>
  <c r="V38" i="5"/>
  <c r="U100" i="5"/>
  <c r="V78" i="5" s="1"/>
  <c r="D9" i="7"/>
  <c r="D14" i="7"/>
  <c r="D15" i="7"/>
  <c r="D16" i="7"/>
  <c r="D5" i="7"/>
  <c r="D6" i="7"/>
  <c r="D7" i="7"/>
  <c r="D10" i="7"/>
  <c r="D8" i="7"/>
  <c r="D11" i="7"/>
  <c r="D12" i="7"/>
  <c r="D13" i="7"/>
  <c r="D18" i="7" l="1"/>
  <c r="AA73" i="5" a="1"/>
  <c r="AA73" i="5" s="1"/>
  <c r="V93" i="5"/>
  <c r="V99" i="5"/>
  <c r="V90" i="5"/>
  <c r="V75" i="5"/>
  <c r="V83" i="5"/>
  <c r="V80" i="5"/>
  <c r="V97" i="5"/>
  <c r="V92" i="5"/>
  <c r="V85" i="5"/>
  <c r="V96" i="5"/>
  <c r="V95" i="5"/>
  <c r="V87" i="5"/>
  <c r="V82" i="5"/>
  <c r="V81" i="5"/>
  <c r="V79" i="5"/>
  <c r="V86" i="5"/>
  <c r="V91" i="5"/>
  <c r="V89" i="5"/>
  <c r="V84" i="5"/>
  <c r="V94" i="5"/>
  <c r="V77" i="5"/>
  <c r="V88" i="5"/>
  <c r="V98" i="5"/>
  <c r="V76" i="5"/>
  <c r="V74" i="5"/>
  <c r="AK17" i="5" l="1"/>
  <c r="W96" i="5"/>
  <c r="W93" i="5"/>
  <c r="W97" i="5"/>
  <c r="W91" i="5"/>
  <c r="W95" i="5"/>
  <c r="W98" i="5"/>
  <c r="W87" i="5"/>
  <c r="W99" i="5"/>
  <c r="W81" i="5"/>
  <c r="W90" i="5"/>
  <c r="W94" i="5"/>
  <c r="W84" i="5"/>
  <c r="W89" i="5"/>
  <c r="W82" i="5"/>
  <c r="W88" i="5"/>
  <c r="W85" i="5"/>
  <c r="W86" i="5"/>
  <c r="W80" i="5"/>
  <c r="W79" i="5"/>
  <c r="W83" i="5"/>
  <c r="W92" i="5"/>
  <c r="W77" i="5"/>
  <c r="W75" i="5"/>
  <c r="W76" i="5"/>
  <c r="W78" i="5"/>
  <c r="W74" i="5"/>
  <c r="X74" i="5" s="1"/>
  <c r="U69" i="5"/>
  <c r="V64" i="5" s="1"/>
  <c r="W64" i="5" s="1"/>
  <c r="AG36" i="5"/>
  <c r="AG35" i="5"/>
  <c r="AG34" i="5"/>
  <c r="AG33" i="5"/>
  <c r="AG32" i="5"/>
  <c r="AG31" i="5"/>
  <c r="AG30" i="5"/>
  <c r="AG29" i="5"/>
  <c r="AG28" i="5"/>
  <c r="AG27" i="5"/>
  <c r="AG26" i="5"/>
  <c r="AG25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X36" i="5"/>
  <c r="X35" i="5"/>
  <c r="X34" i="5"/>
  <c r="X33" i="5"/>
  <c r="X32" i="5"/>
  <c r="X31" i="5"/>
  <c r="X30" i="5"/>
  <c r="X29" i="5"/>
  <c r="X28" i="5"/>
  <c r="X27" i="5"/>
  <c r="X26" i="5"/>
  <c r="X25" i="5"/>
  <c r="W26" i="5" l="1"/>
  <c r="W29" i="5"/>
  <c r="W30" i="5"/>
  <c r="W36" i="5"/>
  <c r="W34" i="5"/>
  <c r="W28" i="5"/>
  <c r="W33" i="5"/>
  <c r="W35" i="5"/>
  <c r="W25" i="5"/>
  <c r="W27" i="5"/>
  <c r="W6" i="5"/>
  <c r="V6" i="5"/>
  <c r="U6" i="5"/>
  <c r="W31" i="5"/>
  <c r="W32" i="5"/>
  <c r="V65" i="5"/>
  <c r="W65" i="5" s="1"/>
  <c r="AG38" i="5"/>
  <c r="V55" i="5"/>
  <c r="W55" i="5" s="1"/>
  <c r="V50" i="5"/>
  <c r="W50" i="5" s="1"/>
  <c r="AB38" i="5"/>
  <c r="V43" i="5"/>
  <c r="W43" i="5" s="1"/>
  <c r="X43" i="5" s="1"/>
  <c r="V60" i="5"/>
  <c r="W60" i="5" s="1"/>
  <c r="V68" i="5"/>
  <c r="W68" i="5" s="1"/>
  <c r="V44" i="5"/>
  <c r="W44" i="5" s="1"/>
  <c r="V56" i="5"/>
  <c r="W56" i="5" s="1"/>
  <c r="V62" i="5"/>
  <c r="W62" i="5" s="1"/>
  <c r="AC38" i="5"/>
  <c r="V45" i="5"/>
  <c r="W45" i="5" s="1"/>
  <c r="V54" i="5"/>
  <c r="W54" i="5" s="1"/>
  <c r="V46" i="5"/>
  <c r="W46" i="5" s="1"/>
  <c r="V57" i="5"/>
  <c r="W57" i="5" s="1"/>
  <c r="V53" i="5"/>
  <c r="W53" i="5" s="1"/>
  <c r="V59" i="5"/>
  <c r="W59" i="5" s="1"/>
  <c r="V52" i="5"/>
  <c r="W52" i="5" s="1"/>
  <c r="V47" i="5"/>
  <c r="W47" i="5" s="1"/>
  <c r="V63" i="5"/>
  <c r="W63" i="5" s="1"/>
  <c r="V48" i="5"/>
  <c r="W48" i="5" s="1"/>
  <c r="V67" i="5"/>
  <c r="W67" i="5" s="1"/>
  <c r="V58" i="5"/>
  <c r="W58" i="5" s="1"/>
  <c r="V66" i="5"/>
  <c r="W66" i="5" s="1"/>
  <c r="V51" i="5"/>
  <c r="W51" i="5" s="1"/>
  <c r="V61" i="5"/>
  <c r="W61" i="5" s="1"/>
  <c r="V49" i="5"/>
  <c r="W49" i="5" s="1"/>
  <c r="X38" i="5"/>
  <c r="W38" i="5" l="1"/>
  <c r="U18" i="5"/>
  <c r="X6" i="5"/>
  <c r="V18" i="5"/>
  <c r="W18" i="5"/>
  <c r="X18" i="5" l="1"/>
  <c r="E9" i="7" l="1"/>
  <c r="F14" i="7"/>
  <c r="F12" i="7"/>
  <c r="F16" i="7"/>
  <c r="F6" i="7"/>
  <c r="E5" i="7"/>
  <c r="F11" i="7"/>
  <c r="F8" i="7"/>
  <c r="E15" i="7"/>
  <c r="F7" i="7"/>
  <c r="E7" i="7"/>
  <c r="AA34" i="5"/>
  <c r="AM33" i="5" s="1"/>
  <c r="AN33" i="5" s="1"/>
  <c r="AO33" i="5" s="1"/>
  <c r="AA31" i="5"/>
  <c r="AM30" i="5" s="1"/>
  <c r="AN30" i="5" s="1"/>
  <c r="AO30" i="5" s="1"/>
  <c r="E10" i="7"/>
  <c r="F10" i="7"/>
  <c r="E11" i="7"/>
  <c r="E14" i="7"/>
  <c r="F5" i="7"/>
  <c r="E8" i="7"/>
  <c r="E6" i="7"/>
  <c r="E16" i="7"/>
  <c r="F9" i="7"/>
  <c r="E13" i="7"/>
  <c r="F13" i="7"/>
  <c r="E12" i="7"/>
  <c r="F15" i="7"/>
  <c r="AA28" i="5"/>
  <c r="AM27" i="5" s="1"/>
  <c r="AN27" i="5" s="1"/>
  <c r="AO27" i="5" s="1"/>
  <c r="AA32" i="5"/>
  <c r="AM31" i="5" s="1"/>
  <c r="AN31" i="5" s="1"/>
  <c r="AO31" i="5" s="1"/>
  <c r="AA35" i="5"/>
  <c r="AM34" i="5" s="1"/>
  <c r="AN34" i="5" s="1"/>
  <c r="AO34" i="5" s="1"/>
  <c r="AA30" i="5"/>
  <c r="AM29" i="5" s="1"/>
  <c r="AN29" i="5" s="1"/>
  <c r="AO29" i="5" s="1"/>
  <c r="AA27" i="5"/>
  <c r="AM26" i="5" s="1"/>
  <c r="AN26" i="5" s="1"/>
  <c r="AO26" i="5" s="1"/>
  <c r="AA33" i="5"/>
  <c r="AM32" i="5" s="1"/>
  <c r="AN32" i="5" s="1"/>
  <c r="AO32" i="5" s="1"/>
  <c r="AA36" i="5"/>
  <c r="AM35" i="5" s="1"/>
  <c r="AN35" i="5" s="1"/>
  <c r="AO35" i="5" s="1"/>
  <c r="AF6" i="5"/>
  <c r="AA6" i="5"/>
  <c r="Z6" i="5"/>
  <c r="Y6" i="5"/>
  <c r="AA29" i="5"/>
  <c r="AM28" i="5" s="1"/>
  <c r="AN28" i="5" s="1"/>
  <c r="AO28" i="5" s="1"/>
  <c r="AA25" i="5"/>
  <c r="AA26" i="5"/>
  <c r="AM25" i="5" s="1"/>
  <c r="AN25" i="5" s="1"/>
  <c r="AO25" i="5" s="1"/>
  <c r="AE6" i="5"/>
  <c r="AD6" i="5"/>
  <c r="F18" i="7" l="1"/>
  <c r="E18" i="7"/>
  <c r="G9" i="7"/>
  <c r="H9" i="7" s="1"/>
  <c r="G15" i="7"/>
  <c r="H15" i="7" s="1"/>
  <c r="G7" i="7"/>
  <c r="H7" i="7" s="1"/>
  <c r="G10" i="7"/>
  <c r="H10" i="7" s="1"/>
  <c r="G8" i="7"/>
  <c r="H8" i="7" s="1"/>
  <c r="G14" i="7"/>
  <c r="H14" i="7" s="1"/>
  <c r="G12" i="7"/>
  <c r="H12" i="7" s="1"/>
  <c r="G13" i="7"/>
  <c r="H13" i="7" s="1"/>
  <c r="G5" i="7"/>
  <c r="G6" i="7"/>
  <c r="H6" i="7" s="1"/>
  <c r="G11" i="7"/>
  <c r="H11" i="7" s="1"/>
  <c r="G16" i="7"/>
  <c r="H16" i="7" s="1"/>
  <c r="AA38" i="5"/>
  <c r="Y18" i="5"/>
  <c r="AD18" i="5"/>
  <c r="Z18" i="5"/>
  <c r="AB6" i="5"/>
  <c r="AC6" i="5"/>
  <c r="AE18" i="5"/>
  <c r="AG6" i="5"/>
  <c r="AA18" i="5"/>
  <c r="AM5" i="5"/>
  <c r="AM17" i="5" s="1"/>
  <c r="AL5" i="5"/>
  <c r="AF18" i="5"/>
  <c r="AM24" i="5"/>
  <c r="AM37" i="5" s="1"/>
  <c r="G18" i="7" l="1"/>
  <c r="H5" i="7"/>
  <c r="H18" i="7"/>
  <c r="AL17" i="5"/>
  <c r="AN5" i="5"/>
  <c r="AB18" i="5"/>
  <c r="AC18" i="5"/>
  <c r="AG18" i="5"/>
  <c r="AN24" i="5"/>
  <c r="AN37" i="5" s="1"/>
  <c r="AN17" i="5" l="1"/>
  <c r="AO17" i="5" s="1"/>
  <c r="AO5" i="5"/>
  <c r="AO24" i="5"/>
  <c r="AO37" i="5"/>
  <c r="X44" i="5" l="1"/>
  <c r="X45" i="5" s="1"/>
  <c r="X46" i="5" s="1"/>
  <c r="X75" i="5" l="1"/>
  <c r="X76" i="5" s="1"/>
  <c r="X47" i="5"/>
  <c r="X48" i="5" l="1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AB98" i="5"/>
  <c r="AA98" i="5"/>
  <c r="AB97" i="5"/>
  <c r="AA97" i="5"/>
  <c r="AB96" i="5"/>
  <c r="AA96" i="5"/>
  <c r="AB95" i="5"/>
  <c r="AA95" i="5"/>
  <c r="AB94" i="5"/>
  <c r="AA94" i="5"/>
  <c r="AB93" i="5"/>
  <c r="AA93" i="5"/>
  <c r="AB92" i="5"/>
  <c r="AA92" i="5"/>
  <c r="AB91" i="5"/>
  <c r="AA91" i="5"/>
  <c r="AB90" i="5"/>
  <c r="AA90" i="5"/>
  <c r="AB89" i="5"/>
  <c r="AA89" i="5"/>
  <c r="AB88" i="5"/>
  <c r="AA88" i="5"/>
  <c r="AB87" i="5"/>
  <c r="AA87" i="5"/>
  <c r="AB86" i="5"/>
  <c r="AA86" i="5"/>
  <c r="AB85" i="5"/>
  <c r="AA85" i="5"/>
  <c r="AB84" i="5"/>
  <c r="AA84" i="5"/>
  <c r="AB83" i="5"/>
  <c r="AA83" i="5"/>
  <c r="AB82" i="5"/>
  <c r="AA82" i="5"/>
  <c r="AB81" i="5"/>
  <c r="AA81" i="5"/>
  <c r="AB80" i="5"/>
  <c r="AA80" i="5"/>
  <c r="AB79" i="5"/>
  <c r="AA79" i="5"/>
  <c r="AB78" i="5"/>
  <c r="AA78" i="5"/>
  <c r="AB77" i="5"/>
  <c r="AA77" i="5"/>
  <c r="AB76" i="5"/>
  <c r="AA76" i="5"/>
  <c r="AB75" i="5"/>
  <c r="AA75" i="5"/>
  <c r="AB74" i="5"/>
  <c r="AA74" i="5"/>
  <c r="AB73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<sst xmlns="http://schemas.openxmlformats.org/spreadsheetml/2006/main" count="18010" uniqueCount="1617">
  <si>
    <t>Date</t>
  </si>
  <si>
    <t>Month</t>
  </si>
  <si>
    <t>LE Group</t>
  </si>
  <si>
    <t>LE Model No</t>
  </si>
  <si>
    <t>Model</t>
  </si>
  <si>
    <t>Lot Qty</t>
  </si>
  <si>
    <t>Sample Qty</t>
  </si>
  <si>
    <t>Accept</t>
  </si>
  <si>
    <t>Reject</t>
  </si>
  <si>
    <t>Verdict</t>
  </si>
  <si>
    <t>Sampling/100%</t>
  </si>
  <si>
    <t>CC Scratch/Dent</t>
  </si>
  <si>
    <t>Adhesive gap/Bubbles</t>
  </si>
  <si>
    <t>Adhesive Overflow</t>
  </si>
  <si>
    <t>Adhesive Thread/Dust</t>
  </si>
  <si>
    <t>Handling Stain</t>
  </si>
  <si>
    <t>MG Cloudy stain</t>
  </si>
  <si>
    <t>MG Inclination</t>
  </si>
  <si>
    <t>MG peel off</t>
  </si>
  <si>
    <t>MG Projection</t>
  </si>
  <si>
    <t>MG Scratch/Dent</t>
  </si>
  <si>
    <t>MGG Buldge</t>
  </si>
  <si>
    <t>Ring Dust</t>
  </si>
  <si>
    <t>Ring Gap/ Come out</t>
  </si>
  <si>
    <t>Ring Stain</t>
  </si>
  <si>
    <t>PB Come out</t>
  </si>
  <si>
    <t>PB Defect</t>
  </si>
  <si>
    <t>PB Gap</t>
  </si>
  <si>
    <t>Operation Miss</t>
  </si>
  <si>
    <t>CP Defect</t>
  </si>
  <si>
    <t>Plating Defects</t>
  </si>
  <si>
    <t>Plating Peel off</t>
  </si>
  <si>
    <t>POL Defects</t>
  </si>
  <si>
    <t>Version Mix up</t>
  </si>
  <si>
    <t>BC Butting Damage</t>
  </si>
  <si>
    <t>BC Defect</t>
  </si>
  <si>
    <t>Others</t>
  </si>
  <si>
    <t>Other Reason</t>
  </si>
  <si>
    <t>Inspected by</t>
  </si>
  <si>
    <t>CCV</t>
  </si>
  <si>
    <t>MGV</t>
  </si>
  <si>
    <t>PLG</t>
  </si>
  <si>
    <t>OTH</t>
  </si>
  <si>
    <t>ADDON</t>
  </si>
  <si>
    <t>OD</t>
  </si>
  <si>
    <t>MIXUP</t>
  </si>
  <si>
    <t>G7</t>
  </si>
  <si>
    <t>6296WAA</t>
  </si>
  <si>
    <t>ACC</t>
  </si>
  <si>
    <t>SAMPLING</t>
  </si>
  <si>
    <t>7153YAC</t>
  </si>
  <si>
    <t>6221WAA</t>
  </si>
  <si>
    <t>6269WAA</t>
  </si>
  <si>
    <t>6234NAA</t>
  </si>
  <si>
    <t>1774SEA</t>
  </si>
  <si>
    <t>G8</t>
  </si>
  <si>
    <t>3255NBA</t>
  </si>
  <si>
    <t>2760QAA</t>
  </si>
  <si>
    <t>3323QKA</t>
  </si>
  <si>
    <t>1775KEA</t>
  </si>
  <si>
    <t>2593SAA</t>
  </si>
  <si>
    <t>2764QAA</t>
  </si>
  <si>
    <t>G4</t>
  </si>
  <si>
    <t>G5</t>
  </si>
  <si>
    <t>6247SAA</t>
  </si>
  <si>
    <t>2598SAB</t>
  </si>
  <si>
    <t>G3</t>
  </si>
  <si>
    <t>REJ</t>
  </si>
  <si>
    <t>2638SAB</t>
  </si>
  <si>
    <t>6210NAD</t>
  </si>
  <si>
    <t>1825WAA</t>
  </si>
  <si>
    <t>1825YAC</t>
  </si>
  <si>
    <t>G1</t>
  </si>
  <si>
    <t>2702WAA</t>
  </si>
  <si>
    <t>7144NAA</t>
  </si>
  <si>
    <t>6316WAA</t>
  </si>
  <si>
    <t>1739YAA</t>
  </si>
  <si>
    <t>VNS</t>
  </si>
  <si>
    <t>3305SAA</t>
  </si>
  <si>
    <t>6265SAA</t>
  </si>
  <si>
    <t>MRS</t>
  </si>
  <si>
    <t>1825YAA</t>
  </si>
  <si>
    <t>G2</t>
  </si>
  <si>
    <t>6248SAA</t>
  </si>
  <si>
    <t>1825SAC</t>
  </si>
  <si>
    <t>1580YEA</t>
  </si>
  <si>
    <t>6303WAA</t>
  </si>
  <si>
    <t>1825KAC</t>
  </si>
  <si>
    <t>1825KAA</t>
  </si>
  <si>
    <t>8141YAB</t>
  </si>
  <si>
    <t>8141WAB</t>
  </si>
  <si>
    <t>6248WAA</t>
  </si>
  <si>
    <t>2481KAJ</t>
  </si>
  <si>
    <t>AB</t>
  </si>
  <si>
    <t>2481BAJ</t>
  </si>
  <si>
    <t>G6</t>
  </si>
  <si>
    <t>1802SAE</t>
  </si>
  <si>
    <t>A1</t>
  </si>
  <si>
    <t>6172SAB</t>
  </si>
  <si>
    <t>RA</t>
  </si>
  <si>
    <t>6237QBA</t>
  </si>
  <si>
    <t>3084NSE</t>
  </si>
  <si>
    <t>3220SAA</t>
  </si>
  <si>
    <t>ND</t>
  </si>
  <si>
    <t>2638WAA</t>
  </si>
  <si>
    <t>3291SAA</t>
  </si>
  <si>
    <t>3305QAC</t>
  </si>
  <si>
    <t>3319NDA</t>
  </si>
  <si>
    <t>3147KSA</t>
  </si>
  <si>
    <t>7131NCA</t>
  </si>
  <si>
    <t>RS</t>
  </si>
  <si>
    <t>7131WCA</t>
  </si>
  <si>
    <t>3120SSG</t>
  </si>
  <si>
    <t>2598SAA</t>
  </si>
  <si>
    <t>A3</t>
  </si>
  <si>
    <t>6208KSA</t>
  </si>
  <si>
    <t>2678YAA</t>
  </si>
  <si>
    <t>2678WAA</t>
  </si>
  <si>
    <t>1650BAD</t>
  </si>
  <si>
    <t>3308KDA</t>
  </si>
  <si>
    <t>3326KFA</t>
  </si>
  <si>
    <t>6303NAA</t>
  </si>
  <si>
    <t>3326NEB</t>
  </si>
  <si>
    <t>1866SAA</t>
  </si>
  <si>
    <t>3245NSA</t>
  </si>
  <si>
    <t>2602KAA</t>
  </si>
  <si>
    <t>6296SAB</t>
  </si>
  <si>
    <t>6296WAB</t>
  </si>
  <si>
    <t>6296SAA</t>
  </si>
  <si>
    <t>1713WAG</t>
  </si>
  <si>
    <t>2656WAB</t>
  </si>
  <si>
    <t>6280SAA</t>
  </si>
  <si>
    <t>1775BEA</t>
  </si>
  <si>
    <t>PED</t>
  </si>
  <si>
    <t>3326KEA</t>
  </si>
  <si>
    <t>1802QSF</t>
  </si>
  <si>
    <t>2679WAA</t>
  </si>
  <si>
    <t>2760WAA</t>
  </si>
  <si>
    <t>2598YAB</t>
  </si>
  <si>
    <t>1715YAB</t>
  </si>
  <si>
    <t>2598WAB</t>
  </si>
  <si>
    <t>6282QAB</t>
  </si>
  <si>
    <t>8060YAC</t>
  </si>
  <si>
    <t>3255NAA</t>
  </si>
  <si>
    <t>3305SAB</t>
  </si>
  <si>
    <t>2656SAB</t>
  </si>
  <si>
    <t>2638WAB</t>
  </si>
  <si>
    <t>3305NAA</t>
  </si>
  <si>
    <t>77031NAG</t>
  </si>
  <si>
    <t>3305SAD</t>
  </si>
  <si>
    <t>1584SAE</t>
  </si>
  <si>
    <t>3290SAA</t>
  </si>
  <si>
    <t>2593SAB</t>
  </si>
  <si>
    <t>1730SAA</t>
  </si>
  <si>
    <t>1729SAA</t>
  </si>
  <si>
    <t>1775SEB</t>
  </si>
  <si>
    <t>6247NAA</t>
  </si>
  <si>
    <t>6225WAA</t>
  </si>
  <si>
    <t>3305QAB</t>
  </si>
  <si>
    <t>6296NAA</t>
  </si>
  <si>
    <t>A2</t>
  </si>
  <si>
    <t>3272NAA</t>
  </si>
  <si>
    <t>3227SFA</t>
  </si>
  <si>
    <t>3295QAA</t>
  </si>
  <si>
    <t>6093WAB</t>
  </si>
  <si>
    <t>3216NSA</t>
  </si>
  <si>
    <t>3099KSJ</t>
  </si>
  <si>
    <t>2638YAA</t>
  </si>
  <si>
    <t>6222NAB</t>
  </si>
  <si>
    <t>2593WAB</t>
  </si>
  <si>
    <t>2593YAA</t>
  </si>
  <si>
    <t>6207SAA</t>
  </si>
  <si>
    <t>6292QAA</t>
  </si>
  <si>
    <t>3295NAA</t>
  </si>
  <si>
    <t>2702SAA</t>
  </si>
  <si>
    <t>6292WAA</t>
  </si>
  <si>
    <t>7152NAA</t>
  </si>
  <si>
    <t>6285NAA</t>
  </si>
  <si>
    <t>3254SBA</t>
  </si>
  <si>
    <t>3165SBA</t>
  </si>
  <si>
    <t>3165NBA</t>
  </si>
  <si>
    <t>3317NSA</t>
  </si>
  <si>
    <t>8107YAA</t>
  </si>
  <si>
    <t>1729SAD</t>
  </si>
  <si>
    <t>3317QAA</t>
  </si>
  <si>
    <t>8068YAA</t>
  </si>
  <si>
    <t>2628WAA</t>
  </si>
  <si>
    <t>6210SAA</t>
  </si>
  <si>
    <t>6210WAD</t>
  </si>
  <si>
    <t>1770SAA</t>
  </si>
  <si>
    <t>3215SSA</t>
  </si>
  <si>
    <t>1899QAA</t>
  </si>
  <si>
    <t>3305WAD</t>
  </si>
  <si>
    <t>6221QAA</t>
  </si>
  <si>
    <t>3305QAD</t>
  </si>
  <si>
    <t>3277NAA</t>
  </si>
  <si>
    <t>3300QAA</t>
  </si>
  <si>
    <t>6078SAG</t>
  </si>
  <si>
    <t>1729SAH</t>
  </si>
  <si>
    <t>1825BAA</t>
  </si>
  <si>
    <t>8110YAB</t>
  </si>
  <si>
    <t>6283WAA</t>
  </si>
  <si>
    <t>6247WAA</t>
  </si>
  <si>
    <t>2680NAA</t>
  </si>
  <si>
    <t>8063YAA</t>
  </si>
  <si>
    <t>3224NSA</t>
  </si>
  <si>
    <t>8141SAB</t>
  </si>
  <si>
    <t>6216QSA</t>
  </si>
  <si>
    <t>3305NAC</t>
  </si>
  <si>
    <t>2712YAA</t>
  </si>
  <si>
    <t>6219SAA</t>
  </si>
  <si>
    <t>6265NAA</t>
  </si>
  <si>
    <t>2679SAA</t>
  </si>
  <si>
    <t>2679SAB</t>
  </si>
  <si>
    <t>2679YAB</t>
  </si>
  <si>
    <t>2637WAA</t>
  </si>
  <si>
    <t>2679YAA</t>
  </si>
  <si>
    <t>7152SAA</t>
  </si>
  <si>
    <t>7140NAA</t>
  </si>
  <si>
    <t>3123NKE</t>
  </si>
  <si>
    <t>6109SAA</t>
  </si>
  <si>
    <t>6258QAB</t>
  </si>
  <si>
    <t>2593YAB</t>
  </si>
  <si>
    <t>6278WAA</t>
  </si>
  <si>
    <t>6259WSA</t>
  </si>
  <si>
    <t>2598YAA</t>
  </si>
  <si>
    <t>6277WAA</t>
  </si>
  <si>
    <t>2679WAB</t>
  </si>
  <si>
    <t>6221NAA</t>
  </si>
  <si>
    <t>2417YAB</t>
  </si>
  <si>
    <t>2131YAB</t>
  </si>
  <si>
    <t>6172NAB</t>
  </si>
  <si>
    <t>2601WAB</t>
  </si>
  <si>
    <t>1773SAA</t>
  </si>
  <si>
    <t>1775YEB</t>
  </si>
  <si>
    <t>3294NAA</t>
  </si>
  <si>
    <t>3317NAA</t>
  </si>
  <si>
    <t>3308SDA</t>
  </si>
  <si>
    <t>3184NAA</t>
  </si>
  <si>
    <t>3089NAF</t>
  </si>
  <si>
    <t>7134YAB</t>
  </si>
  <si>
    <t>3317SAA</t>
  </si>
  <si>
    <t>6296QAA</t>
  </si>
  <si>
    <t>6221NSA</t>
  </si>
  <si>
    <t>6296QAB</t>
  </si>
  <si>
    <t>6277NAA</t>
  </si>
  <si>
    <t>8166QAA</t>
  </si>
  <si>
    <t>2628SAA</t>
  </si>
  <si>
    <t>6206NAA</t>
  </si>
  <si>
    <t>1865SAA</t>
  </si>
  <si>
    <t>1865NAA</t>
  </si>
  <si>
    <t>3301NAA</t>
  </si>
  <si>
    <t>3245SSA</t>
  </si>
  <si>
    <t>3305NSB</t>
  </si>
  <si>
    <t>3299SAB</t>
  </si>
  <si>
    <t>8168QAA</t>
  </si>
  <si>
    <t>3319QDA</t>
  </si>
  <si>
    <t>2574BAA</t>
  </si>
  <si>
    <t>3315KDA</t>
  </si>
  <si>
    <t>3317SAB</t>
  </si>
  <si>
    <t>3295SAA</t>
  </si>
  <si>
    <t>6093QAB</t>
  </si>
  <si>
    <t>8080YAA</t>
  </si>
  <si>
    <t>3218SSA</t>
  </si>
  <si>
    <t>1713SAJ</t>
  </si>
  <si>
    <t>8186WAA</t>
  </si>
  <si>
    <t>6316SAA</t>
  </si>
  <si>
    <t>3227SAA</t>
  </si>
  <si>
    <t>7148NAB</t>
  </si>
  <si>
    <t>6207WAA</t>
  </si>
  <si>
    <t>1802NAG</t>
  </si>
  <si>
    <t>2536SAB</t>
  </si>
  <si>
    <t>2536YAB</t>
  </si>
  <si>
    <t>1802WAF</t>
  </si>
  <si>
    <t>8919YAB</t>
  </si>
  <si>
    <t>8141QAB</t>
  </si>
  <si>
    <t>6284WAA</t>
  </si>
  <si>
    <t>3250NSA</t>
  </si>
  <si>
    <t>6282WAB</t>
  </si>
  <si>
    <t>8164WAA</t>
  </si>
  <si>
    <t>3308KKA</t>
  </si>
  <si>
    <t>1578YAC</t>
  </si>
  <si>
    <t>2760NAA</t>
  </si>
  <si>
    <t>6274QAA</t>
  </si>
  <si>
    <t>3304KDB</t>
  </si>
  <si>
    <t>3304KAB</t>
  </si>
  <si>
    <t>3242SAA</t>
  </si>
  <si>
    <t>6282SAA</t>
  </si>
  <si>
    <t>1639SEB</t>
  </si>
  <si>
    <t>6147NSA</t>
  </si>
  <si>
    <t>2572YAB</t>
  </si>
  <si>
    <t>6222SAB</t>
  </si>
  <si>
    <t>6315KAA</t>
  </si>
  <si>
    <t>3247SAB</t>
  </si>
  <si>
    <t>2781WAA</t>
  </si>
  <si>
    <t>6270QAA</t>
  </si>
  <si>
    <t>8065YAA</t>
  </si>
  <si>
    <t>8060SAC</t>
  </si>
  <si>
    <t>3300NAA</t>
  </si>
  <si>
    <t>2679NAA</t>
  </si>
  <si>
    <t>3222SSA</t>
  </si>
  <si>
    <t>8080SAA</t>
  </si>
  <si>
    <t>1713SAA</t>
  </si>
  <si>
    <t>6222SAA</t>
  </si>
  <si>
    <t>9154YAD</t>
  </si>
  <si>
    <t>8141NAB</t>
  </si>
  <si>
    <t>6225QAA</t>
  </si>
  <si>
    <t>8164SAC</t>
  </si>
  <si>
    <t>6117SAA</t>
  </si>
  <si>
    <t>6269QAA</t>
  </si>
  <si>
    <t>3286KAA</t>
  </si>
  <si>
    <t>3305SCA</t>
  </si>
  <si>
    <t>2345YAA</t>
  </si>
  <si>
    <t>3317NCB</t>
  </si>
  <si>
    <t>87001NAD</t>
  </si>
  <si>
    <t>6291SAA</t>
  </si>
  <si>
    <t>3317QAB</t>
  </si>
  <si>
    <t>3247NSB</t>
  </si>
  <si>
    <t>8091WAB</t>
  </si>
  <si>
    <t>8109YAA</t>
  </si>
  <si>
    <t>2781SAA</t>
  </si>
  <si>
    <t>3089SFF</t>
  </si>
  <si>
    <t>3089NAL</t>
  </si>
  <si>
    <t>6265SAB</t>
  </si>
  <si>
    <t>2345SAA</t>
  </si>
  <si>
    <t>7080YEA</t>
  </si>
  <si>
    <t>3322QFA</t>
  </si>
  <si>
    <t>6314QAA</t>
  </si>
  <si>
    <t>2760SAA</t>
  </si>
  <si>
    <t>3305QAA</t>
  </si>
  <si>
    <t>6285SAB</t>
  </si>
  <si>
    <t>3321QDA</t>
  </si>
  <si>
    <t>2594YAA</t>
  </si>
  <si>
    <t>2594SAA</t>
  </si>
  <si>
    <t>3246SAA</t>
  </si>
  <si>
    <t>7133WAA</t>
  </si>
  <si>
    <t>6310QAA</t>
  </si>
  <si>
    <t>3273NHA</t>
  </si>
  <si>
    <t>3287WCA</t>
  </si>
  <si>
    <t>1825BAC</t>
  </si>
  <si>
    <t>3292QAA</t>
  </si>
  <si>
    <t>6216WAA</t>
  </si>
  <si>
    <t>90024BAE</t>
  </si>
  <si>
    <t>3287SDA</t>
  </si>
  <si>
    <t>3273SAA</t>
  </si>
  <si>
    <t>2724WAA</t>
  </si>
  <si>
    <t>3273SHA</t>
  </si>
  <si>
    <t>3240SAA</t>
  </si>
  <si>
    <t>3287NCA</t>
  </si>
  <si>
    <t>ARK</t>
  </si>
  <si>
    <t>3287KAA</t>
  </si>
  <si>
    <t>3247NAC</t>
  </si>
  <si>
    <t>7078YAD</t>
  </si>
  <si>
    <t>9151BAD</t>
  </si>
  <si>
    <t>3287NAB</t>
  </si>
  <si>
    <t>1474NSA</t>
  </si>
  <si>
    <t>6107SAA</t>
  </si>
  <si>
    <t>7078YAH</t>
  </si>
  <si>
    <t>3273NAA</t>
  </si>
  <si>
    <t>3246NSA</t>
  </si>
  <si>
    <t>90024YAE</t>
  </si>
  <si>
    <t>6291WAA</t>
  </si>
  <si>
    <t>9315YAE</t>
  </si>
  <si>
    <t>9315YAB</t>
  </si>
  <si>
    <t>6265QAA</t>
  </si>
  <si>
    <t>3287KCE</t>
  </si>
  <si>
    <t>3287QAA</t>
  </si>
  <si>
    <t>3287KDA</t>
  </si>
  <si>
    <t>3287KDB</t>
  </si>
  <si>
    <t>6216NAA</t>
  </si>
  <si>
    <t>6237NBA</t>
  </si>
  <si>
    <t>2680WAA</t>
  </si>
  <si>
    <t>6216WAB</t>
  </si>
  <si>
    <t>6237SAA</t>
  </si>
  <si>
    <t>2418YAC</t>
  </si>
  <si>
    <t>2724YAA</t>
  </si>
  <si>
    <t>6206WAA</t>
  </si>
  <si>
    <t>1585SAP</t>
  </si>
  <si>
    <t>1474SSA</t>
  </si>
  <si>
    <t>6306WAA</t>
  </si>
  <si>
    <t>6306QAA</t>
  </si>
  <si>
    <t>3287QDA</t>
  </si>
  <si>
    <t>3184NAB</t>
  </si>
  <si>
    <t>3254NBA</t>
  </si>
  <si>
    <t>7147NAB</t>
  </si>
  <si>
    <t>3273QAA</t>
  </si>
  <si>
    <t>7131NSA</t>
  </si>
  <si>
    <t>3084NSC</t>
  </si>
  <si>
    <t>3089SAL</t>
  </si>
  <si>
    <t>3287SAA</t>
  </si>
  <si>
    <t>3301QAA</t>
  </si>
  <si>
    <t>3277SAA</t>
  </si>
  <si>
    <t>3236SAA</t>
  </si>
  <si>
    <t>1899WAA</t>
  </si>
  <si>
    <t>6259SSA</t>
  </si>
  <si>
    <t>9151SAB</t>
  </si>
  <si>
    <t>MS</t>
  </si>
  <si>
    <t>6283NAA</t>
  </si>
  <si>
    <t>3240SCB</t>
  </si>
  <si>
    <t>9151YAD</t>
  </si>
  <si>
    <t>3303KAA</t>
  </si>
  <si>
    <t>1650YAG</t>
  </si>
  <si>
    <t>6237WAB</t>
  </si>
  <si>
    <t>7133SAC</t>
  </si>
  <si>
    <t>1771SAA</t>
  </si>
  <si>
    <t>7078YAA</t>
  </si>
  <si>
    <t>3249NBA</t>
  </si>
  <si>
    <t>9264SEE</t>
  </si>
  <si>
    <t>9315BAE</t>
  </si>
  <si>
    <t>1731SAA</t>
  </si>
  <si>
    <t>6284NAA</t>
  </si>
  <si>
    <t>6284SAA</t>
  </si>
  <si>
    <t>6306NAA</t>
  </si>
  <si>
    <t>3276NAA</t>
  </si>
  <si>
    <t>2679NAB</t>
  </si>
  <si>
    <t>9264YEE</t>
  </si>
  <si>
    <t>2758YAA</t>
  </si>
  <si>
    <t>6216QAB</t>
  </si>
  <si>
    <t>7152QAA</t>
  </si>
  <si>
    <t>6237QAB</t>
  </si>
  <si>
    <t>3247NAB</t>
  </si>
  <si>
    <t>HE Group</t>
  </si>
  <si>
    <t>HIGH END Model No</t>
  </si>
  <si>
    <t>Others Reason</t>
  </si>
  <si>
    <t>Audit BY</t>
  </si>
  <si>
    <t>1806SAA</t>
  </si>
  <si>
    <t>2669WAA</t>
  </si>
  <si>
    <t>95154QAB</t>
  </si>
  <si>
    <t>1824WAB</t>
  </si>
  <si>
    <t>2576WAC</t>
  </si>
  <si>
    <t>2617WAB</t>
  </si>
  <si>
    <t>1806QAE</t>
  </si>
  <si>
    <t>2565WAA</t>
  </si>
  <si>
    <t>10038QAA</t>
  </si>
  <si>
    <t>1767SEA</t>
  </si>
  <si>
    <t>2639SAA</t>
  </si>
  <si>
    <t>2648YAA</t>
  </si>
  <si>
    <t>2539WEA</t>
  </si>
  <si>
    <t>2648WAA</t>
  </si>
  <si>
    <t>1733KCA</t>
  </si>
  <si>
    <t>1823QCD</t>
  </si>
  <si>
    <t>1636WAE</t>
  </si>
  <si>
    <t>2642WAA</t>
  </si>
  <si>
    <t>2729WAA</t>
  </si>
  <si>
    <t>2575WAG</t>
  </si>
  <si>
    <t>2540WAJ</t>
  </si>
  <si>
    <t>2540WAK</t>
  </si>
  <si>
    <t>2606QAC</t>
  </si>
  <si>
    <t>3318NDA</t>
  </si>
  <si>
    <t>3318SAA</t>
  </si>
  <si>
    <t>1823SAA</t>
  </si>
  <si>
    <t>1698SAF</t>
  </si>
  <si>
    <t>1805SAK</t>
  </si>
  <si>
    <t>2370YAB</t>
  </si>
  <si>
    <t>2727YAA</t>
  </si>
  <si>
    <t>2725WAA</t>
  </si>
  <si>
    <t>2648NAA</t>
  </si>
  <si>
    <t>1806NBA</t>
  </si>
  <si>
    <t>1824BAA</t>
  </si>
  <si>
    <t>1824SAB</t>
  </si>
  <si>
    <t>1806NAA</t>
  </si>
  <si>
    <t>1806SGA</t>
  </si>
  <si>
    <t>2665WAA</t>
  </si>
  <si>
    <t>2634WEB</t>
  </si>
  <si>
    <t>2642SAA</t>
  </si>
  <si>
    <t>1636YEE</t>
  </si>
  <si>
    <t>2634QEB</t>
  </si>
  <si>
    <t>2603SAD</t>
  </si>
  <si>
    <t>2670WAA</t>
  </si>
  <si>
    <t>2606WAC</t>
  </si>
  <si>
    <t>95156QAB</t>
  </si>
  <si>
    <t>1824YAB</t>
  </si>
  <si>
    <t>1824WAA</t>
  </si>
  <si>
    <t>2621WAA</t>
  </si>
  <si>
    <t>2576SAC</t>
  </si>
  <si>
    <t>2727WAA</t>
  </si>
  <si>
    <t>1885SAA</t>
  </si>
  <si>
    <t>1627YAK</t>
  </si>
  <si>
    <t>2608SAB</t>
  </si>
  <si>
    <t>1734WAA</t>
  </si>
  <si>
    <t>1870NSA</t>
  </si>
  <si>
    <t>1734KAA</t>
  </si>
  <si>
    <t>2670WAC</t>
  </si>
  <si>
    <t>9323SAK</t>
  </si>
  <si>
    <t>2648WAF</t>
  </si>
  <si>
    <t>2648SAA</t>
  </si>
  <si>
    <t>2651NAB</t>
  </si>
  <si>
    <t>2651WAB</t>
  </si>
  <si>
    <t>2331YAA</t>
  </si>
  <si>
    <t>10038SAA</t>
  </si>
  <si>
    <t>1698WAF</t>
  </si>
  <si>
    <t>1698QCF</t>
  </si>
  <si>
    <t>1877NAA</t>
  </si>
  <si>
    <t>1877QSA</t>
  </si>
  <si>
    <t>2620QAA</t>
  </si>
  <si>
    <t>2480WAP</t>
  </si>
  <si>
    <t>2648WAE</t>
  </si>
  <si>
    <t>1823SAC</t>
  </si>
  <si>
    <t>2569WAA</t>
  </si>
  <si>
    <t>1845SAA</t>
  </si>
  <si>
    <t>1766SAA</t>
  </si>
  <si>
    <t>2617NAD</t>
  </si>
  <si>
    <t>2570SAA</t>
  </si>
  <si>
    <t>1805NAK</t>
  </si>
  <si>
    <t>1884SSA</t>
  </si>
  <si>
    <t>2589SAA</t>
  </si>
  <si>
    <t>1805WAK</t>
  </si>
  <si>
    <t>2725YAA</t>
  </si>
  <si>
    <t>2565SAA</t>
  </si>
  <si>
    <t>2659WAA</t>
  </si>
  <si>
    <t>2649WAA</t>
  </si>
  <si>
    <t>2649SAA</t>
  </si>
  <si>
    <t>1845YAA</t>
  </si>
  <si>
    <t>2606WAA</t>
  </si>
  <si>
    <t>10038WAA</t>
  </si>
  <si>
    <t>2608QAB</t>
  </si>
  <si>
    <t>2621QAB</t>
  </si>
  <si>
    <t>2747WAA</t>
  </si>
  <si>
    <t>1806SAE</t>
  </si>
  <si>
    <t>2652NAA</t>
  </si>
  <si>
    <t>2569SAA</t>
  </si>
  <si>
    <t>2590KAA</t>
  </si>
  <si>
    <t>2642QAA</t>
  </si>
  <si>
    <t>2648QAA</t>
  </si>
  <si>
    <t>1885WAA</t>
  </si>
  <si>
    <t>2608WAB</t>
  </si>
  <si>
    <t>1733NCA</t>
  </si>
  <si>
    <t>2622WAA</t>
  </si>
  <si>
    <t>1769SAA</t>
  </si>
  <si>
    <t>1803NSB</t>
  </si>
  <si>
    <t>2649WAC</t>
  </si>
  <si>
    <t>2606SAA</t>
  </si>
  <si>
    <t>2606YAC</t>
  </si>
  <si>
    <t>2575QAG</t>
  </si>
  <si>
    <t>2617SAB</t>
  </si>
  <si>
    <t>1823YAA</t>
  </si>
  <si>
    <t>2648SAF</t>
  </si>
  <si>
    <t>1849NSA</t>
  </si>
  <si>
    <t>1849WAA</t>
  </si>
  <si>
    <t>2642YAA</t>
  </si>
  <si>
    <t>2579YAC</t>
  </si>
  <si>
    <t>2579WAC</t>
  </si>
  <si>
    <t>2596SAA</t>
  </si>
  <si>
    <t>1884NAA</t>
  </si>
  <si>
    <t>2578QAB</t>
  </si>
  <si>
    <t>2683WAA</t>
  </si>
  <si>
    <t>1845WAA</t>
  </si>
  <si>
    <t>311WAH</t>
  </si>
  <si>
    <t>1805YAK</t>
  </si>
  <si>
    <t>1870SAB</t>
  </si>
  <si>
    <t>2603WAD</t>
  </si>
  <si>
    <t>1877SAA</t>
  </si>
  <si>
    <t>2620WAA</t>
  </si>
  <si>
    <t>10038NAA</t>
  </si>
  <si>
    <t>1733BCA</t>
  </si>
  <si>
    <t>1803SAB</t>
  </si>
  <si>
    <t>1163BAB</t>
  </si>
  <si>
    <t>2604WAA</t>
  </si>
  <si>
    <t>2577WAB</t>
  </si>
  <si>
    <t>1824BAB</t>
  </si>
  <si>
    <t>2606SAC</t>
  </si>
  <si>
    <t>2660YAA</t>
  </si>
  <si>
    <t>2648QAF</t>
  </si>
  <si>
    <t>1824YAC</t>
  </si>
  <si>
    <t>1849QSA</t>
  </si>
  <si>
    <t>1806NSA</t>
  </si>
  <si>
    <t>2579QAC</t>
  </si>
  <si>
    <t>2579SAC</t>
  </si>
  <si>
    <t>2727SAA</t>
  </si>
  <si>
    <t>1733YAC</t>
  </si>
  <si>
    <t>1806QBH</t>
  </si>
  <si>
    <t>2576QAC</t>
  </si>
  <si>
    <t>2644WAA</t>
  </si>
  <si>
    <t>2455SAB</t>
  </si>
  <si>
    <t>1627BAJ</t>
  </si>
  <si>
    <t>2607WAA</t>
  </si>
  <si>
    <t>2497WAC</t>
  </si>
  <si>
    <t>1521YAD</t>
  </si>
  <si>
    <t>1734BAA</t>
  </si>
  <si>
    <t>2576YAC</t>
  </si>
  <si>
    <t>1824YAA</t>
  </si>
  <si>
    <t>2773WAA</t>
  </si>
  <si>
    <t>1767NEA</t>
  </si>
  <si>
    <t>2667QAA</t>
  </si>
  <si>
    <t>2761SAA</t>
  </si>
  <si>
    <t>HIGH END &amp; 100% FTA%- YOY</t>
  </si>
  <si>
    <t>FTA Trend</t>
  </si>
  <si>
    <t>Acc Qty</t>
  </si>
  <si>
    <t>Rew Qty</t>
  </si>
  <si>
    <t>FTA%</t>
  </si>
  <si>
    <t>HE</t>
  </si>
  <si>
    <t>LE - 100</t>
  </si>
  <si>
    <t>IQF - Low End FTA% - Based on Lot qty</t>
  </si>
  <si>
    <t>LE - Sampling</t>
  </si>
  <si>
    <t>Overall</t>
  </si>
  <si>
    <t>YTM</t>
  </si>
  <si>
    <t>Group</t>
  </si>
  <si>
    <t>Defect</t>
  </si>
  <si>
    <t>Rej Qty</t>
  </si>
  <si>
    <t>Total rej qty</t>
  </si>
  <si>
    <t>Contribution %</t>
  </si>
  <si>
    <t>Cumulative%</t>
  </si>
  <si>
    <t>10038QAA31/IND</t>
  </si>
  <si>
    <t>1698SAF00/IND</t>
  </si>
  <si>
    <t>1733KCA34/IND</t>
  </si>
  <si>
    <t>1739YAA00/IND</t>
  </si>
  <si>
    <t>1767NEA31/IND</t>
  </si>
  <si>
    <t>1767SEA31/IND</t>
  </si>
  <si>
    <t>1774SEA31/IND</t>
  </si>
  <si>
    <t>1774SEA32/IND</t>
  </si>
  <si>
    <t>1775KEA00/IND</t>
  </si>
  <si>
    <t>1802SAE30/IND</t>
  </si>
  <si>
    <t>1806QAE31/IND</t>
  </si>
  <si>
    <t>1806SAA00/IND</t>
  </si>
  <si>
    <t>1824WAA00/IND</t>
  </si>
  <si>
    <t>1824WAB00/IND</t>
  </si>
  <si>
    <t>1825WAA40/IND</t>
  </si>
  <si>
    <t>1825YAC00/IND</t>
  </si>
  <si>
    <t>2481BAJ00/IND</t>
  </si>
  <si>
    <t>2481KAJ00/IND</t>
  </si>
  <si>
    <t>2539WEA41/IND</t>
  </si>
  <si>
    <t>2565SAB41/IND</t>
  </si>
  <si>
    <t>2565WAA00/IND</t>
  </si>
  <si>
    <t>2572SAB31/IND</t>
  </si>
  <si>
    <t>2576QAC31/IND</t>
  </si>
  <si>
    <t>2576SAC31/IND</t>
  </si>
  <si>
    <t>2576WAC31/IND</t>
  </si>
  <si>
    <t>2593SAA00/IND</t>
  </si>
  <si>
    <t>2593SAB31/IND</t>
  </si>
  <si>
    <t>2594SAA00/IND</t>
  </si>
  <si>
    <t>2594YAA00/IND</t>
  </si>
  <si>
    <t>2598SAB00/IND</t>
  </si>
  <si>
    <t>2603SAD31/IND</t>
  </si>
  <si>
    <t>2608QAB32/IND</t>
  </si>
  <si>
    <t>2608SAB31/IND</t>
  </si>
  <si>
    <t>2608WAB31/IND</t>
  </si>
  <si>
    <t>2617WAB00/IND</t>
  </si>
  <si>
    <t>2634QEB31/IND</t>
  </si>
  <si>
    <t>2638SAB00/IND</t>
  </si>
  <si>
    <t>2648QAA31/IND</t>
  </si>
  <si>
    <t>2648SAA00/IND</t>
  </si>
  <si>
    <t>2648WAA00/IND</t>
  </si>
  <si>
    <t>2648YAA00/IND</t>
  </si>
  <si>
    <t>2669WAA31/IND</t>
  </si>
  <si>
    <t>2678WAA00/IND</t>
  </si>
  <si>
    <t>2702WAA31/IND</t>
  </si>
  <si>
    <t>2760QAA00/IND</t>
  </si>
  <si>
    <t>2764QAA31/IND</t>
  </si>
  <si>
    <t>3227SAA00/IND</t>
  </si>
  <si>
    <t>3246NSA31/IND</t>
  </si>
  <si>
    <t>3246SAA00/IND</t>
  </si>
  <si>
    <t>3254SBA00/IND</t>
  </si>
  <si>
    <t>3255NBA31/IND</t>
  </si>
  <si>
    <t>3273NHA31/IND</t>
  </si>
  <si>
    <t>3287WCA00/IND</t>
  </si>
  <si>
    <t>3291SAA00/IND</t>
  </si>
  <si>
    <t>3305SAA00/IND</t>
  </si>
  <si>
    <t>3318NDA31/IND</t>
  </si>
  <si>
    <t>3318QDA31/IND</t>
  </si>
  <si>
    <t>3318SAA00/IND</t>
  </si>
  <si>
    <t>3323QKA00/IND</t>
  </si>
  <si>
    <t>3323QKA31/IND</t>
  </si>
  <si>
    <t>6210NAD31/IND</t>
  </si>
  <si>
    <t>6221WAA00/IND</t>
  </si>
  <si>
    <t>6237QAB31/IND</t>
  </si>
  <si>
    <t>6237QBA31/IND</t>
  </si>
  <si>
    <t>6248SAA00/IND</t>
  </si>
  <si>
    <t>6258WAB31/IND</t>
  </si>
  <si>
    <t>6265NAB31/IND</t>
  </si>
  <si>
    <t>6265SAA31/IND</t>
  </si>
  <si>
    <t>6269WAA00/IND</t>
  </si>
  <si>
    <t>6296WAA00/IND</t>
  </si>
  <si>
    <t>6310QAA31/IND</t>
  </si>
  <si>
    <t>6316SAA31/IND</t>
  </si>
  <si>
    <t>6316WAA31/IND</t>
  </si>
  <si>
    <t>7078YAD00/IND</t>
  </si>
  <si>
    <t>7078YAH00/IND</t>
  </si>
  <si>
    <t>7131NSA31/IND</t>
  </si>
  <si>
    <t>7133WAA31/IND</t>
  </si>
  <si>
    <t>7144NAA31/IND</t>
  </si>
  <si>
    <t>7148NAB31/IND</t>
  </si>
  <si>
    <t>7153YAC31/IND</t>
  </si>
  <si>
    <t>95154QAB31/IND</t>
  </si>
  <si>
    <t>1825KAC00/IND</t>
  </si>
  <si>
    <t>1825KAA00/IND</t>
  </si>
  <si>
    <t>1825YAA00/IND</t>
  </si>
  <si>
    <t>7131WCA31/IND</t>
  </si>
  <si>
    <t>7131NCA31/IND</t>
  </si>
  <si>
    <t>2370YAB00/IND</t>
  </si>
  <si>
    <t>7131NCA34/IND</t>
  </si>
  <si>
    <t>3305QAC31/IND</t>
  </si>
  <si>
    <t>1823QCD00/IND</t>
  </si>
  <si>
    <t>2638YAA00/IND</t>
  </si>
  <si>
    <t>2639SAA00/IND</t>
  </si>
  <si>
    <t>1636WAE31/IND</t>
  </si>
  <si>
    <t>2638WAA00/IND</t>
  </si>
  <si>
    <t>6248WAA30/IND</t>
  </si>
  <si>
    <t>8141WAB00/IND</t>
  </si>
  <si>
    <t>8141YAB00/IND</t>
  </si>
  <si>
    <t>6216WAA31/IND</t>
  </si>
  <si>
    <t>2575WAG31/IND</t>
  </si>
  <si>
    <t>1825SAC00/IND</t>
  </si>
  <si>
    <t>1580YEA00/IND</t>
  </si>
  <si>
    <t>3247NSB31/IND</t>
  </si>
  <si>
    <t>2572YAB00/IND</t>
  </si>
  <si>
    <t>6234NAA31/IND</t>
  </si>
  <si>
    <t>2606QAC31/IND</t>
  </si>
  <si>
    <t>6277WAA31/IND</t>
  </si>
  <si>
    <t>90024BAE31/IND</t>
  </si>
  <si>
    <t>6303WAA00/IND</t>
  </si>
  <si>
    <t>2540WAJ35/IND</t>
  </si>
  <si>
    <t>1823SAA32/IND</t>
  </si>
  <si>
    <t>2540WAK31/IND</t>
  </si>
  <si>
    <t>2729WAA00/IND</t>
  </si>
  <si>
    <t>3220SAA00/IND</t>
  </si>
  <si>
    <t>1802SAE00/IND</t>
  </si>
  <si>
    <t>6307WAA31/IND</t>
  </si>
  <si>
    <t>2598SAA30/IND</t>
  </si>
  <si>
    <t>2725WAA31/IND</t>
  </si>
  <si>
    <t>2727YAA31/IND</t>
  </si>
  <si>
    <t>1805SAK31/IND</t>
  </si>
  <si>
    <t>3084NSE32/IND</t>
  </si>
  <si>
    <t>3292QAA32/IND</t>
  </si>
  <si>
    <t>3308SDA31/IND</t>
  </si>
  <si>
    <t>6208KSA31/IND</t>
  </si>
  <si>
    <t>3326KFA31/IND</t>
  </si>
  <si>
    <t>3287SDA00/IND</t>
  </si>
  <si>
    <t>3273SHA31/IND</t>
  </si>
  <si>
    <t>2724WAA31/IND</t>
  </si>
  <si>
    <t>6303NAA31/IND</t>
  </si>
  <si>
    <t>2648NAA31/IND</t>
  </si>
  <si>
    <t>6172SAB31/IND</t>
  </si>
  <si>
    <t>3147KSA32/IND</t>
  </si>
  <si>
    <t>3319NDA31/IND</t>
  </si>
  <si>
    <t>3240SAA00/IND</t>
  </si>
  <si>
    <t>2642SAA31/IND</t>
  </si>
  <si>
    <t>2670WAA31/IND</t>
  </si>
  <si>
    <t>1806NBA31/IND</t>
  </si>
  <si>
    <t>3120SSG00/IND</t>
  </si>
  <si>
    <t>6280SAA00/IND</t>
  </si>
  <si>
    <t>3326NEB31/IND</t>
  </si>
  <si>
    <t>2536YAB41/IND</t>
  </si>
  <si>
    <t>2656WAB00/IND</t>
  </si>
  <si>
    <t>3245NSA31/IND</t>
  </si>
  <si>
    <t>1824YAB00/IND</t>
  </si>
  <si>
    <t>2678YAA00/IND</t>
  </si>
  <si>
    <t>2603SAD32/IND</t>
  </si>
  <si>
    <t>2634WEB31/IND</t>
  </si>
  <si>
    <t>1824SAB00/IND</t>
  </si>
  <si>
    <t>1650BAD00/IND</t>
  </si>
  <si>
    <t>6296SAA00/IND</t>
  </si>
  <si>
    <t>2602KAA31/IND</t>
  </si>
  <si>
    <t>2606WAC35/IND</t>
  </si>
  <si>
    <t>2606WAC31/IND</t>
  </si>
  <si>
    <t>2606WAD31/IND</t>
  </si>
  <si>
    <t>6222SAB00/IND</t>
  </si>
  <si>
    <t>6296WAB00/IND</t>
  </si>
  <si>
    <t>1866SAA00/IND</t>
  </si>
  <si>
    <t>3326KEA00/IND</t>
  </si>
  <si>
    <t>3287KAA31/IND</t>
  </si>
  <si>
    <t>3287NCA31/IND</t>
  </si>
  <si>
    <t>1713WAG00/IND</t>
  </si>
  <si>
    <t>6296SAB00/IND</t>
  </si>
  <si>
    <t>2642WAA31/IND</t>
  </si>
  <si>
    <t>1802QSF00/IND</t>
  </si>
  <si>
    <t>1775BEA00/IND</t>
  </si>
  <si>
    <t>2598WAB00/IND</t>
  </si>
  <si>
    <t>2598YAB41/IND</t>
  </si>
  <si>
    <t>2702WAA00/IND</t>
  </si>
  <si>
    <t>6315KAA33/IND</t>
  </si>
  <si>
    <t>2670WAC31/IND</t>
  </si>
  <si>
    <t>1806SGA30/IND</t>
  </si>
  <si>
    <t>1806NAA31/IND</t>
  </si>
  <si>
    <t>2638WAB00/IND</t>
  </si>
  <si>
    <t>1474NSA31/IND</t>
  </si>
  <si>
    <t>3287NAB31/IND</t>
  </si>
  <si>
    <t>9151BAD40/IND</t>
  </si>
  <si>
    <t>3227SFA00/IND</t>
  </si>
  <si>
    <t>6117SAA31/IND</t>
  </si>
  <si>
    <t>6093WAB31/IND</t>
  </si>
  <si>
    <t>1825BAA00/IND</t>
  </si>
  <si>
    <t>6247NAA31/IND</t>
  </si>
  <si>
    <t>3305QAD31/IND</t>
  </si>
  <si>
    <t>6225WAA00/IND</t>
  </si>
  <si>
    <t>3305QAB31/IND</t>
  </si>
  <si>
    <t>6248WAA00/IND</t>
  </si>
  <si>
    <t>3294NAA31/IND</t>
  </si>
  <si>
    <t>3295QAA31/IND</t>
  </si>
  <si>
    <t>1802NAG31/IND</t>
  </si>
  <si>
    <t>1870NSA31/IND</t>
  </si>
  <si>
    <t>3216NSA31/IND</t>
  </si>
  <si>
    <t>1734WAA00/IND</t>
  </si>
  <si>
    <t>3084NSC32/IND</t>
  </si>
  <si>
    <t>6107SAA32/IND</t>
  </si>
  <si>
    <t>2656SAB00/IND</t>
  </si>
  <si>
    <t>1767SEA33/IND</t>
  </si>
  <si>
    <t>3247NAC31/IND</t>
  </si>
  <si>
    <t>6282QAB31/IND</t>
  </si>
  <si>
    <t>2621WAA31/IND</t>
  </si>
  <si>
    <t>3247SAB00/IND</t>
  </si>
  <si>
    <t>2593YAA00/IND</t>
  </si>
  <si>
    <t>6222NAB31/IND</t>
  </si>
  <si>
    <t>2665WAA31/IND</t>
  </si>
  <si>
    <t>6292QAA31/IND</t>
  </si>
  <si>
    <t>6207SAA00/IND</t>
  </si>
  <si>
    <t>2593WAB31/IND</t>
  </si>
  <si>
    <t>2606WAC32/IND</t>
  </si>
  <si>
    <t>2606WAC36/IND</t>
  </si>
  <si>
    <t>1627YAK00/IND</t>
  </si>
  <si>
    <t>3099KSJ31/IND</t>
  </si>
  <si>
    <t>2727WAA31/IND</t>
  </si>
  <si>
    <t>2760WAA00/IND</t>
  </si>
  <si>
    <t>1730SAA00/IND</t>
  </si>
  <si>
    <t>2679WAA00/IND</t>
  </si>
  <si>
    <t>3290SAA00/IND</t>
  </si>
  <si>
    <t>1729SAA00/IND</t>
  </si>
  <si>
    <t>1775SEB00/IND</t>
  </si>
  <si>
    <t>95156QAB31/IND</t>
  </si>
  <si>
    <t>1734KAA00/IND</t>
  </si>
  <si>
    <t>6296NAA31/IND</t>
  </si>
  <si>
    <t>1584SAE00/IND</t>
  </si>
  <si>
    <t>77031NAG31/IND</t>
  </si>
  <si>
    <t>3255NAA31/IND</t>
  </si>
  <si>
    <t>2598YAB40/IND</t>
  </si>
  <si>
    <t>3305SAD00/IND</t>
  </si>
  <si>
    <t>8060YAC00/IND</t>
  </si>
  <si>
    <t>3305NAA31/IND</t>
  </si>
  <si>
    <t>3304KAB31/IND</t>
  </si>
  <si>
    <t>3224NSA31/IND</t>
  </si>
  <si>
    <t>2648WAE00/IND</t>
  </si>
  <si>
    <t>2648WAF00/IND</t>
  </si>
  <si>
    <t>1823SAC00/IND</t>
  </si>
  <si>
    <t>3273SAA31/IND</t>
  </si>
  <si>
    <t>1823WAD00/IND</t>
  </si>
  <si>
    <t>2331YAA00/IND</t>
  </si>
  <si>
    <t>2651WAB31/IND</t>
  </si>
  <si>
    <t>2651WAB32/IND</t>
  </si>
  <si>
    <t>2651NAB31/IND</t>
  </si>
  <si>
    <t>8110YAB00/IND</t>
  </si>
  <si>
    <t>2598SAB40/IND</t>
  </si>
  <si>
    <t>3273NAA31/IND</t>
  </si>
  <si>
    <t>8107YAA00/IND</t>
  </si>
  <si>
    <t>2620QAA31/IND</t>
  </si>
  <si>
    <t>7152NAA31/IND</t>
  </si>
  <si>
    <t>1698WAF00/IND</t>
  </si>
  <si>
    <t>1698QCF31/IND</t>
  </si>
  <si>
    <t>3308KDA32/IND</t>
  </si>
  <si>
    <t>1766SAA00/IND</t>
  </si>
  <si>
    <t>3165SBA31/IND</t>
  </si>
  <si>
    <t>3165NBA31/IND</t>
  </si>
  <si>
    <t>6314QAA31/IND</t>
  </si>
  <si>
    <t>3295NAA31/IND</t>
  </si>
  <si>
    <t>3184NAA00/IND</t>
  </si>
  <si>
    <t>1824BAA40/IND</t>
  </si>
  <si>
    <t>1845SAA31/IND</t>
  </si>
  <si>
    <t>1877QSA31/IND</t>
  </si>
  <si>
    <t>2702SAA00/IND</t>
  </si>
  <si>
    <t>6292WAA00/IND</t>
  </si>
  <si>
    <t>2652NAA31/IND</t>
  </si>
  <si>
    <t>8164WAA00/IND</t>
  </si>
  <si>
    <t>8164SAC00/IND</t>
  </si>
  <si>
    <t>3317NSA31/IND</t>
  </si>
  <si>
    <t>2569WAA31/IND</t>
  </si>
  <si>
    <t>9323SAK30/IND</t>
  </si>
  <si>
    <t>3317QAA32/IND</t>
  </si>
  <si>
    <t>1729SAD00/IND</t>
  </si>
  <si>
    <t>2480WAP00/IND</t>
  </si>
  <si>
    <t>6296QAA33/IND</t>
  </si>
  <si>
    <t>1877NAA31/IND</t>
  </si>
  <si>
    <t>6285NAA31/IND</t>
  </si>
  <si>
    <t>1506YCF31/IND</t>
  </si>
  <si>
    <t>90024YAE31/IND</t>
  </si>
  <si>
    <t>10038SAA00/IND</t>
  </si>
  <si>
    <t>10038WAA00/IND</t>
  </si>
  <si>
    <t>1715YAB00/IND</t>
  </si>
  <si>
    <t>1729SAH00/IND</t>
  </si>
  <si>
    <t>1770SAA31/IND</t>
  </si>
  <si>
    <t>1805NAK31/IND</t>
  </si>
  <si>
    <t>1805WAK41/IND</t>
  </si>
  <si>
    <t>1845YAA32/IND</t>
  </si>
  <si>
    <t>1884SSA31/IND</t>
  </si>
  <si>
    <t>1885SAA34/IND</t>
  </si>
  <si>
    <t>2565SAA00/IND</t>
  </si>
  <si>
    <t>2589SAA31/IND</t>
  </si>
  <si>
    <t>2593YAB32/IND</t>
  </si>
  <si>
    <t>2606WAA31/IND</t>
  </si>
  <si>
    <t>2617NAD31/IND</t>
  </si>
  <si>
    <t>2620SAA31/IND</t>
  </si>
  <si>
    <t>2628WAA00/IND</t>
  </si>
  <si>
    <t>2649SAA31/IND</t>
  </si>
  <si>
    <t>2649WAA31/IND</t>
  </si>
  <si>
    <t>2651WAB33/IND</t>
  </si>
  <si>
    <t>2659WAA31/IND</t>
  </si>
  <si>
    <t>2725YAA31/IND</t>
  </si>
  <si>
    <t>3123NKE31/IND</t>
  </si>
  <si>
    <t>3215SSA31/IND</t>
  </si>
  <si>
    <t>3215SSA32/IND</t>
  </si>
  <si>
    <t>3277NAA31/IND</t>
  </si>
  <si>
    <t>3287KCE33/IND</t>
  </si>
  <si>
    <t>3287KDA30/IND</t>
  </si>
  <si>
    <t>3287KDB32/IND</t>
  </si>
  <si>
    <t>3287QAA31/IND</t>
  </si>
  <si>
    <t>3300QAA31/IND</t>
  </si>
  <si>
    <t>3305WAD00/IND</t>
  </si>
  <si>
    <t>3317QAA31/IND</t>
  </si>
  <si>
    <t>6078SAG36/IND</t>
  </si>
  <si>
    <t>6078SAG42/IND</t>
  </si>
  <si>
    <t>6210SAA00/IND</t>
  </si>
  <si>
    <t>6210WAD00/IND</t>
  </si>
  <si>
    <t>6216QSA31/IND</t>
  </si>
  <si>
    <t>6247WAA00/IND</t>
  </si>
  <si>
    <t>6265NAA32/IND</t>
  </si>
  <si>
    <t>6265QAA32/IND</t>
  </si>
  <si>
    <t>6265SAA32/IND</t>
  </si>
  <si>
    <t>6291WAA00/IND</t>
  </si>
  <si>
    <t>6296QAB31/IND</t>
  </si>
  <si>
    <t>8068YAA41/IND</t>
  </si>
  <si>
    <t>9315YAB31/IND</t>
  </si>
  <si>
    <t>9315YAE00/IND</t>
  </si>
  <si>
    <t>2724YAA31/IND</t>
  </si>
  <si>
    <t>2418YAC00/IND</t>
  </si>
  <si>
    <t>3305NAC31/IND</t>
  </si>
  <si>
    <t>6093QAB31/IND</t>
  </si>
  <si>
    <t>3272NAA32/IND</t>
  </si>
  <si>
    <t>3287KCE32/IND</t>
  </si>
  <si>
    <t>6216NAA31/IND</t>
  </si>
  <si>
    <t>2680NAA31/IND</t>
  </si>
  <si>
    <t>2680WAA00/IND</t>
  </si>
  <si>
    <t>2712YAA00/IND</t>
  </si>
  <si>
    <t>2637WAA31/IND</t>
  </si>
  <si>
    <t>2679SAA00/IND</t>
  </si>
  <si>
    <t>2679SAB00/IND</t>
  </si>
  <si>
    <t>2679YAB00/IND</t>
  </si>
  <si>
    <t>6219SAA00/IND</t>
  </si>
  <si>
    <t>1806SAE00/IND</t>
  </si>
  <si>
    <t>7140NAA31/IND</t>
  </si>
  <si>
    <t>1899QAA31/IND</t>
  </si>
  <si>
    <t>3323QKA32/IND</t>
  </si>
  <si>
    <t>2621QAB31/IND</t>
  </si>
  <si>
    <t>2679WAB00/IND</t>
  </si>
  <si>
    <t>1806NSA00/IND</t>
  </si>
  <si>
    <t>6283WAA31/IND</t>
  </si>
  <si>
    <t>8141SAB00/IND</t>
  </si>
  <si>
    <t>6147NSA31/IND</t>
  </si>
  <si>
    <t>7152SAA00/IND</t>
  </si>
  <si>
    <t>1805NAK41/IND</t>
  </si>
  <si>
    <t>2679YAA00/IND</t>
  </si>
  <si>
    <t>2570SAA32/IND</t>
  </si>
  <si>
    <t>6237NBA31/IND</t>
  </si>
  <si>
    <t>6258QAB32/IND</t>
  </si>
  <si>
    <t>6221WAA31/IND</t>
  </si>
  <si>
    <t>6221NAA31/IND</t>
  </si>
  <si>
    <t>2593YAB31/IND</t>
  </si>
  <si>
    <t>9154YAD00/IND</t>
  </si>
  <si>
    <t>7147NAB31/IND</t>
  </si>
  <si>
    <t>6216WAB31/IND</t>
  </si>
  <si>
    <t>3317SAA00/IND</t>
  </si>
  <si>
    <t>3287QDA31/IND</t>
  </si>
  <si>
    <t>3254NBA31/IND</t>
  </si>
  <si>
    <t>2590KAA00/IND</t>
  </si>
  <si>
    <t>1803NSB31/IND</t>
  </si>
  <si>
    <t>6259WSA31/IND</t>
  </si>
  <si>
    <t>2622WAA31/IND</t>
  </si>
  <si>
    <t>2598YAA30/IND</t>
  </si>
  <si>
    <t>1769SAA34/IND</t>
  </si>
  <si>
    <t>8080YAA00/IND</t>
  </si>
  <si>
    <t>8080SAA00/IND</t>
  </si>
  <si>
    <t>6206WAA31/IND</t>
  </si>
  <si>
    <t>6306WAA31/IND</t>
  </si>
  <si>
    <t>6306QAA31/IND</t>
  </si>
  <si>
    <t>6109SAA31/IND</t>
  </si>
  <si>
    <t>3305SAB00/IND</t>
  </si>
  <si>
    <t>3184NAB31/IND</t>
  </si>
  <si>
    <t>2679NAA31/IND</t>
  </si>
  <si>
    <t>2649WAC00/IND</t>
  </si>
  <si>
    <t>2569SAA33/IND</t>
  </si>
  <si>
    <t>6237SAA31/IND</t>
  </si>
  <si>
    <t>2606SAA31/IND</t>
  </si>
  <si>
    <t>3273QAA31/IND</t>
  </si>
  <si>
    <t>1733NCA31/IND</t>
  </si>
  <si>
    <t>1885WAA33/IND</t>
  </si>
  <si>
    <t>8065YAA31/IND</t>
  </si>
  <si>
    <t>1585SAP00/IND</t>
  </si>
  <si>
    <t>2131YAB00/IND</t>
  </si>
  <si>
    <t>2511WAA31/IND</t>
  </si>
  <si>
    <t>2642QAA31/IND</t>
  </si>
  <si>
    <t>3089NAF31/IND</t>
  </si>
  <si>
    <t>3089SAL34/IND</t>
  </si>
  <si>
    <t>3089NAL31/IND</t>
  </si>
  <si>
    <t>6278WAA31/IND</t>
  </si>
  <si>
    <t>3089SFF33/IND</t>
  </si>
  <si>
    <t>3317NAA31/IND</t>
  </si>
  <si>
    <t>2648SAF00/IND</t>
  </si>
  <si>
    <t>1474SSA00/IND</t>
  </si>
  <si>
    <t>6172NAB31/IND</t>
  </si>
  <si>
    <t>6277NAA31/IND</t>
  </si>
  <si>
    <t>2579WAC31/IND</t>
  </si>
  <si>
    <t>2579YAC32/IND</t>
  </si>
  <si>
    <t>3301QAA31/IND</t>
  </si>
  <si>
    <t>2596SAA31/IND</t>
  </si>
  <si>
    <t>8166QAA31/IND</t>
  </si>
  <si>
    <t>6247SAA30/IND</t>
  </si>
  <si>
    <t>3287KDA31/IND</t>
  </si>
  <si>
    <t>3287SAA00/IND</t>
  </si>
  <si>
    <t>2575QAG32/IND</t>
  </si>
  <si>
    <t>1849WAA31/IND</t>
  </si>
  <si>
    <t>1849NSA32/IND</t>
  </si>
  <si>
    <t>1823YAA31/IND</t>
  </si>
  <si>
    <t>2606YAC31/IND</t>
  </si>
  <si>
    <t>2606YAC34/IND</t>
  </si>
  <si>
    <t>2606YAC35/IND</t>
  </si>
  <si>
    <t>2642YAA31/IND</t>
  </si>
  <si>
    <t>3317SAB00/IND</t>
  </si>
  <si>
    <t>2702SAA30/IND</t>
  </si>
  <si>
    <t>1773SAA00/IND</t>
  </si>
  <si>
    <t>2617SAB00/IND</t>
  </si>
  <si>
    <t>2747WAA32/IND</t>
  </si>
  <si>
    <t>2598YAB00/IND</t>
  </si>
  <si>
    <t>2601WAB31/IND</t>
  </si>
  <si>
    <t>6207WAA00/IND</t>
  </si>
  <si>
    <t>6201QBA31/IND</t>
  </si>
  <si>
    <t>2628SAA00/IND</t>
  </si>
  <si>
    <t>1824WAA40/IND</t>
  </si>
  <si>
    <t>1884NAA31/IND</t>
  </si>
  <si>
    <t>3305NSB31/IND</t>
  </si>
  <si>
    <t>3245SSA00/IND</t>
  </si>
  <si>
    <t>1899WAA31/IND</t>
  </si>
  <si>
    <t>1845WAA31/IND</t>
  </si>
  <si>
    <t>2683WAA30/IND</t>
  </si>
  <si>
    <t>311WAH34/IND</t>
  </si>
  <si>
    <t>3277SAA00/IND</t>
  </si>
  <si>
    <t>1865NAA31/IND</t>
  </si>
  <si>
    <t>1865SAA00/IND</t>
  </si>
  <si>
    <t>6291SAA00/IND</t>
  </si>
  <si>
    <t>8091WAB31/IND</t>
  </si>
  <si>
    <t>2578QAB31/IND</t>
  </si>
  <si>
    <t>3299SAB31/IND</t>
  </si>
  <si>
    <t>6206NAA31/IND</t>
  </si>
  <si>
    <t>7134YAB00/IND</t>
  </si>
  <si>
    <t>8186WAA31/IND</t>
  </si>
  <si>
    <t>3301NAA31/IND</t>
  </si>
  <si>
    <t>3301QAA32/IND</t>
  </si>
  <si>
    <t>1713SAJ00/IND</t>
  </si>
  <si>
    <t>6315KAA31/IND</t>
  </si>
  <si>
    <t>2417YAB00/IND</t>
  </si>
  <si>
    <t>9151SAB00/IND</t>
  </si>
  <si>
    <t>1805YAK31/IND</t>
  </si>
  <si>
    <t>2603WAD00/IND</t>
  </si>
  <si>
    <t>8168QAA31/IND</t>
  </si>
  <si>
    <t>3319QDA31/IND</t>
  </si>
  <si>
    <t>3315KDA31/IND</t>
  </si>
  <si>
    <t>2702WAA30/IND</t>
  </si>
  <si>
    <t>6221QAA33/IND</t>
  </si>
  <si>
    <t>6259SSA31/IND</t>
  </si>
  <si>
    <t>1474SSA30/IND</t>
  </si>
  <si>
    <t>1877SAA00/IND</t>
  </si>
  <si>
    <t>2781SAA00/IND</t>
  </si>
  <si>
    <t>1767SEA32/IND</t>
  </si>
  <si>
    <t>1775YEB31/IND</t>
  </si>
  <si>
    <t>2574BAA31/IND</t>
  </si>
  <si>
    <t>1733KCA31/IND</t>
  </si>
  <si>
    <t>10038NAA31/IND</t>
  </si>
  <si>
    <t>1163BAB00/IND</t>
  </si>
  <si>
    <t>1733BCA31/IND</t>
  </si>
  <si>
    <t>1803SAB00/IND</t>
  </si>
  <si>
    <t>1805SAK41/IND</t>
  </si>
  <si>
    <t>2604WAA31/IND</t>
  </si>
  <si>
    <t>2620WAA31/IND</t>
  </si>
  <si>
    <t>3287KCE31/IND</t>
  </si>
  <si>
    <t>3295SAA00/IND</t>
  </si>
  <si>
    <t>1802WAF00/IND</t>
  </si>
  <si>
    <t>1824BAB00/IND</t>
  </si>
  <si>
    <t>2345YAA00/IND</t>
  </si>
  <si>
    <t>2536SAB40/IND</t>
  </si>
  <si>
    <t>2606SAC33/IND</t>
  </si>
  <si>
    <t>2606SAC34/IND</t>
  </si>
  <si>
    <t>3240SCB00/IND</t>
  </si>
  <si>
    <t>6221NSA31/IND</t>
  </si>
  <si>
    <t>6283NAA31/IND</t>
  </si>
  <si>
    <t>9151YAD40/IND</t>
  </si>
  <si>
    <t>2648QAF31/IND</t>
  </si>
  <si>
    <t>1824YAC00/IND</t>
  </si>
  <si>
    <t>8141QAB00/IND</t>
  </si>
  <si>
    <t>1823SAA31/IND</t>
  </si>
  <si>
    <t>6284WAA00/IND</t>
  </si>
  <si>
    <t>6282WAB00/IND</t>
  </si>
  <si>
    <t>3303KAA31/IND</t>
  </si>
  <si>
    <t>3287KCE34/IND</t>
  </si>
  <si>
    <t>3308KKA31/IND</t>
  </si>
  <si>
    <t>6274QAA31/IND</t>
  </si>
  <si>
    <t>8919YAB31/IND</t>
  </si>
  <si>
    <t>3250NSA31/IND</t>
  </si>
  <si>
    <t>2660YAA00/IND</t>
  </si>
  <si>
    <t>1578YAC00/IND</t>
  </si>
  <si>
    <t>2760NAA31/IND</t>
  </si>
  <si>
    <t>2577WAB31/IND</t>
  </si>
  <si>
    <t>2579QAC31/IND</t>
  </si>
  <si>
    <t>2642SAA32/IND</t>
  </si>
  <si>
    <t>3242SAA00/IND</t>
  </si>
  <si>
    <t>1639SEB00/IND</t>
  </si>
  <si>
    <t>2606WAC33/IND</t>
  </si>
  <si>
    <t>6282SAA00/IND</t>
  </si>
  <si>
    <t>3304KDB31/IND</t>
  </si>
  <si>
    <t>1650YAG00/IND</t>
  </si>
  <si>
    <t>3277NAA32/IND</t>
  </si>
  <si>
    <t>1849QSA31/IND</t>
  </si>
  <si>
    <t>2651WAB34/IND</t>
  </si>
  <si>
    <t>3300NAA31/IND</t>
  </si>
  <si>
    <t>3236SAA00/IND</t>
  </si>
  <si>
    <t>6237WAB32/IND</t>
  </si>
  <si>
    <t>2781WAA00/IND</t>
  </si>
  <si>
    <t>7133SAC00/IND</t>
  </si>
  <si>
    <t>8063YAA32/IND</t>
  </si>
  <si>
    <t>8060SAC00/IND</t>
  </si>
  <si>
    <t>2579SAC31/IND</t>
  </si>
  <si>
    <t>6225QAA31/IND</t>
  </si>
  <si>
    <t>3249NBA31/IND</t>
  </si>
  <si>
    <t>95036WAB31/IND</t>
  </si>
  <si>
    <t>6265SAB31/IND</t>
  </si>
  <si>
    <t>1806QBH31/IND</t>
  </si>
  <si>
    <t>2639SAB00/IND</t>
  </si>
  <si>
    <t>2606SAC31/IND</t>
  </si>
  <si>
    <t>8141NAB00/IND</t>
  </si>
  <si>
    <t>6222SAA00/IND</t>
  </si>
  <si>
    <t>3222SSA00/IND</t>
  </si>
  <si>
    <t>1733YAC31/IND</t>
  </si>
  <si>
    <t>1771SAA31/IND</t>
  </si>
  <si>
    <t>6270QAA32/IND</t>
  </si>
  <si>
    <t>2455SAB32/IND</t>
  </si>
  <si>
    <t>2644WAA31/IND</t>
  </si>
  <si>
    <t>9264SEE00/IND</t>
  </si>
  <si>
    <t>3276NAA31/IND</t>
  </si>
  <si>
    <t>6284NAA31/IND</t>
  </si>
  <si>
    <t>6284SAA00/IND</t>
  </si>
  <si>
    <t>6306NAA31/IND</t>
  </si>
  <si>
    <t>3286KAA31/IND</t>
  </si>
  <si>
    <t>9315BAE00/IND</t>
  </si>
  <si>
    <t>1899SAA31/IND</t>
  </si>
  <si>
    <t>311WAH33/IND</t>
  </si>
  <si>
    <t>6315KAA32/IND</t>
  </si>
  <si>
    <t>1733KCA32/IND</t>
  </si>
  <si>
    <t>1731SAA31/IND</t>
  </si>
  <si>
    <t>1627BAJ00/IND</t>
  </si>
  <si>
    <t>2497WAC31/IND</t>
  </si>
  <si>
    <t>2607WAA31/IND</t>
  </si>
  <si>
    <t>2596SAA32/IND</t>
  </si>
  <si>
    <t>2606SAC32/IND</t>
  </si>
  <si>
    <t>2679NAB31/IND</t>
  </si>
  <si>
    <t>1521YAP00/IND</t>
  </si>
  <si>
    <t>3317QAB00/IND</t>
  </si>
  <si>
    <t>3317NCB31/IND</t>
  </si>
  <si>
    <t>2579SAC32/IND</t>
  </si>
  <si>
    <t>2760SAA00/IND</t>
  </si>
  <si>
    <t>87001NAD31/IND</t>
  </si>
  <si>
    <t>6237WAB31/IND</t>
  </si>
  <si>
    <t>2345SAA31/IND</t>
  </si>
  <si>
    <t>2576YAC31/IND</t>
  </si>
  <si>
    <t>2758YAA00/IND</t>
  </si>
  <si>
    <t>6216QAB32/IND</t>
  </si>
  <si>
    <t>7080YEA31/IND</t>
  </si>
  <si>
    <t>7152QAA31/IND</t>
  </si>
  <si>
    <t>8109YAA00/IND</t>
  </si>
  <si>
    <t>9264YEE00/IND</t>
  </si>
  <si>
    <t>2773WAA31/IND</t>
  </si>
  <si>
    <t>2667QAA31/IND</t>
  </si>
  <si>
    <t>3322QFA31/IND</t>
  </si>
  <si>
    <t>1734BAA00/IND</t>
  </si>
  <si>
    <t>2579YAC31/IND</t>
  </si>
  <si>
    <t>3305QAA31/IND</t>
  </si>
  <si>
    <t>3247NAB31/IND</t>
  </si>
  <si>
    <t>2345YAA31/IND</t>
  </si>
  <si>
    <t>6285SAB00/IND</t>
  </si>
  <si>
    <t>1806SAA40/IND</t>
  </si>
  <si>
    <t>2761SAA31/IND</t>
  </si>
  <si>
    <t>Order no</t>
  </si>
  <si>
    <t>MODEL</t>
  </si>
  <si>
    <t>ACT GR</t>
  </si>
  <si>
    <t>Output</t>
  </si>
  <si>
    <t>Shop</t>
  </si>
  <si>
    <t>IQF</t>
  </si>
  <si>
    <t>Cum</t>
  </si>
  <si>
    <t>CASE ASSEMBLY OVERALL FTA % - 25-26</t>
  </si>
  <si>
    <t>MONTH</t>
  </si>
  <si>
    <t>GROUP</t>
  </si>
  <si>
    <t>2621YAA</t>
  </si>
  <si>
    <t>2772WAA</t>
  </si>
  <si>
    <t>1506BCF</t>
  </si>
  <si>
    <t>2578WAB</t>
  </si>
  <si>
    <t>2665YAA</t>
  </si>
  <si>
    <t>95095WAB</t>
  </si>
  <si>
    <t>2774WAA</t>
  </si>
  <si>
    <t>2590BAA</t>
  </si>
  <si>
    <t>1521YAP</t>
  </si>
  <si>
    <t>2687WAA</t>
  </si>
  <si>
    <t>10026SAA</t>
  </si>
  <si>
    <t>2752WAA</t>
  </si>
  <si>
    <t>2783WAA</t>
  </si>
  <si>
    <t>2783SAA</t>
  </si>
  <si>
    <t>2775QAA</t>
  </si>
  <si>
    <t>2455WAB</t>
  </si>
  <si>
    <t>1806YAE</t>
  </si>
  <si>
    <t>2606YAA</t>
  </si>
  <si>
    <t>311WAE</t>
  </si>
  <si>
    <t>2639WAA</t>
  </si>
  <si>
    <t>6265NAB</t>
  </si>
  <si>
    <t>3313SCA</t>
  </si>
  <si>
    <t>3319NJA</t>
  </si>
  <si>
    <t>8190QAA</t>
  </si>
  <si>
    <t>6274NAA</t>
  </si>
  <si>
    <t>1774WEA</t>
  </si>
  <si>
    <t>3022SSA</t>
  </si>
  <si>
    <t>8111YAA</t>
  </si>
  <si>
    <t>2572SAB</t>
  </si>
  <si>
    <t>2760YAA</t>
  </si>
  <si>
    <t>6274WAA</t>
  </si>
  <si>
    <t>6309QAA</t>
  </si>
  <si>
    <t>3184QAB</t>
  </si>
  <si>
    <t>3247QAC</t>
  </si>
  <si>
    <t>6258WAB</t>
  </si>
  <si>
    <t>7155WAA</t>
  </si>
  <si>
    <t>7155BAA</t>
  </si>
  <si>
    <t>7155YAA</t>
  </si>
  <si>
    <t>6307QAA</t>
  </si>
  <si>
    <t>3255SAA</t>
  </si>
  <si>
    <t>6277SAA</t>
  </si>
  <si>
    <t>6314WAA</t>
  </si>
  <si>
    <t>3299NAB</t>
  </si>
  <si>
    <t>1474QAE</t>
  </si>
  <si>
    <t>3322SFA</t>
  </si>
  <si>
    <t>1478SBG</t>
  </si>
  <si>
    <t>6309WAA</t>
  </si>
  <si>
    <t>1773YAA</t>
  </si>
  <si>
    <t>2606WAC38/IND</t>
  </si>
  <si>
    <t>3313SCA32/IND</t>
  </si>
  <si>
    <t>2606QAC32/IND</t>
  </si>
  <si>
    <t>2621YAA31/IND</t>
  </si>
  <si>
    <t>2772WAA31/IND</t>
  </si>
  <si>
    <t>1506BCF31/IND</t>
  </si>
  <si>
    <t>3313SCA31/IND</t>
  </si>
  <si>
    <t>2578WAB31/IND</t>
  </si>
  <si>
    <t>2606WAC37/IND</t>
  </si>
  <si>
    <t>1733KCA33/IND</t>
  </si>
  <si>
    <t>1474QAE32/IND</t>
  </si>
  <si>
    <t>3319NJA31/IND</t>
  </si>
  <si>
    <t>8190QAA32/IND</t>
  </si>
  <si>
    <t>1774WEA31/IND</t>
  </si>
  <si>
    <t>6274NAA31/IND</t>
  </si>
  <si>
    <t>3322SFA00/IND</t>
  </si>
  <si>
    <t>95095WAB31/IND</t>
  </si>
  <si>
    <t>2774WAA00/IND</t>
  </si>
  <si>
    <t>3255SAA00/IND</t>
  </si>
  <si>
    <t>2590BAA00/IND</t>
  </si>
  <si>
    <t>3022SSA00/IND</t>
  </si>
  <si>
    <t>3247QAC31/IND</t>
  </si>
  <si>
    <t>6109SAA34/IND</t>
  </si>
  <si>
    <t>8111YAA00/IND</t>
  </si>
  <si>
    <t>6274WAA31/IND</t>
  </si>
  <si>
    <t>10026SAA31/IND</t>
  </si>
  <si>
    <t>2760YAA00/IND</t>
  </si>
  <si>
    <t>2687WAA31/IND</t>
  </si>
  <si>
    <t>6309QAA31/IND</t>
  </si>
  <si>
    <t>2752WAA31/IND</t>
  </si>
  <si>
    <t>6309WAA31/IND</t>
  </si>
  <si>
    <t>2783SAA31/IND</t>
  </si>
  <si>
    <t>2783WAA31/IND</t>
  </si>
  <si>
    <t>3184QAB31/IND</t>
  </si>
  <si>
    <t>95095WAB32/IND</t>
  </si>
  <si>
    <t>2593WAB00/IND</t>
  </si>
  <si>
    <t>3247QAC32/IND</t>
  </si>
  <si>
    <t>2455WAB31/IND</t>
  </si>
  <si>
    <t>7155YAA00/IND</t>
  </si>
  <si>
    <t>1806YAE00/IND</t>
  </si>
  <si>
    <t>7155WAA00/IND</t>
  </si>
  <si>
    <t>7155BAA00/IND</t>
  </si>
  <si>
    <t>1773YAA00/IND</t>
  </si>
  <si>
    <t>2606YAA31/IND</t>
  </si>
  <si>
    <t>3315KDA32/IND</t>
  </si>
  <si>
    <t>6307QAA31/IND</t>
  </si>
  <si>
    <t>3089SAL35/IND</t>
  </si>
  <si>
    <t>2775QAA31/IND</t>
  </si>
  <si>
    <t>2775WAA00/IND</t>
  </si>
  <si>
    <t>311WAE31/IND</t>
  </si>
  <si>
    <t>6277SAA31/IND</t>
  </si>
  <si>
    <t>3299NAB31/IND</t>
  </si>
  <si>
    <t>2639WAA00/IND</t>
  </si>
  <si>
    <t>3321QDA33/IND</t>
  </si>
  <si>
    <t>6314WAA31/IND</t>
  </si>
  <si>
    <t>1636SEG</t>
  </si>
  <si>
    <t>1824NAB</t>
  </si>
  <si>
    <t>2570SAB</t>
  </si>
  <si>
    <t>1636BEG</t>
  </si>
  <si>
    <t>2660WAA</t>
  </si>
  <si>
    <t>2729SAA</t>
  </si>
  <si>
    <t>2754WAA</t>
  </si>
  <si>
    <t>2649SAC</t>
  </si>
  <si>
    <t>2455YAB</t>
  </si>
  <si>
    <t>2651WHF</t>
  </si>
  <si>
    <t>1773WAA</t>
  </si>
  <si>
    <t>6284WAB</t>
  </si>
  <si>
    <t>1650BAG</t>
  </si>
  <si>
    <t>1899SAA</t>
  </si>
  <si>
    <t>3276SAA</t>
  </si>
  <si>
    <t>6309NAA</t>
  </si>
  <si>
    <t>6307WAA</t>
  </si>
  <si>
    <t>6027SEC</t>
  </si>
  <si>
    <t>3322SAA</t>
  </si>
  <si>
    <t>3322NFA</t>
  </si>
  <si>
    <t>6266NAB</t>
  </si>
  <si>
    <t>6314SAA</t>
  </si>
  <si>
    <t>3327NKB</t>
  </si>
  <si>
    <t>8190YAD</t>
  </si>
  <si>
    <t>7140WAB</t>
  </si>
  <si>
    <t>2489SAC</t>
  </si>
  <si>
    <t>3287NAF</t>
  </si>
  <si>
    <t>6283SAA</t>
  </si>
  <si>
    <t>3247SAA</t>
  </si>
  <si>
    <t>3240NAC</t>
  </si>
  <si>
    <t>1863SAA</t>
  </si>
  <si>
    <t>3327SKB</t>
  </si>
  <si>
    <t>1636SEG00/IND</t>
  </si>
  <si>
    <t>6284QAB31/IND</t>
  </si>
  <si>
    <t>1773WAA00/IND</t>
  </si>
  <si>
    <t>2489SAC00/IND</t>
  </si>
  <si>
    <t>3287NAF31/IND</t>
  </si>
  <si>
    <t>1824NAB00/IND</t>
  </si>
  <si>
    <t>2606YAC36/IND</t>
  </si>
  <si>
    <t>3305QAA33/IND</t>
  </si>
  <si>
    <t>6284WAB31/IND</t>
  </si>
  <si>
    <t>1636BEG00/IND</t>
  </si>
  <si>
    <t>1650BAG00/IND</t>
  </si>
  <si>
    <t>6206WAA32/IND</t>
  </si>
  <si>
    <t>2570SAB32/IND</t>
  </si>
  <si>
    <t>1773WAA30/IND</t>
  </si>
  <si>
    <t>6314SAA31/IND</t>
  </si>
  <si>
    <t>2660WAA00/IND</t>
  </si>
  <si>
    <t>3276SAA00/IND</t>
  </si>
  <si>
    <t>3273NAA33/IND</t>
  </si>
  <si>
    <t>6309NAA31/IND</t>
  </si>
  <si>
    <t>2754WAA31/IND</t>
  </si>
  <si>
    <t>2729SAA00/IND</t>
  </si>
  <si>
    <t>2649SAC00/IND</t>
  </si>
  <si>
    <t>3322SAA00/IND</t>
  </si>
  <si>
    <t>6283SAA31/IND</t>
  </si>
  <si>
    <t>6258QAB33/IND</t>
  </si>
  <si>
    <t>6027SEC00/IND</t>
  </si>
  <si>
    <t>1863SAA31/IND</t>
  </si>
  <si>
    <t>2455YAB32/IND</t>
  </si>
  <si>
    <t>3327SKB33/IND</t>
  </si>
  <si>
    <t>3327NKB31/IND</t>
  </si>
  <si>
    <t>2651WHF31/IND</t>
  </si>
  <si>
    <t>6266NAB31/IND</t>
  </si>
  <si>
    <t>3322NFA31/IND</t>
  </si>
  <si>
    <t>7140WAB00/IND</t>
  </si>
  <si>
    <t>8190YAD00/IND</t>
  </si>
  <si>
    <t>TOTAL</t>
  </si>
  <si>
    <t>CASE ASSEMBLY MOM FTA % - 25-26</t>
  </si>
  <si>
    <t>Total</t>
  </si>
  <si>
    <t>3327KKA32/IND</t>
  </si>
  <si>
    <t>6222WAA00/IND</t>
  </si>
  <si>
    <t>3327QKB31/IND</t>
  </si>
  <si>
    <t>95136WAB31/IND</t>
  </si>
  <si>
    <t>1870SAB40/IND</t>
  </si>
  <si>
    <t>6284QAA31/IND</t>
  </si>
  <si>
    <t>1478SBG00/IND</t>
  </si>
  <si>
    <t>1802WAE30/IND</t>
  </si>
  <si>
    <t>1802QSE00/IND</t>
  </si>
  <si>
    <t>3229SAA00/IND</t>
  </si>
  <si>
    <t>8193WAA00/IND</t>
  </si>
  <si>
    <t>7140SAB00/IND</t>
  </si>
  <si>
    <t>2480NAU31/IND</t>
  </si>
  <si>
    <t>2480WAU00/IND</t>
  </si>
  <si>
    <t>8193QAA31/IND</t>
  </si>
  <si>
    <t>2480SAU00/IND</t>
  </si>
  <si>
    <t>8193SAA00/IND</t>
  </si>
  <si>
    <t>2702YAA00/IND</t>
  </si>
  <si>
    <t>2752WAA32/IND</t>
  </si>
  <si>
    <t>1870YAB40/IND</t>
  </si>
  <si>
    <t>6314WAA00/IND</t>
  </si>
  <si>
    <t>2601SAA31/IND</t>
  </si>
  <si>
    <t>6285NAB31/IND</t>
  </si>
  <si>
    <t>2639SAB</t>
  </si>
  <si>
    <t>2480NAU</t>
  </si>
  <si>
    <t>2480WAU</t>
  </si>
  <si>
    <t>1870YAB</t>
  </si>
  <si>
    <t>2480SAU</t>
  </si>
  <si>
    <t>6222WAA</t>
  </si>
  <si>
    <t>3327QKB</t>
  </si>
  <si>
    <t>3327KKA</t>
  </si>
  <si>
    <t>6284QAA</t>
  </si>
  <si>
    <t>1802WAE</t>
  </si>
  <si>
    <t>3229SAA</t>
  </si>
  <si>
    <t>1802QSE</t>
  </si>
  <si>
    <t>7140SAB</t>
  </si>
  <si>
    <t>6285NAB</t>
  </si>
  <si>
    <t>2601SAA</t>
  </si>
  <si>
    <t>8193WAA</t>
  </si>
  <si>
    <t>8193SAA</t>
  </si>
  <si>
    <t>95136WAB</t>
  </si>
  <si>
    <t>8193QAA</t>
  </si>
  <si>
    <t>2702YAA</t>
  </si>
  <si>
    <t>3332KEA</t>
  </si>
  <si>
    <t>6319WAA</t>
  </si>
  <si>
    <t>3323SKA</t>
  </si>
  <si>
    <t>10060BAA</t>
  </si>
  <si>
    <t>3321SDA</t>
  </si>
  <si>
    <t>6319QAA</t>
  </si>
  <si>
    <t>3330NAA</t>
  </si>
  <si>
    <t>3330SCA</t>
  </si>
  <si>
    <t>3330QAA</t>
  </si>
  <si>
    <t>6248QAA</t>
  </si>
  <si>
    <t>6215WAC</t>
  </si>
  <si>
    <t>6206WAB</t>
  </si>
  <si>
    <t>1578SAH</t>
  </si>
  <si>
    <t>6206QAB</t>
  </si>
  <si>
    <t>1578YAH</t>
  </si>
  <si>
    <t>6207WAD</t>
  </si>
  <si>
    <t>3166KJA</t>
  </si>
  <si>
    <t>6237QAA</t>
  </si>
  <si>
    <t>1698NAD</t>
  </si>
  <si>
    <t>2664SAB</t>
  </si>
  <si>
    <t>2634QEC</t>
  </si>
  <si>
    <t>2634WEC</t>
  </si>
  <si>
    <t>2639SCA</t>
  </si>
  <si>
    <t>6319WAA31/IND</t>
  </si>
  <si>
    <t>10060BAA00/IND</t>
  </si>
  <si>
    <t>3323SKA00/IND</t>
  </si>
  <si>
    <t>3321SDA31/IND</t>
  </si>
  <si>
    <t>3330QAA31/IND</t>
  </si>
  <si>
    <t>3330QAA32/IND</t>
  </si>
  <si>
    <t>3330NAA31/IND</t>
  </si>
  <si>
    <t>3332KEA31/IND</t>
  </si>
  <si>
    <t>3330SCA31/IND</t>
  </si>
  <si>
    <t>6237QAA31/IND</t>
  </si>
  <si>
    <t>2639SCA00/IND</t>
  </si>
  <si>
    <t>2634QEC31/IND</t>
  </si>
  <si>
    <t>2634WEC31/IND</t>
  </si>
  <si>
    <t>6215WAC00/IND</t>
  </si>
  <si>
    <t>2664SAB00/IND</t>
  </si>
  <si>
    <t>6248QAA32/IND</t>
  </si>
  <si>
    <t>6206WAB31/IND</t>
  </si>
  <si>
    <t>6206QAB31/IND</t>
  </si>
  <si>
    <t>1578SAH00/IND</t>
  </si>
  <si>
    <t>1578YAH00/IND</t>
  </si>
  <si>
    <t>6207WAD00/IND</t>
  </si>
  <si>
    <t>1698NAD31/IND</t>
  </si>
  <si>
    <t>6207NAD</t>
  </si>
  <si>
    <t>6208NAA</t>
  </si>
  <si>
    <t>3273QHA</t>
  </si>
  <si>
    <t>3287QCA</t>
  </si>
  <si>
    <t>1672WAA</t>
  </si>
  <si>
    <t>2480WAJ</t>
  </si>
  <si>
    <t>1636YEG</t>
  </si>
  <si>
    <t>2480QAU</t>
  </si>
  <si>
    <t>1823WAA</t>
  </si>
  <si>
    <t>6206WAB32/IND</t>
  </si>
  <si>
    <t>1672WAA31/IND</t>
  </si>
  <si>
    <t>6207NAD31/IND</t>
  </si>
  <si>
    <t>3273QHA31/IND</t>
  </si>
  <si>
    <t>10046YAA31/IND</t>
  </si>
  <si>
    <t>1636YEG00/IND</t>
  </si>
  <si>
    <t>3287QCA31/IND</t>
  </si>
  <si>
    <t>7153YAC32/IND</t>
  </si>
  <si>
    <t>6208NAA31/IND</t>
  </si>
  <si>
    <t>2480QAU00/IND</t>
  </si>
  <si>
    <t>6265NAA31/IND</t>
  </si>
  <si>
    <t>2417YAA</t>
  </si>
  <si>
    <t>6283QAA</t>
  </si>
  <si>
    <t>3331KFA</t>
  </si>
  <si>
    <t>3303KKE</t>
  </si>
  <si>
    <t>3287WAB</t>
  </si>
  <si>
    <t>3333QJA</t>
  </si>
  <si>
    <t>6283QAA33/IND</t>
  </si>
  <si>
    <t>3287WAB00/IND</t>
  </si>
  <si>
    <t>3333QJA31/IND</t>
  </si>
  <si>
    <t>3331KFA33/IND</t>
  </si>
  <si>
    <t>95032WAB31/IND</t>
  </si>
  <si>
    <t>3333QJA32/IND</t>
  </si>
  <si>
    <t>1823SAA00/IND</t>
  </si>
  <si>
    <t>95225WAB31/IND</t>
  </si>
  <si>
    <t>2698WAA31/IND</t>
  </si>
  <si>
    <t>1825BAC00/IND</t>
  </si>
  <si>
    <t>10046YAA</t>
  </si>
  <si>
    <t>95225WAB</t>
  </si>
  <si>
    <t>2698WAA</t>
  </si>
  <si>
    <t>PED-AUTO</t>
  </si>
  <si>
    <t>3303KKE34/IND</t>
  </si>
  <si>
    <t>3303KKE32/IND</t>
  </si>
  <si>
    <t>PED-Auto</t>
  </si>
  <si>
    <t>95232WAB31/IND</t>
  </si>
  <si>
    <t>10063YDA31/IND</t>
  </si>
  <si>
    <t>10063WDA31/IND</t>
  </si>
  <si>
    <t>10063BDA31/IND</t>
  </si>
  <si>
    <t>2664QAB00/IND</t>
  </si>
  <si>
    <t>95232WAB</t>
  </si>
  <si>
    <t>10063YDA</t>
  </si>
  <si>
    <t>10063WDA</t>
  </si>
  <si>
    <t>10063BDA</t>
  </si>
  <si>
    <t>2664QAB</t>
  </si>
  <si>
    <t>2579WAC32/IND</t>
  </si>
  <si>
    <t>2791WEA31/IND</t>
  </si>
  <si>
    <t>1805NAD31/IND</t>
  </si>
  <si>
    <t>2791SEA31/IND</t>
  </si>
  <si>
    <t>3337QKB32/IND</t>
  </si>
  <si>
    <t>6323WAA31/IND</t>
  </si>
  <si>
    <t>2791WEA</t>
  </si>
  <si>
    <t>2791SEA</t>
  </si>
  <si>
    <t>1805NAD</t>
  </si>
  <si>
    <t>3337QKB</t>
  </si>
  <si>
    <t>6323WAA</t>
  </si>
  <si>
    <t>1163YAE</t>
  </si>
  <si>
    <t>1506YCG</t>
  </si>
  <si>
    <t>311YAH</t>
  </si>
  <si>
    <t>3326NDC</t>
  </si>
  <si>
    <t>3326QDC</t>
  </si>
  <si>
    <t>3341SDA</t>
  </si>
  <si>
    <t>3341QDA</t>
  </si>
  <si>
    <t>3341NDA</t>
  </si>
  <si>
    <t>1163YAE00/IND</t>
  </si>
  <si>
    <t>1866YAA40/IND</t>
  </si>
  <si>
    <t>1506YCG31/IND</t>
  </si>
  <si>
    <t>3326NDC31/IND</t>
  </si>
  <si>
    <t>3341SDA31/IND</t>
  </si>
  <si>
    <t>3341NDA31/IND</t>
  </si>
  <si>
    <t>6078SAG37/IND</t>
  </si>
  <si>
    <t>3326QDC31/IND</t>
  </si>
  <si>
    <t>2606WAC34/IND</t>
  </si>
  <si>
    <t>3341QDA31/IND</t>
  </si>
  <si>
    <t>311YAH34/IND</t>
  </si>
  <si>
    <t>2659WAC31/IND</t>
  </si>
  <si>
    <t>2659QAC31/IND</t>
  </si>
  <si>
    <t>2575WAH31/IND</t>
  </si>
  <si>
    <t>1927YAG00/IND</t>
  </si>
  <si>
    <t>2659WAC</t>
  </si>
  <si>
    <t>2659QAC</t>
  </si>
  <si>
    <t>1927YAG</t>
  </si>
  <si>
    <t>2575WAH</t>
  </si>
  <si>
    <t>1866YAA</t>
  </si>
  <si>
    <t>3318SAA(BC)</t>
  </si>
  <si>
    <t>10059BAA</t>
  </si>
  <si>
    <t>3318NDA(BC)</t>
  </si>
  <si>
    <t>1767SED</t>
  </si>
  <si>
    <t>10047WAA</t>
  </si>
  <si>
    <t>6285WAC</t>
  </si>
  <si>
    <t>3015ASD</t>
  </si>
  <si>
    <t>6327QAA</t>
  </si>
  <si>
    <t>6327WAA</t>
  </si>
  <si>
    <t>10059BAA00/IND</t>
  </si>
  <si>
    <t>6285WAC00/IND</t>
  </si>
  <si>
    <t>3015ASD31/IND</t>
  </si>
  <si>
    <t>1767SED31/IND</t>
  </si>
  <si>
    <t>6327WAA31/IND</t>
  </si>
  <si>
    <t>6327QAA31/IND</t>
  </si>
  <si>
    <t>2651WAE</t>
  </si>
  <si>
    <t>2643YEB</t>
  </si>
  <si>
    <t>10047YAA</t>
  </si>
  <si>
    <t>2786WAA</t>
  </si>
  <si>
    <t>2786QAA</t>
  </si>
  <si>
    <t>10047BAA</t>
  </si>
  <si>
    <t>2576YAA</t>
  </si>
  <si>
    <t>2651SHE</t>
  </si>
  <si>
    <t>2651WHE</t>
  </si>
  <si>
    <t>2784WAA</t>
  </si>
  <si>
    <t>2651SHF</t>
  </si>
  <si>
    <t>2579YAA</t>
  </si>
  <si>
    <t>2480NAM</t>
  </si>
  <si>
    <t>2606QAB</t>
  </si>
  <si>
    <t>GS</t>
  </si>
  <si>
    <t>TK</t>
  </si>
  <si>
    <t>SL</t>
  </si>
  <si>
    <t>GM</t>
  </si>
  <si>
    <t>6189SAA</t>
  </si>
  <si>
    <t>6328SCA</t>
  </si>
  <si>
    <t>6328QCA</t>
  </si>
  <si>
    <t>3089SFA</t>
  </si>
  <si>
    <t>6207NSA</t>
  </si>
  <si>
    <t>1578YAA</t>
  </si>
  <si>
    <t>6230NAA</t>
  </si>
  <si>
    <t>2536YAA</t>
  </si>
  <si>
    <t>6296QAC</t>
  </si>
  <si>
    <t>6296WAC</t>
  </si>
  <si>
    <t>6328WCA</t>
  </si>
  <si>
    <t>2571SAA</t>
  </si>
  <si>
    <t>6210NAC</t>
  </si>
  <si>
    <t>3344KKA</t>
  </si>
  <si>
    <t>3301QBA</t>
  </si>
  <si>
    <t>1899NAA</t>
  </si>
  <si>
    <t>3264SBA</t>
  </si>
  <si>
    <t>High end pareto chart - 26-27</t>
  </si>
  <si>
    <t>Low End pareto chart - 26-27</t>
  </si>
  <si>
    <t>6189SAA00/IND</t>
  </si>
  <si>
    <t>10047WAA31/IND</t>
  </si>
  <si>
    <t>2643YEB31/IND</t>
  </si>
  <si>
    <t>10047YAA31/IND</t>
  </si>
  <si>
    <t>6327WAA32/IND</t>
  </si>
  <si>
    <t>2786QAA31/IND</t>
  </si>
  <si>
    <t>10047BAA31/IND</t>
  </si>
  <si>
    <t>6328SCA32/IND</t>
  </si>
  <si>
    <t>6328SCA31/IND</t>
  </si>
  <si>
    <t>2786WAA31/IND</t>
  </si>
  <si>
    <t>6328QCA31/IND</t>
  </si>
  <si>
    <t>6210NAC31/IND</t>
  </si>
  <si>
    <t>2651SHF31/IND</t>
  </si>
  <si>
    <t>2784WAA00/IND</t>
  </si>
  <si>
    <t>2784WAA31/IND</t>
  </si>
  <si>
    <t>3344KKA32/IND</t>
  </si>
  <si>
    <t>3344KKA33/IND</t>
  </si>
  <si>
    <t>3344KKA35/IND</t>
  </si>
  <si>
    <t>3084NSC34/IND</t>
  </si>
  <si>
    <t>6207NSA31/IND</t>
  </si>
  <si>
    <t>3344KKA31/IND</t>
  </si>
  <si>
    <t>6230NAA31/IND</t>
  </si>
  <si>
    <t>3166KJA32/IND</t>
  </si>
  <si>
    <t xml:space="preserve"> 6216WAA31/IND</t>
  </si>
  <si>
    <t>6296WAC00/IND</t>
  </si>
  <si>
    <t>6296QAC31/IND</t>
  </si>
  <si>
    <t>6328WCA31/IND</t>
  </si>
  <si>
    <t>CASE ASSEMBLY OVERALL FTA % - 26-27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</si>
</sst>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/mmm/yy;@"/>
    <numFmt numFmtId="165" formatCode="0.0%"/>
    <numFmt numFmtId="166" formatCode="[$-409]d\-mmm\-yyyy;@"/>
    <numFmt numFmtId="167" formatCode="[$-409]d\-mmm;@"/>
    <numFmt numFmtId="168" formatCode="[$-409]mmm/yy;@"/>
    <numFmt numFmtId="169" formatCode="[$-409]mmmm/yy;@"/>
    <numFmt numFmtId="170" formatCode="0.000000000000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indexed="8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 "/>
    </font>
    <font>
      <b/>
      <sz val="12"/>
      <color theme="1"/>
      <name val="Calibri"/>
      <family val="2"/>
      <scheme val="minor"/>
    </font>
    <font>
      <b/>
      <sz val="10"/>
      <name val="Calibri"/>
      <family val="2"/>
    </font>
    <font>
      <sz val="16"/>
      <color theme="1"/>
      <name val="Arial Rounded MT Bold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6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67" fontId="9" fillId="0" borderId="1" xfId="0" applyNumberFormat="1" applyFont="1" applyBorder="1" applyAlignment="1">
      <alignment horizontal="left"/>
    </xf>
    <xf numFmtId="0" fontId="0" fillId="10" borderId="1" xfId="0" applyFill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/>
    </xf>
    <xf numFmtId="168" fontId="0" fillId="0" borderId="2" xfId="0" applyNumberFormat="1" applyBorder="1"/>
    <xf numFmtId="0" fontId="10" fillId="0" borderId="1" xfId="0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170" fontId="0" fillId="0" borderId="0" xfId="0" applyNumberFormat="1"/>
    <xf numFmtId="166" fontId="8" fillId="0" borderId="5" xfId="0" applyNumberFormat="1" applyFont="1" applyBorder="1" applyAlignment="1">
      <alignment horizontal="left"/>
    </xf>
    <xf numFmtId="168" fontId="0" fillId="0" borderId="11" xfId="0" applyNumberFormat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0" xfId="0" applyBorder="1"/>
    <xf numFmtId="0" fontId="10" fillId="0" borderId="1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11" borderId="13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17" fontId="2" fillId="0" borderId="16" xfId="0" applyNumberFormat="1" applyFont="1" applyBorder="1" applyAlignment="1">
      <alignment horizontal="center"/>
    </xf>
    <xf numFmtId="165" fontId="1" fillId="0" borderId="17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9" xfId="0" applyFont="1" applyBorder="1" applyAlignment="1">
      <alignment horizontal="center"/>
    </xf>
    <xf numFmtId="165" fontId="1" fillId="0" borderId="20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03">
    <dxf>
      <numFmt numFmtId="168" formatCode="[$-409]mmm/yy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[$-409]d\-mmm\-yyyy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[$-409]mmm/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/mmm/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[$-409]mmm/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/mmm/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High</a:t>
            </a:r>
            <a:r>
              <a:rPr lang="en-US" sz="1300" baseline="0"/>
              <a:t> end &amp; 100% FTA - 26-27</a:t>
            </a:r>
            <a:endParaRPr lang="en-US" sz="1300"/>
          </a:p>
        </c:rich>
      </c:tx>
      <c:layout>
        <c:manualLayout>
          <c:xMode val="edge"/>
          <c:yMode val="edge"/>
          <c:x val="0.30012447854627211"/>
          <c:y val="4.9766710381257413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8047996947337"/>
          <c:y val="0.19944009185288908"/>
          <c:w val="0.8564658199650389"/>
          <c:h val="0.61082388654366082"/>
        </c:manualLayout>
      </c:layout>
      <c:lineChart>
        <c:grouping val="standard"/>
        <c:varyColors val="0"/>
        <c:ser>
          <c:idx val="0"/>
          <c:order val="0"/>
          <c:tx>
            <c:strRef>
              <c:f>Report!$AC$4</c:f>
              <c:strCache>
                <c:ptCount val="1"/>
                <c:pt idx="0">
                  <c:v>Overall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Report!$T$6:$T$18</c:f>
              <c:strCache>
                <c:ptCount val="13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  <c:pt idx="12">
                  <c:v>YTM</c:v>
                </c:pt>
              </c:strCache>
            </c:strRef>
          </c:cat>
          <c:val>
            <c:numRef>
              <c:f>Report!$AC$6:$AC$18</c:f>
              <c:numCache>
                <c:formatCode>0.0%</c:formatCode>
                <c:ptCount val="13"/>
                <c:pt idx="0">
                  <c:v>0.9643676674962024</c:v>
                </c:pt>
                <c:pt idx="12">
                  <c:v>0.9643676674962024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094-46EA-86DC-DE4FE5F20ACC}"/>
            </c:ext>
          </c:extLst>
        </c:ser>
        <c:ser>
          <c:idx val="8"/>
          <c:order val="1"/>
          <c:tx>
            <c:strRef>
              <c:f>Report!$AC$4</c:f>
              <c:strCache>
                <c:ptCount val="1"/>
                <c:pt idx="0">
                  <c:v>Overall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Report!$T$6:$T$18</c:f>
              <c:strCache>
                <c:ptCount val="13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  <c:pt idx="12">
                  <c:v>YTM</c:v>
                </c:pt>
              </c:strCache>
            </c:strRef>
          </c:cat>
          <c:val>
            <c:numRef>
              <c:f>Report!$AC$6:$AC$18</c:f>
              <c:numCache>
                <c:formatCode>0.0%</c:formatCode>
                <c:ptCount val="13"/>
                <c:pt idx="0">
                  <c:v>0.9643676674962024</c:v>
                </c:pt>
                <c:pt idx="12">
                  <c:v>0.9643676674962024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094-46EA-86DC-DE4FE5F20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815631"/>
        <c:axId val="956334191"/>
      </c:lineChart>
      <c:catAx>
        <c:axId val="9828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34191"/>
        <c:crosses val="autoZero"/>
        <c:auto val="1"/>
        <c:lblAlgn val="ctr"/>
        <c:lblOffset val="100"/>
        <c:noMultiLvlLbl val="0"/>
      </c:catAx>
      <c:valAx>
        <c:axId val="956334191"/>
        <c:scaling>
          <c:orientation val="minMax"/>
          <c:max val="1"/>
          <c:min val="0.85000000000000009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15631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aseline="0"/>
              <a:t>Low end FTA (Based on lot qty) - 26-27</a:t>
            </a:r>
            <a:endParaRPr lang="en-US" sz="1300"/>
          </a:p>
        </c:rich>
      </c:tx>
      <c:layout>
        <c:manualLayout>
          <c:xMode val="edge"/>
          <c:yMode val="edge"/>
          <c:x val="0.21709205383382388"/>
          <c:y val="4.469399370912177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8047996947337"/>
          <c:y val="0.19944009185288908"/>
          <c:w val="0.8564658199650389"/>
          <c:h val="0.61035258874631781"/>
        </c:manualLayout>
      </c:layout>
      <c:lineChart>
        <c:grouping val="standard"/>
        <c:varyColors val="0"/>
        <c:ser>
          <c:idx val="8"/>
          <c:order val="0"/>
          <c:tx>
            <c:strRef>
              <c:f>Report!$AG$5</c:f>
              <c:strCache>
                <c:ptCount val="1"/>
                <c:pt idx="0">
                  <c:v>FTA%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Report!$T$6:$T$18</c:f>
              <c:strCache>
                <c:ptCount val="13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  <c:pt idx="12">
                  <c:v>YTM</c:v>
                </c:pt>
              </c:strCache>
            </c:strRef>
          </c:cat>
          <c:val>
            <c:numRef>
              <c:f>Report!$AG$6:$AG$18</c:f>
              <c:numCache>
                <c:formatCode>0.0%</c:formatCode>
                <c:ptCount val="13"/>
                <c:pt idx="0">
                  <c:v>0.94742385571540721</c:v>
                </c:pt>
                <c:pt idx="12">
                  <c:v>0.94742385571540721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17-4AB1-AB03-98B125CF7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815631"/>
        <c:axId val="956334191"/>
      </c:lineChart>
      <c:catAx>
        <c:axId val="9828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34191"/>
        <c:crosses val="autoZero"/>
        <c:auto val="1"/>
        <c:lblAlgn val="ctr"/>
        <c:lblOffset val="100"/>
        <c:noMultiLvlLbl val="0"/>
      </c:catAx>
      <c:valAx>
        <c:axId val="956334191"/>
        <c:scaling>
          <c:orientation val="minMax"/>
          <c:max val="1"/>
          <c:min val="0.85000000000000009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15631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Groupwise - High</a:t>
            </a:r>
            <a:r>
              <a:rPr lang="en-US" sz="1300" baseline="0"/>
              <a:t> end &amp; 100% FTA - 26-27</a:t>
            </a:r>
            <a:endParaRPr lang="en-US" sz="1300"/>
          </a:p>
        </c:rich>
      </c:tx>
      <c:layout>
        <c:manualLayout>
          <c:xMode val="edge"/>
          <c:yMode val="edge"/>
          <c:x val="0.18486580140154388"/>
          <c:y val="5.3913936246362197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8047996947337"/>
          <c:y val="0.19944009185288908"/>
          <c:w val="0.8564658199650389"/>
          <c:h val="0.63571584383963886"/>
        </c:manualLayout>
      </c:layout>
      <c:barChart>
        <c:barDir val="col"/>
        <c:grouping val="clustered"/>
        <c:varyColors val="0"/>
        <c:ser>
          <c:idx val="8"/>
          <c:order val="0"/>
          <c:tx>
            <c:strRef>
              <c:f>Report!$AC$23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Report!$T$25:$T$38</c:f>
              <c:strCache>
                <c:ptCount val="14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G1</c:v>
                </c:pt>
                <c:pt idx="4">
                  <c:v>G2</c:v>
                </c:pt>
                <c:pt idx="5">
                  <c:v>G3</c:v>
                </c:pt>
                <c:pt idx="6">
                  <c:v>G4</c:v>
                </c:pt>
                <c:pt idx="7">
                  <c:v>G5</c:v>
                </c:pt>
                <c:pt idx="8">
                  <c:v>G6</c:v>
                </c:pt>
                <c:pt idx="9">
                  <c:v>G7</c:v>
                </c:pt>
                <c:pt idx="10">
                  <c:v>G8</c:v>
                </c:pt>
                <c:pt idx="11">
                  <c:v>PED</c:v>
                </c:pt>
                <c:pt idx="12">
                  <c:v>PED-AUTO</c:v>
                </c:pt>
                <c:pt idx="13">
                  <c:v>YTM</c:v>
                </c:pt>
              </c:strCache>
            </c:strRef>
          </c:cat>
          <c:val>
            <c:numRef>
              <c:f>Report!$AC$25:$AC$38</c:f>
              <c:numCache>
                <c:formatCode>0.0%</c:formatCode>
                <c:ptCount val="14"/>
                <c:pt idx="0">
                  <c:v>0.96372854914196571</c:v>
                </c:pt>
                <c:pt idx="1">
                  <c:v>0.92629752155756817</c:v>
                </c:pt>
                <c:pt idx="2">
                  <c:v>0.95399268187688335</c:v>
                </c:pt>
                <c:pt idx="3">
                  <c:v>0.97175643819774937</c:v>
                </c:pt>
                <c:pt idx="4">
                  <c:v>0.97530986124142016</c:v>
                </c:pt>
                <c:pt idx="5">
                  <c:v>0.95979978101048025</c:v>
                </c:pt>
                <c:pt idx="6">
                  <c:v>0.97732817226685753</c:v>
                </c:pt>
                <c:pt idx="7">
                  <c:v>0.96645528903593425</c:v>
                </c:pt>
                <c:pt idx="8">
                  <c:v>0.97778584392014523</c:v>
                </c:pt>
                <c:pt idx="9">
                  <c:v>0.97117607070020395</c:v>
                </c:pt>
                <c:pt idx="10">
                  <c:v>0.94372024484243933</c:v>
                </c:pt>
                <c:pt idx="11">
                  <c:v>0.95995356935577481</c:v>
                </c:pt>
                <c:pt idx="12">
                  <c:v>0.98089807555238773</c:v>
                </c:pt>
                <c:pt idx="13">
                  <c:v>0.9643676674962024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4-42A2-A4DB-D9918B212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815631"/>
        <c:axId val="956334191"/>
      </c:barChart>
      <c:catAx>
        <c:axId val="9828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34191"/>
        <c:crosses val="autoZero"/>
        <c:auto val="1"/>
        <c:lblAlgn val="ctr"/>
        <c:lblOffset val="100"/>
        <c:noMultiLvlLbl val="0"/>
      </c:catAx>
      <c:valAx>
        <c:axId val="956334191"/>
        <c:scaling>
          <c:orientation val="minMax"/>
          <c:max val="1"/>
          <c:min val="0.85000000000000009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15631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aseline="0"/>
              <a:t>Groupwise - Low end FTA (Based on lot qty) - 26-27</a:t>
            </a:r>
            <a:endParaRPr lang="en-US" sz="1300"/>
          </a:p>
        </c:rich>
      </c:tx>
      <c:layout>
        <c:manualLayout>
          <c:xMode val="edge"/>
          <c:yMode val="edge"/>
          <c:x val="0.11922713982952524"/>
          <c:y val="4.9766710381257413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8047996947337"/>
          <c:y val="0.19944009185288908"/>
          <c:w val="0.8564658199650389"/>
          <c:h val="0.63571584383963886"/>
        </c:manualLayout>
      </c:layout>
      <c:barChart>
        <c:barDir val="col"/>
        <c:grouping val="clustered"/>
        <c:varyColors val="0"/>
        <c:ser>
          <c:idx val="8"/>
          <c:order val="0"/>
          <c:tx>
            <c:strRef>
              <c:f>Report!$AG$24</c:f>
              <c:strCache>
                <c:ptCount val="1"/>
                <c:pt idx="0">
                  <c:v>FTA%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Report!$T$25:$T$38</c:f>
              <c:strCache>
                <c:ptCount val="14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G1</c:v>
                </c:pt>
                <c:pt idx="4">
                  <c:v>G2</c:v>
                </c:pt>
                <c:pt idx="5">
                  <c:v>G3</c:v>
                </c:pt>
                <c:pt idx="6">
                  <c:v>G4</c:v>
                </c:pt>
                <c:pt idx="7">
                  <c:v>G5</c:v>
                </c:pt>
                <c:pt idx="8">
                  <c:v>G6</c:v>
                </c:pt>
                <c:pt idx="9">
                  <c:v>G7</c:v>
                </c:pt>
                <c:pt idx="10">
                  <c:v>G8</c:v>
                </c:pt>
                <c:pt idx="11">
                  <c:v>PED</c:v>
                </c:pt>
                <c:pt idx="12">
                  <c:v>PED-AUTO</c:v>
                </c:pt>
                <c:pt idx="13">
                  <c:v>YTM</c:v>
                </c:pt>
              </c:strCache>
            </c:strRef>
          </c:cat>
          <c:val>
            <c:numRef>
              <c:f>Report!$AG$25:$AG$38</c:f>
              <c:numCache>
                <c:formatCode>0.0%</c:formatCode>
                <c:ptCount val="14"/>
                <c:pt idx="0">
                  <c:v>1</c:v>
                </c:pt>
                <c:pt idx="1">
                  <c:v>0.80028025665609559</c:v>
                </c:pt>
                <c:pt idx="2">
                  <c:v>0.95585006911130987</c:v>
                </c:pt>
                <c:pt idx="3">
                  <c:v>0.9819267881758309</c:v>
                </c:pt>
                <c:pt idx="4">
                  <c:v>0.98642408934843517</c:v>
                </c:pt>
                <c:pt idx="5">
                  <c:v>0.94023442824042525</c:v>
                </c:pt>
                <c:pt idx="6">
                  <c:v>0.9937770095073466</c:v>
                </c:pt>
                <c:pt idx="7">
                  <c:v>0.91345307559409328</c:v>
                </c:pt>
                <c:pt idx="8">
                  <c:v>0.9723024178996752</c:v>
                </c:pt>
                <c:pt idx="9">
                  <c:v>0.941024331055623</c:v>
                </c:pt>
                <c:pt idx="10">
                  <c:v>0.93156885078832208</c:v>
                </c:pt>
                <c:pt idx="11">
                  <c:v>1</c:v>
                </c:pt>
                <c:pt idx="12">
                  <c:v>1</c:v>
                </c:pt>
                <c:pt idx="13">
                  <c:v>0.94742385571540721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C-4166-98ED-D32A87173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815631"/>
        <c:axId val="956334191"/>
      </c:barChart>
      <c:catAx>
        <c:axId val="9828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34191"/>
        <c:crosses val="autoZero"/>
        <c:auto val="1"/>
        <c:lblAlgn val="ctr"/>
        <c:lblOffset val="100"/>
        <c:noMultiLvlLbl val="0"/>
      </c:catAx>
      <c:valAx>
        <c:axId val="95633419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815631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Low end defectwise trend - 26-27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598034380045549E-2"/>
          <c:y val="0.16698613290811887"/>
          <c:w val="0.89757719807638214"/>
          <c:h val="0.484028046855363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Report!$U$42</c:f>
              <c:strCache>
                <c:ptCount val="1"/>
                <c:pt idx="0">
                  <c:v>Rej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Report!$T$43:$T$68</c:f>
              <c:strCache>
                <c:ptCount val="26"/>
                <c:pt idx="0">
                  <c:v>CC Scratch/Dent</c:v>
                </c:pt>
                <c:pt idx="1">
                  <c:v>Handling Stain</c:v>
                </c:pt>
                <c:pt idx="2">
                  <c:v>Adhesive Overflow</c:v>
                </c:pt>
                <c:pt idx="3">
                  <c:v>Adhesive gap/Bubbles</c:v>
                </c:pt>
                <c:pt idx="4">
                  <c:v>MG Inclination</c:v>
                </c:pt>
                <c:pt idx="5">
                  <c:v>Others</c:v>
                </c:pt>
                <c:pt idx="6">
                  <c:v>MG Projection</c:v>
                </c:pt>
                <c:pt idx="7">
                  <c:v>Adhesive Thread/Dust</c:v>
                </c:pt>
                <c:pt idx="8">
                  <c:v>Plating Defects</c:v>
                </c:pt>
                <c:pt idx="9">
                  <c:v>Ring Gap/ Come out</c:v>
                </c:pt>
                <c:pt idx="10">
                  <c:v>MG Scratch/Dent</c:v>
                </c:pt>
                <c:pt idx="11">
                  <c:v>POL Defects</c:v>
                </c:pt>
                <c:pt idx="12">
                  <c:v>MGG Buldge</c:v>
                </c:pt>
                <c:pt idx="13">
                  <c:v>Operation Miss</c:v>
                </c:pt>
                <c:pt idx="14">
                  <c:v>CP Defect</c:v>
                </c:pt>
                <c:pt idx="15">
                  <c:v>MG Cloudy stain</c:v>
                </c:pt>
                <c:pt idx="16">
                  <c:v>PB Defect</c:v>
                </c:pt>
                <c:pt idx="17">
                  <c:v>Ring Stain</c:v>
                </c:pt>
                <c:pt idx="18">
                  <c:v>Ring Dust</c:v>
                </c:pt>
                <c:pt idx="19">
                  <c:v>PB Gap</c:v>
                </c:pt>
                <c:pt idx="20">
                  <c:v>Version Mix up</c:v>
                </c:pt>
                <c:pt idx="21">
                  <c:v>MG peel off</c:v>
                </c:pt>
                <c:pt idx="22">
                  <c:v>Plating Peel off</c:v>
                </c:pt>
                <c:pt idx="23">
                  <c:v>PB Come out</c:v>
                </c:pt>
                <c:pt idx="24">
                  <c:v>BC Butting Damage</c:v>
                </c:pt>
                <c:pt idx="25">
                  <c:v>BC Defect</c:v>
                </c:pt>
              </c:strCache>
            </c:strRef>
          </c:cat>
          <c:val>
            <c:numRef>
              <c:f>Report!$U$43:$U$68</c:f>
              <c:numCache>
                <c:formatCode>General</c:formatCode>
                <c:ptCount val="26"/>
                <c:pt idx="0">
                  <c:v>2076</c:v>
                </c:pt>
                <c:pt idx="1">
                  <c:v>649</c:v>
                </c:pt>
                <c:pt idx="2">
                  <c:v>230</c:v>
                </c:pt>
                <c:pt idx="3">
                  <c:v>170</c:v>
                </c:pt>
                <c:pt idx="4">
                  <c:v>133</c:v>
                </c:pt>
                <c:pt idx="5">
                  <c:v>118</c:v>
                </c:pt>
                <c:pt idx="6">
                  <c:v>97</c:v>
                </c:pt>
                <c:pt idx="7">
                  <c:v>75</c:v>
                </c:pt>
                <c:pt idx="8">
                  <c:v>69</c:v>
                </c:pt>
                <c:pt idx="9">
                  <c:v>66</c:v>
                </c:pt>
                <c:pt idx="10">
                  <c:v>62</c:v>
                </c:pt>
                <c:pt idx="11">
                  <c:v>57</c:v>
                </c:pt>
                <c:pt idx="12">
                  <c:v>41</c:v>
                </c:pt>
                <c:pt idx="13">
                  <c:v>27</c:v>
                </c:pt>
                <c:pt idx="14">
                  <c:v>26</c:v>
                </c:pt>
                <c:pt idx="15">
                  <c:v>23</c:v>
                </c:pt>
                <c:pt idx="16">
                  <c:v>21</c:v>
                </c:pt>
                <c:pt idx="17">
                  <c:v>15</c:v>
                </c:pt>
                <c:pt idx="18">
                  <c:v>14</c:v>
                </c:pt>
                <c:pt idx="19">
                  <c:v>9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C-4C69-9A18-6BAACEAC1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1921567"/>
        <c:axId val="988832479"/>
      </c:barChart>
      <c:lineChart>
        <c:grouping val="standard"/>
        <c:varyColors val="0"/>
        <c:ser>
          <c:idx val="3"/>
          <c:order val="1"/>
          <c:tx>
            <c:strRef>
              <c:f>Report!$X$42</c:f>
              <c:strCache>
                <c:ptCount val="1"/>
                <c:pt idx="0">
                  <c:v>Cumulative%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Report!$T$43:$T$68</c:f>
              <c:strCache>
                <c:ptCount val="26"/>
                <c:pt idx="0">
                  <c:v>CC Scratch/Dent</c:v>
                </c:pt>
                <c:pt idx="1">
                  <c:v>Handling Stain</c:v>
                </c:pt>
                <c:pt idx="2">
                  <c:v>Adhesive Overflow</c:v>
                </c:pt>
                <c:pt idx="3">
                  <c:v>Adhesive gap/Bubbles</c:v>
                </c:pt>
                <c:pt idx="4">
                  <c:v>MG Inclination</c:v>
                </c:pt>
                <c:pt idx="5">
                  <c:v>Others</c:v>
                </c:pt>
                <c:pt idx="6">
                  <c:v>MG Projection</c:v>
                </c:pt>
                <c:pt idx="7">
                  <c:v>Adhesive Thread/Dust</c:v>
                </c:pt>
                <c:pt idx="8">
                  <c:v>Plating Defects</c:v>
                </c:pt>
                <c:pt idx="9">
                  <c:v>Ring Gap/ Come out</c:v>
                </c:pt>
                <c:pt idx="10">
                  <c:v>MG Scratch/Dent</c:v>
                </c:pt>
                <c:pt idx="11">
                  <c:v>POL Defects</c:v>
                </c:pt>
                <c:pt idx="12">
                  <c:v>MGG Buldge</c:v>
                </c:pt>
                <c:pt idx="13">
                  <c:v>Operation Miss</c:v>
                </c:pt>
                <c:pt idx="14">
                  <c:v>CP Defect</c:v>
                </c:pt>
                <c:pt idx="15">
                  <c:v>MG Cloudy stain</c:v>
                </c:pt>
                <c:pt idx="16">
                  <c:v>PB Defect</c:v>
                </c:pt>
                <c:pt idx="17">
                  <c:v>Ring Stain</c:v>
                </c:pt>
                <c:pt idx="18">
                  <c:v>Ring Dust</c:v>
                </c:pt>
                <c:pt idx="19">
                  <c:v>PB Gap</c:v>
                </c:pt>
                <c:pt idx="20">
                  <c:v>Version Mix up</c:v>
                </c:pt>
                <c:pt idx="21">
                  <c:v>MG peel off</c:v>
                </c:pt>
                <c:pt idx="22">
                  <c:v>Plating Peel off</c:v>
                </c:pt>
                <c:pt idx="23">
                  <c:v>PB Come out</c:v>
                </c:pt>
                <c:pt idx="24">
                  <c:v>BC Butting Damage</c:v>
                </c:pt>
                <c:pt idx="25">
                  <c:v>BC Defect</c:v>
                </c:pt>
              </c:strCache>
            </c:strRef>
          </c:cat>
          <c:val>
            <c:numRef>
              <c:f>Report!$X$43:$X$68</c:f>
              <c:numCache>
                <c:formatCode>0%</c:formatCode>
                <c:ptCount val="26"/>
                <c:pt idx="0">
                  <c:v>0.52030075187969926</c:v>
                </c:pt>
                <c:pt idx="1">
                  <c:v>0.68295739348370932</c:v>
                </c:pt>
                <c:pt idx="2">
                  <c:v>0.74060150375939848</c:v>
                </c:pt>
                <c:pt idx="3">
                  <c:v>0.78320802005012524</c:v>
                </c:pt>
                <c:pt idx="4">
                  <c:v>0.81654135338345857</c:v>
                </c:pt>
                <c:pt idx="5">
                  <c:v>0.84611528822055126</c:v>
                </c:pt>
                <c:pt idx="6">
                  <c:v>0.8704260651629071</c:v>
                </c:pt>
                <c:pt idx="7">
                  <c:v>0.88922305764411014</c:v>
                </c:pt>
                <c:pt idx="8">
                  <c:v>0.90651629072681694</c:v>
                </c:pt>
                <c:pt idx="9">
                  <c:v>0.92305764411027558</c:v>
                </c:pt>
                <c:pt idx="10">
                  <c:v>0.9385964912280701</c:v>
                </c:pt>
                <c:pt idx="11">
                  <c:v>0.95288220551378433</c:v>
                </c:pt>
                <c:pt idx="12">
                  <c:v>0.96315789473684199</c:v>
                </c:pt>
                <c:pt idx="13">
                  <c:v>0.96992481203007508</c:v>
                </c:pt>
                <c:pt idx="14">
                  <c:v>0.97644110275689211</c:v>
                </c:pt>
                <c:pt idx="15">
                  <c:v>0.98220551378446108</c:v>
                </c:pt>
                <c:pt idx="16">
                  <c:v>0.98746867167919794</c:v>
                </c:pt>
                <c:pt idx="17">
                  <c:v>0.99122807017543857</c:v>
                </c:pt>
                <c:pt idx="18">
                  <c:v>0.99473684210526314</c:v>
                </c:pt>
                <c:pt idx="19">
                  <c:v>0.99699248120300754</c:v>
                </c:pt>
                <c:pt idx="20">
                  <c:v>0.99799498746867166</c:v>
                </c:pt>
                <c:pt idx="21">
                  <c:v>0.99899749373433577</c:v>
                </c:pt>
                <c:pt idx="22">
                  <c:v>0.99974937343358394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6C-4C69-9A18-6BAACEAC1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930447"/>
        <c:axId val="662053471"/>
      </c:lineChart>
      <c:catAx>
        <c:axId val="123192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32479"/>
        <c:crosses val="autoZero"/>
        <c:auto val="1"/>
        <c:lblAlgn val="ctr"/>
        <c:lblOffset val="100"/>
        <c:noMultiLvlLbl val="0"/>
      </c:catAx>
      <c:valAx>
        <c:axId val="9888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921567"/>
        <c:crosses val="autoZero"/>
        <c:crossBetween val="between"/>
      </c:valAx>
      <c:valAx>
        <c:axId val="66205347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30447"/>
        <c:crosses val="max"/>
        <c:crossBetween val="between"/>
      </c:valAx>
      <c:catAx>
        <c:axId val="689930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2053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 end defectwise trend - 26-27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598034380045549E-2"/>
          <c:y val="0.16698613290811887"/>
          <c:w val="0.89757719807638214"/>
          <c:h val="0.484028046855363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Report!$U$42</c:f>
              <c:strCache>
                <c:ptCount val="1"/>
                <c:pt idx="0">
                  <c:v>Rej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Report!$T$74:$T$99</c:f>
              <c:strCache>
                <c:ptCount val="26"/>
                <c:pt idx="0">
                  <c:v>CC Scratch/Dent</c:v>
                </c:pt>
                <c:pt idx="1">
                  <c:v>Handling Stain</c:v>
                </c:pt>
                <c:pt idx="2">
                  <c:v>Adhesive Overflow</c:v>
                </c:pt>
                <c:pt idx="3">
                  <c:v>MG Inclination</c:v>
                </c:pt>
                <c:pt idx="4">
                  <c:v>Adhesive gap/Bubbles</c:v>
                </c:pt>
                <c:pt idx="5">
                  <c:v>MG Projection</c:v>
                </c:pt>
                <c:pt idx="6">
                  <c:v>Plating Defects</c:v>
                </c:pt>
                <c:pt idx="7">
                  <c:v>Others</c:v>
                </c:pt>
                <c:pt idx="8">
                  <c:v>CP Defect</c:v>
                </c:pt>
                <c:pt idx="9">
                  <c:v>MG Scratch/Dent</c:v>
                </c:pt>
                <c:pt idx="10">
                  <c:v>POL Defects</c:v>
                </c:pt>
                <c:pt idx="11">
                  <c:v>Operation Miss</c:v>
                </c:pt>
                <c:pt idx="12">
                  <c:v>MGG Buldge</c:v>
                </c:pt>
                <c:pt idx="13">
                  <c:v>Ring Dust</c:v>
                </c:pt>
                <c:pt idx="14">
                  <c:v>MG Cloudy stain</c:v>
                </c:pt>
                <c:pt idx="15">
                  <c:v>PB Defect</c:v>
                </c:pt>
                <c:pt idx="16">
                  <c:v>Adhesive Thread/Dust</c:v>
                </c:pt>
                <c:pt idx="17">
                  <c:v>Ring Gap/ Come out</c:v>
                </c:pt>
                <c:pt idx="18">
                  <c:v>Ring Stain</c:v>
                </c:pt>
                <c:pt idx="19">
                  <c:v>Plating Peel off</c:v>
                </c:pt>
                <c:pt idx="20">
                  <c:v>PB Gap</c:v>
                </c:pt>
                <c:pt idx="21">
                  <c:v>PB Come out</c:v>
                </c:pt>
                <c:pt idx="22">
                  <c:v>BC Defect</c:v>
                </c:pt>
                <c:pt idx="23">
                  <c:v>Version Mix up</c:v>
                </c:pt>
                <c:pt idx="24">
                  <c:v>MG peel off</c:v>
                </c:pt>
                <c:pt idx="25">
                  <c:v>BC Butting Damage</c:v>
                </c:pt>
              </c:strCache>
            </c:strRef>
          </c:cat>
          <c:val>
            <c:numRef>
              <c:f>Report!$U$74:$U$99</c:f>
              <c:numCache>
                <c:formatCode>General</c:formatCode>
                <c:ptCount val="26"/>
                <c:pt idx="0">
                  <c:v>2718</c:v>
                </c:pt>
                <c:pt idx="1">
                  <c:v>737</c:v>
                </c:pt>
                <c:pt idx="2">
                  <c:v>628</c:v>
                </c:pt>
                <c:pt idx="3">
                  <c:v>396</c:v>
                </c:pt>
                <c:pt idx="4">
                  <c:v>361</c:v>
                </c:pt>
                <c:pt idx="5">
                  <c:v>144</c:v>
                </c:pt>
                <c:pt idx="6">
                  <c:v>119</c:v>
                </c:pt>
                <c:pt idx="7">
                  <c:v>106</c:v>
                </c:pt>
                <c:pt idx="8">
                  <c:v>85</c:v>
                </c:pt>
                <c:pt idx="9">
                  <c:v>74</c:v>
                </c:pt>
                <c:pt idx="10">
                  <c:v>72</c:v>
                </c:pt>
                <c:pt idx="11">
                  <c:v>62</c:v>
                </c:pt>
                <c:pt idx="12">
                  <c:v>53</c:v>
                </c:pt>
                <c:pt idx="13">
                  <c:v>53</c:v>
                </c:pt>
                <c:pt idx="14">
                  <c:v>45</c:v>
                </c:pt>
                <c:pt idx="15">
                  <c:v>39</c:v>
                </c:pt>
                <c:pt idx="16">
                  <c:v>30</c:v>
                </c:pt>
                <c:pt idx="17">
                  <c:v>19</c:v>
                </c:pt>
                <c:pt idx="18">
                  <c:v>18</c:v>
                </c:pt>
                <c:pt idx="19">
                  <c:v>17</c:v>
                </c:pt>
                <c:pt idx="20">
                  <c:v>13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6-4144-9B08-47F39BDC7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1921567"/>
        <c:axId val="988832479"/>
      </c:barChart>
      <c:lineChart>
        <c:grouping val="standard"/>
        <c:varyColors val="0"/>
        <c:ser>
          <c:idx val="3"/>
          <c:order val="1"/>
          <c:tx>
            <c:strRef>
              <c:f>Report!$X$42</c:f>
              <c:strCache>
                <c:ptCount val="1"/>
                <c:pt idx="0">
                  <c:v>Cumulative%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Report!$T$74:$T$99</c:f>
              <c:strCache>
                <c:ptCount val="26"/>
                <c:pt idx="0">
                  <c:v>CC Scratch/Dent</c:v>
                </c:pt>
                <c:pt idx="1">
                  <c:v>Handling Stain</c:v>
                </c:pt>
                <c:pt idx="2">
                  <c:v>Adhesive Overflow</c:v>
                </c:pt>
                <c:pt idx="3">
                  <c:v>MG Inclination</c:v>
                </c:pt>
                <c:pt idx="4">
                  <c:v>Adhesive gap/Bubbles</c:v>
                </c:pt>
                <c:pt idx="5">
                  <c:v>MG Projection</c:v>
                </c:pt>
                <c:pt idx="6">
                  <c:v>Plating Defects</c:v>
                </c:pt>
                <c:pt idx="7">
                  <c:v>Others</c:v>
                </c:pt>
                <c:pt idx="8">
                  <c:v>CP Defect</c:v>
                </c:pt>
                <c:pt idx="9">
                  <c:v>MG Scratch/Dent</c:v>
                </c:pt>
                <c:pt idx="10">
                  <c:v>POL Defects</c:v>
                </c:pt>
                <c:pt idx="11">
                  <c:v>Operation Miss</c:v>
                </c:pt>
                <c:pt idx="12">
                  <c:v>MGG Buldge</c:v>
                </c:pt>
                <c:pt idx="13">
                  <c:v>Ring Dust</c:v>
                </c:pt>
                <c:pt idx="14">
                  <c:v>MG Cloudy stain</c:v>
                </c:pt>
                <c:pt idx="15">
                  <c:v>PB Defect</c:v>
                </c:pt>
                <c:pt idx="16">
                  <c:v>Adhesive Thread/Dust</c:v>
                </c:pt>
                <c:pt idx="17">
                  <c:v>Ring Gap/ Come out</c:v>
                </c:pt>
                <c:pt idx="18">
                  <c:v>Ring Stain</c:v>
                </c:pt>
                <c:pt idx="19">
                  <c:v>Plating Peel off</c:v>
                </c:pt>
                <c:pt idx="20">
                  <c:v>PB Gap</c:v>
                </c:pt>
                <c:pt idx="21">
                  <c:v>PB Come out</c:v>
                </c:pt>
                <c:pt idx="22">
                  <c:v>BC Defect</c:v>
                </c:pt>
                <c:pt idx="23">
                  <c:v>Version Mix up</c:v>
                </c:pt>
                <c:pt idx="24">
                  <c:v>MG peel off</c:v>
                </c:pt>
                <c:pt idx="25">
                  <c:v>BC Butting Damage</c:v>
                </c:pt>
              </c:strCache>
            </c:strRef>
          </c:cat>
          <c:val>
            <c:numRef>
              <c:f>Report!$X$74:$X$99</c:f>
              <c:numCache>
                <c:formatCode>0%</c:formatCode>
                <c:ptCount val="26"/>
                <c:pt idx="0">
                  <c:v>0.46886320510608936</c:v>
                </c:pt>
                <c:pt idx="1">
                  <c:v>0.59599792996377432</c:v>
                </c:pt>
                <c:pt idx="2">
                  <c:v>0.70432982577195102</c:v>
                </c:pt>
                <c:pt idx="3">
                  <c:v>0.77264102121787137</c:v>
                </c:pt>
                <c:pt idx="4">
                  <c:v>0.83491461100569264</c:v>
                </c:pt>
                <c:pt idx="5">
                  <c:v>0.85975504571330008</c:v>
                </c:pt>
                <c:pt idx="6">
                  <c:v>0.88028290495083672</c:v>
                </c:pt>
                <c:pt idx="7">
                  <c:v>0.89856822494393662</c:v>
                </c:pt>
                <c:pt idx="8">
                  <c:v>0.91323098154217708</c:v>
                </c:pt>
                <c:pt idx="9">
                  <c:v>0.92599620493358648</c:v>
                </c:pt>
                <c:pt idx="10">
                  <c:v>0.9384164222873902</c:v>
                </c:pt>
                <c:pt idx="11">
                  <c:v>0.94911160945316564</c:v>
                </c:pt>
                <c:pt idx="12">
                  <c:v>0.95825426944971559</c:v>
                </c:pt>
                <c:pt idx="13">
                  <c:v>0.96739692944626554</c:v>
                </c:pt>
                <c:pt idx="14">
                  <c:v>0.97515956529239289</c:v>
                </c:pt>
                <c:pt idx="15">
                  <c:v>0.98188718302570321</c:v>
                </c:pt>
                <c:pt idx="16">
                  <c:v>0.98706227358978804</c:v>
                </c:pt>
                <c:pt idx="17">
                  <c:v>0.99033983094704181</c:v>
                </c:pt>
                <c:pt idx="18">
                  <c:v>0.99344488528549268</c:v>
                </c:pt>
                <c:pt idx="19">
                  <c:v>0.99637743660514078</c:v>
                </c:pt>
                <c:pt idx="20">
                  <c:v>0.99861997584957751</c:v>
                </c:pt>
                <c:pt idx="21">
                  <c:v>0.99913748490598597</c:v>
                </c:pt>
                <c:pt idx="22">
                  <c:v>0.99948249094359165</c:v>
                </c:pt>
                <c:pt idx="23">
                  <c:v>0.99982749698119733</c:v>
                </c:pt>
                <c:pt idx="24">
                  <c:v>1.0000000000000002</c:v>
                </c:pt>
                <c:pt idx="25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46-4144-9B08-47F39BDC7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930447"/>
        <c:axId val="662053471"/>
      </c:lineChart>
      <c:catAx>
        <c:axId val="123192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32479"/>
        <c:crosses val="autoZero"/>
        <c:auto val="1"/>
        <c:lblAlgn val="ctr"/>
        <c:lblOffset val="100"/>
        <c:noMultiLvlLbl val="0"/>
      </c:catAx>
      <c:valAx>
        <c:axId val="9888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921567"/>
        <c:crosses val="autoZero"/>
        <c:crossBetween val="between"/>
      </c:valAx>
      <c:valAx>
        <c:axId val="66205347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30447"/>
        <c:crosses val="max"/>
        <c:crossBetween val="between"/>
      </c:valAx>
      <c:catAx>
        <c:axId val="689930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2053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 Assembly Overall FTA% - 26-27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20603674540682"/>
          <c:y val="0.17171296296296296"/>
          <c:w val="0.86211485095842755"/>
          <c:h val="0.598550233304170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Report!$AO$4</c:f>
              <c:strCache>
                <c:ptCount val="1"/>
                <c:pt idx="0">
                  <c:v>FTA%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Report!$AJ$5:$AJ$17</c:f>
              <c:strCache>
                <c:ptCount val="13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  <c:pt idx="12">
                  <c:v>YTM</c:v>
                </c:pt>
              </c:strCache>
            </c:strRef>
          </c:cat>
          <c:val>
            <c:numRef>
              <c:f>Report!$AO$5:$AO$17</c:f>
              <c:numCache>
                <c:formatCode>0.0%</c:formatCode>
                <c:ptCount val="13"/>
                <c:pt idx="0">
                  <c:v>0.9563779605101187</c:v>
                </c:pt>
                <c:pt idx="12">
                  <c:v>0.9563779605101187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B9-4803-AEC8-2DFBE4893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3408416"/>
        <c:axId val="1742890336"/>
      </c:barChart>
      <c:catAx>
        <c:axId val="169340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890336"/>
        <c:crosses val="autoZero"/>
        <c:auto val="1"/>
        <c:lblAlgn val="ctr"/>
        <c:lblOffset val="100"/>
        <c:noMultiLvlLbl val="0"/>
      </c:catAx>
      <c:valAx>
        <c:axId val="174289033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4084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 Assembly Overall FTA% - 26-27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20603674540682"/>
          <c:y val="0.17171296296296296"/>
          <c:w val="0.86211485095842755"/>
          <c:h val="0.59855023330417023"/>
        </c:manualLayout>
      </c:layout>
      <c:lineChart>
        <c:grouping val="stacked"/>
        <c:varyColors val="0"/>
        <c:ser>
          <c:idx val="4"/>
          <c:order val="0"/>
          <c:tx>
            <c:strRef>
              <c:f>Report!$AO$4</c:f>
              <c:strCache>
                <c:ptCount val="1"/>
                <c:pt idx="0">
                  <c:v>FTA%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Report!$AJ$24:$AJ$37</c:f>
              <c:strCache>
                <c:ptCount val="14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G1</c:v>
                </c:pt>
                <c:pt idx="4">
                  <c:v>G2</c:v>
                </c:pt>
                <c:pt idx="5">
                  <c:v>G3</c:v>
                </c:pt>
                <c:pt idx="6">
                  <c:v>G4</c:v>
                </c:pt>
                <c:pt idx="7">
                  <c:v>G5</c:v>
                </c:pt>
                <c:pt idx="8">
                  <c:v>G6</c:v>
                </c:pt>
                <c:pt idx="9">
                  <c:v>G7</c:v>
                </c:pt>
                <c:pt idx="10">
                  <c:v>G8</c:v>
                </c:pt>
                <c:pt idx="11">
                  <c:v>PED</c:v>
                </c:pt>
                <c:pt idx="12">
                  <c:v>PED-AUTO</c:v>
                </c:pt>
                <c:pt idx="13">
                  <c:v>YTM</c:v>
                </c:pt>
              </c:strCache>
            </c:strRef>
          </c:cat>
          <c:val>
            <c:numRef>
              <c:f>Report!$AO$24:$AO$37</c:f>
              <c:numCache>
                <c:formatCode>0.0%</c:formatCode>
                <c:ptCount val="14"/>
                <c:pt idx="0">
                  <c:v>0.97563744324135526</c:v>
                </c:pt>
                <c:pt idx="1">
                  <c:v>0.86948429126151283</c:v>
                </c:pt>
                <c:pt idx="2">
                  <c:v>0.95364106645443691</c:v>
                </c:pt>
                <c:pt idx="3">
                  <c:v>0.97809308952742813</c:v>
                </c:pt>
                <c:pt idx="4">
                  <c:v>0.98319729245470833</c:v>
                </c:pt>
                <c:pt idx="5">
                  <c:v>0.94928293094444216</c:v>
                </c:pt>
                <c:pt idx="6">
                  <c:v>0.98448731042722526</c:v>
                </c:pt>
                <c:pt idx="7">
                  <c:v>0.93357144258884939</c:v>
                </c:pt>
                <c:pt idx="8">
                  <c:v>0.9758013579662087</c:v>
                </c:pt>
                <c:pt idx="9">
                  <c:v>0.94981215469613256</c:v>
                </c:pt>
                <c:pt idx="10">
                  <c:v>0.9364685348589159</c:v>
                </c:pt>
                <c:pt idx="11">
                  <c:v>0.95464256368118328</c:v>
                </c:pt>
                <c:pt idx="12">
                  <c:v>0.98718561728985366</c:v>
                </c:pt>
                <c:pt idx="13">
                  <c:v>0.9563779605101187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28-4E52-A4AF-42940216E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408416"/>
        <c:axId val="1742890336"/>
      </c:lineChart>
      <c:catAx>
        <c:axId val="169340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890336"/>
        <c:crosses val="autoZero"/>
        <c:auto val="1"/>
        <c:lblAlgn val="ctr"/>
        <c:lblOffset val="100"/>
        <c:noMultiLvlLbl val="0"/>
      </c:catAx>
      <c:valAx>
        <c:axId val="174289033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4084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'CA ASSLY MOM OUTPUT'!$H$4</c:f>
              <c:strCache>
                <c:ptCount val="1"/>
                <c:pt idx="0">
                  <c:v>FTA%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'CA ASSLY MOM OUTPUT'!$B$5:$C$18</c:f>
              <c:multiLvlStrCache>
                <c:ptCount val="14"/>
                <c:lvl>
                  <c:pt idx="0">
                    <c:v>A1</c:v>
                  </c:pt>
                  <c:pt idx="1">
                    <c:v>A2</c:v>
                  </c:pt>
                  <c:pt idx="2">
                    <c:v>A3</c:v>
                  </c:pt>
                  <c:pt idx="3">
                    <c:v>G1</c:v>
                  </c:pt>
                  <c:pt idx="4">
                    <c:v>G2</c:v>
                  </c:pt>
                  <c:pt idx="5">
                    <c:v>G3</c:v>
                  </c:pt>
                  <c:pt idx="6">
                    <c:v>G4</c:v>
                  </c:pt>
                  <c:pt idx="7">
                    <c:v>G5</c:v>
                  </c:pt>
                  <c:pt idx="8">
                    <c:v>G6</c:v>
                  </c:pt>
                  <c:pt idx="9">
                    <c:v>G7</c:v>
                  </c:pt>
                  <c:pt idx="10">
                    <c:v>G8</c:v>
                  </c:pt>
                  <c:pt idx="11">
                    <c:v>PED</c:v>
                  </c:pt>
                  <c:pt idx="12">
                    <c:v>PED-AUTO</c:v>
                  </c:pt>
                  <c:pt idx="13">
                    <c:v>Total</c:v>
                  </c:pt>
                </c:lvl>
                <c:lvl>
                  <c:pt idx="0">
                    <c:v>Apr-26</c:v>
                  </c:pt>
                </c:lvl>
              </c:multiLvlStrCache>
            </c:multiLvlStrRef>
          </c:cat>
          <c:val>
            <c:numRef>
              <c:f>'CA ASSLY MOM OUTPUT'!$H$5:$H$18</c:f>
              <c:numCache>
                <c:formatCode>0.0%</c:formatCode>
                <c:ptCount val="14"/>
                <c:pt idx="0">
                  <c:v>0.97563744324135526</c:v>
                </c:pt>
                <c:pt idx="1">
                  <c:v>0.86948429126151283</c:v>
                </c:pt>
                <c:pt idx="2">
                  <c:v>0.95364106645443691</c:v>
                </c:pt>
                <c:pt idx="3">
                  <c:v>0.97809308952742813</c:v>
                </c:pt>
                <c:pt idx="4">
                  <c:v>0.98319729245470833</c:v>
                </c:pt>
                <c:pt idx="5">
                  <c:v>0.94928293094444216</c:v>
                </c:pt>
                <c:pt idx="6">
                  <c:v>0.98448731042722526</c:v>
                </c:pt>
                <c:pt idx="7">
                  <c:v>0.93357144258884939</c:v>
                </c:pt>
                <c:pt idx="8">
                  <c:v>0.9758013579662087</c:v>
                </c:pt>
                <c:pt idx="9">
                  <c:v>0.94981215469613256</c:v>
                </c:pt>
                <c:pt idx="10">
                  <c:v>0.9364685348589159</c:v>
                </c:pt>
                <c:pt idx="11">
                  <c:v>0.95464256368118328</c:v>
                </c:pt>
                <c:pt idx="12">
                  <c:v>0.98718561728985366</c:v>
                </c:pt>
                <c:pt idx="13">
                  <c:v>0.9563779605101187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E3-42E9-ABFA-5DA050E8E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079343"/>
        <c:axId val="944106703"/>
      </c:barChart>
      <c:catAx>
        <c:axId val="94407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06703"/>
        <c:crosses val="autoZero"/>
        <c:auto val="1"/>
        <c:lblAlgn val="ctr"/>
        <c:lblOffset val="100"/>
        <c:noMultiLvlLbl val="0"/>
      </c:catAx>
      <c:valAx>
        <c:axId val="94410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07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107674</xdr:colOff>
      <xdr:row>4</xdr:row>
      <xdr:rowOff>149086</xdr:rowOff>
    </xdr:from>
    <xdr:to>
      <xdr:col>15</xdr:col>
      <xdr:colOff>107674</xdr:colOff>
      <xdr:row>78</xdr:row>
      <xdr:rowOff>124239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ACC69EB-3B38-47DD-9260-C9C59DA3B280}"/>
            </a:ext>
          </a:extLst>
        </xdr:cNvPr>
        <xdr:cNvSpPr/>
      </xdr:nvSpPr>
      <xdr:spPr>
        <a:xfrm>
          <a:off x="107674" y="919369"/>
          <a:ext cx="9193696" cy="14072153"/>
        </a:xfrm>
        <a:prstGeom prst="roundRect">
          <a:avLst>
            <a:gd name="adj" fmla="val 12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222802</xdr:colOff>
      <xdr:row>22</xdr:row>
      <xdr:rowOff>8297</xdr:rowOff>
    </xdr:from>
    <xdr:to>
      <xdr:col>7</xdr:col>
      <xdr:colOff>157370</xdr:colOff>
      <xdr:row>35</xdr:row>
      <xdr:rowOff>8297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AF55E3-6B17-4D92-82DF-781176B11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298174</xdr:colOff>
      <xdr:row>21</xdr:row>
      <xdr:rowOff>188236</xdr:rowOff>
    </xdr:from>
    <xdr:to>
      <xdr:col>14</xdr:col>
      <xdr:colOff>596347</xdr:colOff>
      <xdr:row>35</xdr:row>
      <xdr:rowOff>24861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1D32CD-554D-4DAA-BD0B-FAF9E3F91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225700</xdr:colOff>
      <xdr:row>35</xdr:row>
      <xdr:rowOff>107687</xdr:rowOff>
    </xdr:from>
    <xdr:to>
      <xdr:col>7</xdr:col>
      <xdr:colOff>149088</xdr:colOff>
      <xdr:row>48</xdr:row>
      <xdr:rowOff>157382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4BFFD8-56B7-4A39-AF14-14F82C6B9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306456</xdr:colOff>
      <xdr:row>35</xdr:row>
      <xdr:rowOff>127775</xdr:rowOff>
    </xdr:from>
    <xdr:to>
      <xdr:col>14</xdr:col>
      <xdr:colOff>596347</xdr:colOff>
      <xdr:row>48</xdr:row>
      <xdr:rowOff>149101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4227EF-F2E5-4C16-8CE3-8EDA2D3F5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218452</xdr:colOff>
      <xdr:row>49</xdr:row>
      <xdr:rowOff>92365</xdr:rowOff>
    </xdr:from>
    <xdr:to>
      <xdr:col>14</xdr:col>
      <xdr:colOff>588065</xdr:colOff>
      <xdr:row>63</xdr:row>
      <xdr:rowOff>66275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604B94-669B-4087-947D-CF8F71F9E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215348</xdr:colOff>
      <xdr:row>64</xdr:row>
      <xdr:rowOff>22585</xdr:rowOff>
    </xdr:from>
    <xdr:to>
      <xdr:col>14</xdr:col>
      <xdr:colOff>596347</xdr:colOff>
      <xdr:row>78</xdr:row>
      <xdr:rowOff>41426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B947F68-E8A5-4B20-AC89-3A6FC3305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256761</xdr:colOff>
      <xdr:row>5</xdr:row>
      <xdr:rowOff>49706</xdr:rowOff>
    </xdr:from>
    <xdr:to>
      <xdr:col>14</xdr:col>
      <xdr:colOff>596347</xdr:colOff>
      <xdr:row>6</xdr:row>
      <xdr:rowOff>149097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2CFC725-D8CD-4215-9A04-9D12102FD93B}"/>
            </a:ext>
          </a:extLst>
        </xdr:cNvPr>
        <xdr:cNvSpPr txBox="1"/>
      </xdr:nvSpPr>
      <xdr:spPr>
        <a:xfrm>
          <a:off x="256761" y="1010489"/>
          <a:ext cx="8920369" cy="2898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900" b="1"/>
            <a:t>CASE ASSEMBLY HIGH END &amp; LOW END FTA REPORT</a:t>
          </a:r>
          <a:r>
            <a:rPr lang="en-IN" sz="1900" b="1" baseline="0"/>
            <a:t>  April'2026</a:t>
          </a:r>
          <a:endParaRPr lang="en-IN" sz="1900" b="1"/>
        </a:p>
      </xdr:txBody>
    </xdr:sp>
    <xdr:clientData/>
  </xdr:twoCellAnchor>
  <xdr:twoCellAnchor>
    <xdr:from>
      <xdr:col>0</xdr:col>
      <xdr:colOff>215347</xdr:colOff>
      <xdr:row>7</xdr:row>
      <xdr:rowOff>165652</xdr:rowOff>
    </xdr:from>
    <xdr:to>
      <xdr:col>7</xdr:col>
      <xdr:colOff>165652</xdr:colOff>
      <xdr:row>21</xdr:row>
      <xdr:rowOff>87796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061EFF-678A-469F-8F78-5F67010FB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306456</xdr:colOff>
      <xdr:row>7</xdr:row>
      <xdr:rowOff>157368</xdr:rowOff>
    </xdr:from>
    <xdr:to>
      <xdr:col>14</xdr:col>
      <xdr:colOff>579781</xdr:colOff>
      <xdr:row>21</xdr:row>
      <xdr:rowOff>79512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F0C774B-5FA8-4007-913E-A9EE03BEA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447675</xdr:colOff>
      <xdr:row>1</xdr:row>
      <xdr:rowOff>185737</xdr:rowOff>
    </xdr:from>
    <xdr:to>
      <xdr:col>17</xdr:col>
      <xdr:colOff>142875</xdr:colOff>
      <xdr:row>17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B6F8D7-F1EF-00F6-A996-FA47CFEAF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59ADFD-17D4-41E9-B0B7-9A55674BF8D2}" name="LOWEND" displayName="LOWEND" ref="A1:AT1749" totalsRowShown="0" headerRowDxfId="102" dataDxfId="100" headerRowBorderDxfId="101" tableBorderDxfId="99" totalsRowBorderDxfId="98">
  <autoFilter ref="A1:AT1749" xr:uid="{DE59ADFD-17D4-41E9-B0B7-9A55674BF8D2}"/>
  <tableColumns count="46">
    <tableColumn id="1" xr3:uid="{D5560905-BE9C-4F36-A69B-DF05C537A4BF}" name="Date" dataDxfId="97"/>
    <tableColumn id="2" xr3:uid="{329D73EE-4C8E-417D-B76A-E15651E26E25}" name="Month" dataDxfId="96">
      <calculatedColumnFormula>EOMONTH(A2,-1)+1</calculatedColumnFormula>
    </tableColumn>
    <tableColumn id="3" xr3:uid="{02597A7E-3F67-471D-AD61-6BCB248DF2A5}" name="LE Group" dataDxfId="95"/>
    <tableColumn id="4" xr3:uid="{BE620918-EA4F-4C06-AFBB-8E9F0DE50C31}" name="LE Model No" dataDxfId="94"/>
    <tableColumn id="5" xr3:uid="{38D0958C-9A20-4408-AB6E-9D1D7790F46B}" name="Model" dataDxfId="93"/>
    <tableColumn id="6" xr3:uid="{12273E1D-7CD1-41B8-B29E-BED9D9BC8552}" name="Lot Qty" dataDxfId="92"/>
    <tableColumn id="7" xr3:uid="{0CE63FA3-F581-4AB3-B07E-808A5C8BFEDA}" name="Sample Qty" dataDxfId="91"/>
    <tableColumn id="8" xr3:uid="{504D6851-6B4C-4557-B3B9-94BD3BFF2C50}" name="Accept" dataDxfId="90"/>
    <tableColumn id="9" xr3:uid="{A79140D0-E88E-4A03-9BA1-A631F07FFDCD}" name="Reject" dataDxfId="89">
      <calculatedColumnFormula>F2-H2</calculatedColumnFormula>
    </tableColumn>
    <tableColumn id="10" xr3:uid="{72F9B35B-902B-4162-81F3-DAEACB2D6DAA}" name="Verdict" dataDxfId="88"/>
    <tableColumn id="11" xr3:uid="{F1020A61-4A68-43D5-AFE0-56F55A190131}" name="Sampling/100%" dataDxfId="87"/>
    <tableColumn id="12" xr3:uid="{DC047BF4-308D-4631-A28F-C4026CF4E1A3}" name="CC Scratch/Dent" dataDxfId="86"/>
    <tableColumn id="13" xr3:uid="{D7615CCA-8863-43B1-AB8B-79BCA63DF546}" name="Adhesive gap/Bubbles" dataDxfId="85"/>
    <tableColumn id="14" xr3:uid="{8BEFD63E-9F81-4DD6-872B-F8728EFFC2BF}" name="Adhesive Overflow" dataDxfId="84"/>
    <tableColumn id="15" xr3:uid="{0D0DE2D0-ACFC-4CDF-AE79-43CC93C9F7BD}" name="Adhesive Thread/Dust" dataDxfId="83"/>
    <tableColumn id="16" xr3:uid="{C24AC41F-3BA0-419A-ACEE-0F12C7157D72}" name="Handling Stain" dataDxfId="82"/>
    <tableColumn id="17" xr3:uid="{7CB205A8-936E-4ABC-A76D-2E27B1624845}" name="MG Cloudy stain" dataDxfId="81"/>
    <tableColumn id="18" xr3:uid="{9D3B077E-30B7-4D1E-92E1-AE66206453C4}" name="MG Inclination" dataDxfId="80"/>
    <tableColumn id="19" xr3:uid="{6673C09B-27A3-46B6-B998-3364B43BAD7A}" name="MG peel off" dataDxfId="79"/>
    <tableColumn id="20" xr3:uid="{D526C930-DE75-4548-B4CA-11C5A599662A}" name="MG Projection" dataDxfId="78"/>
    <tableColumn id="21" xr3:uid="{9FA73865-8CA4-4268-B302-88D46AEE21A9}" name="MG Scratch/Dent" dataDxfId="77"/>
    <tableColumn id="22" xr3:uid="{B08AC5A1-2AEB-4211-9A64-F38163C247C3}" name="MGG Buldge" dataDxfId="76"/>
    <tableColumn id="23" xr3:uid="{EC182B8C-E88D-4522-A7A2-27F7CBC07951}" name="Ring Dust" dataDxfId="75"/>
    <tableColumn id="24" xr3:uid="{3A4D3287-F6C1-4E54-B48A-0F9476039646}" name="Ring Gap/ Come out" dataDxfId="74"/>
    <tableColumn id="25" xr3:uid="{4659D88F-350F-42AF-9601-772F8F8D22E5}" name="Ring Stain" dataDxfId="73"/>
    <tableColumn id="26" xr3:uid="{5A02CBFA-29E9-42D8-89D6-97E1419B65E9}" name="PB Come out" dataDxfId="72"/>
    <tableColumn id="27" xr3:uid="{7831A584-C8C8-44D2-B117-78FA6DD09B8F}" name="PB Defect" dataDxfId="71"/>
    <tableColumn id="28" xr3:uid="{1E8D0C44-8D27-4711-9ED3-C58FCAA07539}" name="PB Gap" dataDxfId="70"/>
    <tableColumn id="29" xr3:uid="{9A592450-DB06-4571-BA3D-5DB7B46121E8}" name="Operation Miss" dataDxfId="69"/>
    <tableColumn id="30" xr3:uid="{D0DACA3D-2ECB-41EC-8B48-57DE8DC143F8}" name="CP Defect" dataDxfId="68"/>
    <tableColumn id="31" xr3:uid="{8B0C2689-387C-41B8-BF09-A50C7A7929E0}" name="Plating Defects" dataDxfId="67"/>
    <tableColumn id="32" xr3:uid="{4692280A-F87F-43EE-80C7-8AA0783E93F3}" name="Plating Peel off" dataDxfId="66"/>
    <tableColumn id="33" xr3:uid="{F0BB4DEF-3424-4C6D-9C23-06C76E00AB42}" name="POL Defects" dataDxfId="65"/>
    <tableColumn id="34" xr3:uid="{0E5EB9E0-A6A8-4FCE-8CC8-09BB083843A8}" name="Version Mix up" dataDxfId="64"/>
    <tableColumn id="35" xr3:uid="{FDEBBE25-F2D4-49CD-AADE-83F753E41E2B}" name="BC Butting Damage" dataDxfId="63"/>
    <tableColumn id="36" xr3:uid="{6605D6A2-B331-4996-B013-B3E8827A3E16}" name="BC Defect" dataDxfId="62"/>
    <tableColumn id="37" xr3:uid="{D5656EDB-8291-4320-8B2C-DE8416A74BB2}" name="Others" dataDxfId="61"/>
    <tableColumn id="38" xr3:uid="{961E24A6-72AE-4E0C-98C8-05CDDC5E7325}" name="Other Reason" dataDxfId="60"/>
    <tableColumn id="39" xr3:uid="{875BE230-A253-40F9-AE4E-CC81D0224F29}" name="Inspected by" dataDxfId="59"/>
    <tableColumn id="40" xr3:uid="{5294F087-8ADA-483F-9C7D-B603BD65B68B}" name="CCV" dataDxfId="58">
      <calculatedColumnFormula>+L2+AI2</calculatedColumnFormula>
    </tableColumn>
    <tableColumn id="41" xr3:uid="{B93E7313-56DB-4108-BDBC-926E1BB29E99}" name="MGV" dataDxfId="57">
      <calculatedColumnFormula>+M2+N2+O2+P2+Q2+R2+S2+T2+U2+V2</calculatedColumnFormula>
    </tableColumn>
    <tableColumn id="42" xr3:uid="{F49C24E9-DB3F-4D85-BA3A-9BFA6A5F661B}" name="PLG" dataDxfId="56">
      <calculatedColumnFormula>+AE2+AF2</calculatedColumnFormula>
    </tableColumn>
    <tableColumn id="43" xr3:uid="{BA60DAC4-B8D4-4FB1-A1BD-7FE70215C831}" name="OTH" dataDxfId="55">
      <calculatedColumnFormula>+AK2+AD2+AC2+AJ2</calculatedColumnFormula>
    </tableColumn>
    <tableColumn id="44" xr3:uid="{8DBDEC23-86F2-4556-BEB7-F3C5B11276EA}" name="ADDON" dataDxfId="54">
      <calculatedColumnFormula>+W2+X2+Y2+Z2+AA2+AB2</calculatedColumnFormula>
    </tableColumn>
    <tableColumn id="45" xr3:uid="{E1A2C9CD-F307-46FF-9BDE-0F1FFEBDB025}" name="OD" dataDxfId="53">
      <calculatedColumnFormula>+AG2</calculatedColumnFormula>
    </tableColumn>
    <tableColumn id="46" xr3:uid="{419982EE-66A4-4761-88CB-B2643C078AB6}" name="MIXUP" dataDxfId="52">
      <calculatedColumnFormula>+AH2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995B9C-B135-40A1-96EB-23D49EE631D2}" name="HIGHEND" displayName="HIGHEND" ref="A1:AQ1074" totalsRowShown="0" headerRowDxfId="51" dataDxfId="49" headerRowBorderDxfId="50" tableBorderDxfId="48" totalsRowBorderDxfId="47">
  <autoFilter ref="A1:AQ1074" xr:uid="{1A995B9C-B135-40A1-96EB-23D49EE631D2}"/>
  <tableColumns count="43">
    <tableColumn id="1" xr3:uid="{A67498D7-D4B3-4D3A-A3E7-8208931B0B5F}" name="Date" dataDxfId="46"/>
    <tableColumn id="2" xr3:uid="{4E503F31-405F-42A6-BD30-BEBCF274116F}" name="Month" dataDxfId="45">
      <calculatedColumnFormula>EOMONTH(A2,-1)+1</calculatedColumnFormula>
    </tableColumn>
    <tableColumn id="3" xr3:uid="{66E76E47-BDE0-459D-AE77-C7A759DFD8C9}" name="HE Group" dataDxfId="44"/>
    <tableColumn id="4" xr3:uid="{9A333D13-6453-4EAC-8D75-C3E3A466DD22}" name="HIGH END Model No" dataDxfId="43"/>
    <tableColumn id="5" xr3:uid="{63693A02-CE5E-4D52-85C3-B8D772328D25}" name="Model" dataDxfId="42"/>
    <tableColumn id="6" xr3:uid="{886D5947-EC77-41C3-9DB7-BE083C2539F2}" name="Lot Qty" dataDxfId="41"/>
    <tableColumn id="7" xr3:uid="{6CDA1E18-8D86-4F48-91F2-7FB267ECC3FF}" name="Accept" dataDxfId="40"/>
    <tableColumn id="8" xr3:uid="{D2F3B55E-EFE4-45B0-BCDA-28166575DDAA}" name="Reject" dataDxfId="39">
      <calculatedColumnFormula>F2-G2</calculatedColumnFormula>
    </tableColumn>
    <tableColumn id="9" xr3:uid="{A4C54BC5-1F6A-4647-858F-D3E05A9A9C21}" name="CC Scratch/Dent" dataDxfId="38"/>
    <tableColumn id="10" xr3:uid="{7F25614C-F4DD-4E52-B090-18A4F6C3F819}" name="Adhesive gap/Bubbles" dataDxfId="37"/>
    <tableColumn id="11" xr3:uid="{B9B9E5E9-7770-4D2C-ACBF-B59968DBF9A0}" name="Adhesive Overflow" dataDxfId="36"/>
    <tableColumn id="12" xr3:uid="{7AC1C760-C154-457D-AB81-EA291582FDB1}" name="Adhesive Thread/Dust" dataDxfId="35"/>
    <tableColumn id="13" xr3:uid="{5178F621-8898-4472-8F2E-20A425B4ECB0}" name="Handling Stain" dataDxfId="34"/>
    <tableColumn id="14" xr3:uid="{D1FA9F7E-FCD9-42F3-B53E-9BCB9081C0D4}" name="MG Cloudy stain" dataDxfId="33"/>
    <tableColumn id="15" xr3:uid="{81011097-3367-473C-9EB7-7DC727CD73FE}" name="MG Inclination" dataDxfId="32"/>
    <tableColumn id="16" xr3:uid="{B21025D7-BB8F-42A3-988D-7B65EB717A35}" name="MG peel off" dataDxfId="31"/>
    <tableColumn id="17" xr3:uid="{6B789893-5D8A-4FFC-876A-B82D4FC9903F}" name="MG Projection" dataDxfId="30"/>
    <tableColumn id="18" xr3:uid="{38B3BC45-6785-4348-B1B5-22CF1C08DBC2}" name="MG Scratch/Dent" dataDxfId="29"/>
    <tableColumn id="19" xr3:uid="{D8954D87-A436-4E90-A8C3-23DAB80697AC}" name="MGG Buldge" dataDxfId="28"/>
    <tableColumn id="20" xr3:uid="{F52BE41C-5FAF-4C3B-ACFC-3A361C6AC68A}" name="Ring Dust" dataDxfId="27"/>
    <tableColumn id="21" xr3:uid="{C451724F-AC51-4AC3-81B0-2BADDBD85587}" name="Ring Gap/ Come out" dataDxfId="26"/>
    <tableColumn id="22" xr3:uid="{AFA8C38F-C8CB-495D-911C-3EE356B6A4EC}" name="Ring Stain" dataDxfId="25"/>
    <tableColumn id="23" xr3:uid="{F2F8E37E-C3AB-472C-9294-E222AB241134}" name="PB Come out" dataDxfId="24"/>
    <tableColumn id="24" xr3:uid="{B089FCD8-EB90-435A-9DEA-95690E5369B9}" name="PB Defect" dataDxfId="23"/>
    <tableColumn id="25" xr3:uid="{5C0487BE-01CD-452B-B453-E18668543806}" name="PB Gap" dataDxfId="22"/>
    <tableColumn id="26" xr3:uid="{05420386-5C37-4233-AC9D-AF06B753905C}" name="Operation Miss" dataDxfId="21"/>
    <tableColumn id="27" xr3:uid="{58A0B536-E06A-4572-B0F4-FDAFEA3A2C3C}" name="CP Defect" dataDxfId="20"/>
    <tableColumn id="28" xr3:uid="{5E98C511-DCFE-4299-B0DC-9ADEE84A3216}" name="Plating Defects" dataDxfId="19"/>
    <tableColumn id="29" xr3:uid="{0AD141CA-724F-47DE-94AC-D4A65E3C91A0}" name="Plating Peel off" dataDxfId="18"/>
    <tableColumn id="30" xr3:uid="{54C207C8-96B6-468B-8712-6ACA6984957A}" name="POL Defects" dataDxfId="17"/>
    <tableColumn id="31" xr3:uid="{D82470A6-4DF8-4DFD-8C29-B0E896D4E302}" name="Version Mix up" dataDxfId="16"/>
    <tableColumn id="32" xr3:uid="{E6602E15-D89F-4325-B055-61B2CCBBBB8B}" name="BC Butting Damage" dataDxfId="15"/>
    <tableColumn id="33" xr3:uid="{000ED82B-832A-4AFE-BEB9-F25AC3F21EC1}" name="BC Defect" dataDxfId="14"/>
    <tableColumn id="34" xr3:uid="{9ABA724D-1AFE-47F0-BD02-4963FF08800C}" name="Others" dataDxfId="13"/>
    <tableColumn id="35" xr3:uid="{92B40562-CF9A-4A04-9319-7AB129730858}" name="Others Reason" dataDxfId="12"/>
    <tableColumn id="36" xr3:uid="{6A3A736E-6925-47BA-97B8-17F7FB8DD987}" name="Audit BY" dataDxfId="11"/>
    <tableColumn id="37" xr3:uid="{7986F464-A20F-475F-B83C-B31CB2D54A56}" name="CCV" dataDxfId="10">
      <calculatedColumnFormula>+I2+AF2</calculatedColumnFormula>
    </tableColumn>
    <tableColumn id="38" xr3:uid="{65429B60-957D-40EA-B428-AC36217309B7}" name="MGV" dataDxfId="9">
      <calculatedColumnFormula>+J2+K2+O2+N2+P2+R2+S2+Q2+M2+L2</calculatedColumnFormula>
    </tableColumn>
    <tableColumn id="39" xr3:uid="{A28F6B03-6D55-45A8-8FB4-333AB01DCAA5}" name="PLG" dataDxfId="8">
      <calculatedColumnFormula>+AB2+AC2</calculatedColumnFormula>
    </tableColumn>
    <tableColumn id="40" xr3:uid="{F911F3B5-FD7B-4220-8B2B-29C7302E0C83}" name="OTH" dataDxfId="7">
      <calculatedColumnFormula>+AH2+AG2+AA2+Z2</calculatedColumnFormula>
    </tableColumn>
    <tableColumn id="41" xr3:uid="{2779FA7D-400D-45A1-B7DB-8C6933587718}" name="ADDON" dataDxfId="6">
      <calculatedColumnFormula>+X2+W2+V2+U2+T2+Y2</calculatedColumnFormula>
    </tableColumn>
    <tableColumn id="42" xr3:uid="{BBE51212-086D-4DEF-A391-9628E7EFACC4}" name="OD" dataDxfId="5">
      <calculatedColumnFormula>+AD2</calculatedColumnFormula>
    </tableColumn>
    <tableColumn id="43" xr3:uid="{6C09348B-9049-4596-A4CA-9B1EECB843C4}" name="MIXUP" dataDxfId="4">
      <calculatedColumnFormula>+AE2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CCB23B-698E-44AE-8F3C-9D42345BDE6F}" name="OUTPUT" displayName="OUTPUT" ref="A1:F3209" totalsRowShown="0" headerRowDxfId="3" tableBorderDxfId="2">
  <autoFilter ref="A1:F3209" xr:uid="{86CCB23B-698E-44AE-8F3C-9D42345BDE6F}"/>
  <tableColumns count="6">
    <tableColumn id="1" xr3:uid="{20143765-4BC6-4D1A-AC0F-7CB58A8C13DD}" name="Order no"/>
    <tableColumn id="2" xr3:uid="{F8F0F579-5FC5-4825-8568-492850944B97}" name="MODEL"/>
    <tableColumn id="3" xr3:uid="{1870BCEF-6AB3-4C24-9AA7-278F4CD761D5}" name="ACC"/>
    <tableColumn id="4" xr3:uid="{86E5E674-8B19-4815-AF78-A88242CF16BA}" name="ACT GR"/>
    <tableColumn id="5" xr3:uid="{DC4C5F53-C018-43C1-A88A-44686A9E3015}" name="Date" dataDxfId="1"/>
    <tableColumn id="6" xr3:uid="{7BD90652-0537-4B88-96A2-06AE0B4D4C26}" name="MONTH" dataDxfId="0">
      <calculatedColumnFormula>EOMONTH(E2,-1)+1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B7B6-C383-414E-AE3B-A7B13F204117}">
  <dimension ref="T3:AO100"/>
  <sheetViews>
    <sheetView tabSelected="1" topLeftCell="A43" zoomScale="110" zoomScaleNormal="110" workbookViewId="0">
      <selection activeCell="P54" sqref="P54"/>
    </sheetView>
  </sheetViews>
  <sheetFormatPr defaultRowHeight="15"/>
  <cols>
    <col min="20" max="20" width="21.140625" bestFit="1" customWidth="1"/>
    <col min="21" max="21" width="9" customWidth="1"/>
    <col min="22" max="22" width="11.5703125" bestFit="1" customWidth="1"/>
    <col min="23" max="23" width="14.42578125" bestFit="1" customWidth="1"/>
    <col min="24" max="24" width="12.7109375" bestFit="1" customWidth="1"/>
    <col min="25" max="26" width="7.85546875" bestFit="1" customWidth="1"/>
    <col min="27" max="27" width="21.140625" bestFit="1" customWidth="1"/>
    <col min="28" max="28" width="7.7109375" bestFit="1" customWidth="1"/>
    <col min="29" max="29" width="6.5703125" bestFit="1" customWidth="1"/>
    <col min="30" max="31" width="9" bestFit="1" customWidth="1"/>
    <col min="32" max="32" width="7.7109375" bestFit="1" customWidth="1"/>
    <col min="33" max="33" width="7.5703125" bestFit="1" customWidth="1"/>
    <col min="34" max="34" width="22.42578125" bestFit="1" customWidth="1"/>
  </cols>
  <sheetData>
    <row r="3" spans="20:41" ht="15.75" customHeight="1">
      <c r="T3" s="54" t="s">
        <v>585</v>
      </c>
      <c r="U3" s="54"/>
      <c r="V3" s="54"/>
      <c r="W3" s="54"/>
      <c r="X3" s="54"/>
      <c r="Y3" s="54"/>
      <c r="Z3" s="54"/>
      <c r="AA3" s="54"/>
      <c r="AB3" s="54"/>
      <c r="AC3" s="54"/>
      <c r="AD3" s="54" t="s">
        <v>592</v>
      </c>
      <c r="AE3" s="54"/>
      <c r="AF3" s="54"/>
      <c r="AG3" s="54"/>
      <c r="AJ3" s="52" t="s">
        <v>1181</v>
      </c>
      <c r="AK3" s="52"/>
      <c r="AL3" s="52"/>
      <c r="AM3" s="52"/>
      <c r="AN3" s="52"/>
      <c r="AO3" s="52"/>
    </row>
    <row r="4" spans="20:41">
      <c r="T4" s="4" t="s">
        <v>586</v>
      </c>
      <c r="U4" s="53" t="s">
        <v>590</v>
      </c>
      <c r="V4" s="53"/>
      <c r="W4" s="53"/>
      <c r="X4" s="53"/>
      <c r="Y4" s="53" t="s">
        <v>591</v>
      </c>
      <c r="Z4" s="53"/>
      <c r="AA4" s="53"/>
      <c r="AB4" s="53"/>
      <c r="AC4" s="55" t="s">
        <v>594</v>
      </c>
      <c r="AD4" s="53" t="s">
        <v>593</v>
      </c>
      <c r="AE4" s="53"/>
      <c r="AF4" s="53"/>
      <c r="AG4" s="53"/>
      <c r="AJ4" s="15" t="s">
        <v>1</v>
      </c>
      <c r="AK4" s="15" t="s">
        <v>1177</v>
      </c>
      <c r="AL4" s="15" t="s">
        <v>1178</v>
      </c>
      <c r="AM4" s="15" t="s">
        <v>1179</v>
      </c>
      <c r="AN4" s="15" t="s">
        <v>1180</v>
      </c>
      <c r="AO4" s="15" t="s">
        <v>589</v>
      </c>
    </row>
    <row r="5" spans="20:41">
      <c r="T5" s="5" t="s">
        <v>1</v>
      </c>
      <c r="U5" s="5" t="s">
        <v>5</v>
      </c>
      <c r="V5" s="5" t="s">
        <v>587</v>
      </c>
      <c r="W5" s="5" t="s">
        <v>588</v>
      </c>
      <c r="X5" s="5" t="s">
        <v>589</v>
      </c>
      <c r="Y5" s="5" t="s">
        <v>5</v>
      </c>
      <c r="Z5" s="5" t="s">
        <v>587</v>
      </c>
      <c r="AA5" s="5" t="s">
        <v>588</v>
      </c>
      <c r="AB5" s="5" t="s">
        <v>589</v>
      </c>
      <c r="AC5" s="56"/>
      <c r="AD5" s="6" t="s">
        <v>5</v>
      </c>
      <c r="AE5" s="6" t="s">
        <v>587</v>
      </c>
      <c r="AF5" s="6" t="s">
        <v>588</v>
      </c>
      <c r="AG5" s="6" t="s">
        <v>589</v>
      </c>
      <c r="AJ5" s="8">
        <v>46113</v>
      </c>
      <c r="AK5" s="2">
        <f>'CA ASSLY OUTPUT'!O16</f>
        <v>485577</v>
      </c>
      <c r="AL5" s="2">
        <f t="shared" ref="AL5" si="0">AF6</f>
        <v>13328</v>
      </c>
      <c r="AM5" s="2">
        <f t="shared" ref="AM5" si="1">W6+AA6</f>
        <v>8820</v>
      </c>
      <c r="AN5" s="2">
        <f t="shared" ref="AN5" si="2">+AL5+AM5</f>
        <v>22148</v>
      </c>
      <c r="AO5" s="10">
        <f t="shared" ref="AO5" si="3">+AK5/(AK5+AN5)</f>
        <v>0.9563779605101187</v>
      </c>
    </row>
    <row r="6" spans="20:41">
      <c r="T6" s="8">
        <v>46113</v>
      </c>
      <c r="U6" s="2">
        <f>SUMIFS(HIGHEND[Lot Qty],HIGHEND[Month],$T6)</f>
        <v>184464</v>
      </c>
      <c r="V6" s="2">
        <f>SUMIFS(HIGHEND[Accept],HIGHEND[Month],$T6)</f>
        <v>178667</v>
      </c>
      <c r="W6" s="2">
        <f>SUMIFS(HIGHEND[Reject],HIGHEND[Month],$T6)</f>
        <v>5797</v>
      </c>
      <c r="X6" s="9">
        <f t="shared" ref="X6" si="4">+V6/U6</f>
        <v>0.96857381386069907</v>
      </c>
      <c r="Y6" s="2">
        <f>SUMIFS(LOWEND[Lot Qty],LOWEND[Sampling/100%],"100",LOWEND[Month],$T6)</f>
        <v>63064</v>
      </c>
      <c r="Z6" s="2">
        <f>SUMIFS(LOWEND[Accept],LOWEND[Sampling/100%],"100",LOWEND[Month],$T6)</f>
        <v>60041</v>
      </c>
      <c r="AA6" s="2">
        <f>SUMIFS(LOWEND[Reject],LOWEND[Sampling/100%],"100",LOWEND[Month],$T6)</f>
        <v>3023</v>
      </c>
      <c r="AB6" s="9">
        <f t="shared" ref="AB6" si="5">+Z6/Y6</f>
        <v>0.9520645693263986</v>
      </c>
      <c r="AC6" s="9">
        <f t="shared" ref="AC6" si="6">+(Z6+V6)/(Y6+U6)</f>
        <v>0.9643676674962024</v>
      </c>
      <c r="AD6" s="2">
        <f>SUMIFS(LOWEND[Lot Qty],LOWEND[Sampling/100%],"SAMPLING",LOWEND[Month],$T6)</f>
        <v>253499</v>
      </c>
      <c r="AE6" s="2">
        <f>SUMIFS(LOWEND[Lot Qty],LOWEND[Sampling/100%],"SAMPLING",LOWEND[Verdict],"ACC",LOWEND[Month],$T6)</f>
        <v>240171</v>
      </c>
      <c r="AF6" s="2">
        <f>SUMIFS(LOWEND[Lot Qty],LOWEND[Sampling/100%],"SAMPLING",LOWEND[Verdict],"REJ",LOWEND[Month],$T6)</f>
        <v>13328</v>
      </c>
      <c r="AG6" s="7">
        <f t="shared" ref="AG6" si="7">+AE6/AD6</f>
        <v>0.94742385571540721</v>
      </c>
      <c r="AJ6" s="8">
        <v>46143</v>
      </c>
      <c r="AK6" s="2"/>
      <c r="AL6" s="2"/>
      <c r="AM6" s="2"/>
      <c r="AN6" s="2"/>
      <c r="AO6" s="10"/>
    </row>
    <row r="7" spans="20:41">
      <c r="T7" s="8">
        <v>46143</v>
      </c>
      <c r="U7" s="2"/>
      <c r="V7" s="2"/>
      <c r="W7" s="2"/>
      <c r="X7" s="9"/>
      <c r="Y7" s="2"/>
      <c r="Z7" s="2"/>
      <c r="AA7" s="2"/>
      <c r="AB7" s="9"/>
      <c r="AC7" s="9"/>
      <c r="AD7" s="2"/>
      <c r="AE7" s="2"/>
      <c r="AF7" s="2"/>
      <c r="AG7" s="7"/>
      <c r="AJ7" s="8">
        <v>46174</v>
      </c>
      <c r="AK7" s="2"/>
      <c r="AL7" s="2"/>
      <c r="AM7" s="2"/>
      <c r="AN7" s="2"/>
      <c r="AO7" s="10"/>
    </row>
    <row r="8" spans="20:41">
      <c r="T8" s="8">
        <v>46174</v>
      </c>
      <c r="U8" s="2"/>
      <c r="V8" s="2"/>
      <c r="W8" s="2"/>
      <c r="X8" s="9"/>
      <c r="Y8" s="2"/>
      <c r="Z8" s="2"/>
      <c r="AA8" s="2"/>
      <c r="AB8" s="9"/>
      <c r="AC8" s="9"/>
      <c r="AD8" s="2"/>
      <c r="AE8" s="2"/>
      <c r="AF8" s="2"/>
      <c r="AG8" s="7"/>
      <c r="AH8" s="40"/>
      <c r="AJ8" s="8">
        <v>46204</v>
      </c>
      <c r="AK8" s="2"/>
      <c r="AL8" s="2"/>
      <c r="AM8" s="2"/>
      <c r="AN8" s="2"/>
      <c r="AO8" s="10"/>
    </row>
    <row r="9" spans="20:41">
      <c r="T9" s="8">
        <v>46204</v>
      </c>
      <c r="U9" s="2"/>
      <c r="V9" s="2"/>
      <c r="W9" s="2"/>
      <c r="X9" s="9"/>
      <c r="Y9" s="2"/>
      <c r="Z9" s="2"/>
      <c r="AA9" s="2"/>
      <c r="AB9" s="9"/>
      <c r="AC9" s="9"/>
      <c r="AD9" s="2"/>
      <c r="AE9" s="2"/>
      <c r="AF9" s="2"/>
      <c r="AG9" s="7"/>
      <c r="AJ9" s="8">
        <v>46235</v>
      </c>
      <c r="AK9" s="2"/>
      <c r="AL9" s="2"/>
      <c r="AM9" s="2"/>
      <c r="AN9" s="2"/>
      <c r="AO9" s="10"/>
    </row>
    <row r="10" spans="20:41">
      <c r="T10" s="8">
        <v>46235</v>
      </c>
      <c r="U10" s="2"/>
      <c r="V10" s="2"/>
      <c r="W10" s="2"/>
      <c r="X10" s="9"/>
      <c r="Y10" s="2"/>
      <c r="Z10" s="2"/>
      <c r="AA10" s="2"/>
      <c r="AB10" s="9"/>
      <c r="AC10" s="9"/>
      <c r="AD10" s="2"/>
      <c r="AE10" s="2"/>
      <c r="AF10" s="2"/>
      <c r="AG10" s="7"/>
      <c r="AJ10" s="8">
        <v>46266</v>
      </c>
      <c r="AK10" s="2"/>
      <c r="AL10" s="2"/>
      <c r="AM10" s="2"/>
      <c r="AN10" s="2"/>
      <c r="AO10" s="10"/>
    </row>
    <row r="11" spans="20:41">
      <c r="T11" s="8">
        <v>46266</v>
      </c>
      <c r="U11" s="2"/>
      <c r="V11" s="2"/>
      <c r="W11" s="2"/>
      <c r="X11" s="9"/>
      <c r="Y11" s="2"/>
      <c r="Z11" s="2"/>
      <c r="AA11" s="2"/>
      <c r="AB11" s="9"/>
      <c r="AC11" s="9"/>
      <c r="AD11" s="2"/>
      <c r="AE11" s="2"/>
      <c r="AF11" s="2"/>
      <c r="AG11" s="7"/>
      <c r="AJ11" s="8">
        <v>46296</v>
      </c>
      <c r="AK11" s="2"/>
      <c r="AL11" s="2"/>
      <c r="AM11" s="2"/>
      <c r="AN11" s="2"/>
      <c r="AO11" s="10"/>
    </row>
    <row r="12" spans="20:41">
      <c r="T12" s="8">
        <v>46296</v>
      </c>
      <c r="U12" s="2"/>
      <c r="V12" s="2"/>
      <c r="W12" s="2"/>
      <c r="X12" s="9"/>
      <c r="Y12" s="2"/>
      <c r="Z12" s="2"/>
      <c r="AA12" s="2"/>
      <c r="AB12" s="9"/>
      <c r="AC12" s="9"/>
      <c r="AD12" s="2"/>
      <c r="AE12" s="2"/>
      <c r="AF12" s="2"/>
      <c r="AG12" s="7"/>
      <c r="AJ12" s="8">
        <v>46327</v>
      </c>
      <c r="AK12" s="2"/>
      <c r="AL12" s="2"/>
      <c r="AM12" s="2"/>
      <c r="AN12" s="2"/>
      <c r="AO12" s="10"/>
    </row>
    <row r="13" spans="20:41">
      <c r="T13" s="8">
        <v>46327</v>
      </c>
      <c r="U13" s="2"/>
      <c r="V13" s="2"/>
      <c r="W13" s="2"/>
      <c r="X13" s="9"/>
      <c r="Y13" s="2"/>
      <c r="Z13" s="2"/>
      <c r="AA13" s="2"/>
      <c r="AB13" s="9"/>
      <c r="AC13" s="9"/>
      <c r="AD13" s="2"/>
      <c r="AE13" s="2"/>
      <c r="AF13" s="2"/>
      <c r="AG13" s="7"/>
      <c r="AJ13" s="8">
        <v>46357</v>
      </c>
      <c r="AK13" s="2"/>
      <c r="AL13" s="2"/>
      <c r="AM13" s="2"/>
      <c r="AN13" s="2"/>
      <c r="AO13" s="10"/>
    </row>
    <row r="14" spans="20:41">
      <c r="T14" s="8">
        <v>46357</v>
      </c>
      <c r="U14" s="2"/>
      <c r="V14" s="2"/>
      <c r="W14" s="2"/>
      <c r="X14" s="9"/>
      <c r="Y14" s="2"/>
      <c r="Z14" s="2"/>
      <c r="AA14" s="2"/>
      <c r="AB14" s="9"/>
      <c r="AC14" s="9"/>
      <c r="AD14" s="2"/>
      <c r="AE14" s="2"/>
      <c r="AF14" s="2"/>
      <c r="AG14" s="7"/>
      <c r="AJ14" s="8">
        <v>46388</v>
      </c>
      <c r="AK14" s="2"/>
      <c r="AL14" s="2"/>
      <c r="AM14" s="2"/>
      <c r="AN14" s="2"/>
      <c r="AO14" s="10"/>
    </row>
    <row r="15" spans="20:41">
      <c r="T15" s="8">
        <v>46388</v>
      </c>
      <c r="U15" s="2"/>
      <c r="V15" s="2"/>
      <c r="W15" s="2"/>
      <c r="X15" s="9"/>
      <c r="Y15" s="2"/>
      <c r="Z15" s="2"/>
      <c r="AA15" s="2"/>
      <c r="AB15" s="9"/>
      <c r="AC15" s="9"/>
      <c r="AD15" s="2"/>
      <c r="AE15" s="2"/>
      <c r="AF15" s="2"/>
      <c r="AG15" s="7"/>
      <c r="AJ15" s="8">
        <v>46419</v>
      </c>
      <c r="AK15" s="2"/>
      <c r="AL15" s="2"/>
      <c r="AM15" s="2"/>
      <c r="AN15" s="2"/>
      <c r="AO15" s="10"/>
    </row>
    <row r="16" spans="20:41">
      <c r="T16" s="8">
        <v>46419</v>
      </c>
      <c r="U16" s="2"/>
      <c r="V16" s="2"/>
      <c r="W16" s="2"/>
      <c r="X16" s="9"/>
      <c r="Y16" s="2"/>
      <c r="Z16" s="2"/>
      <c r="AA16" s="2"/>
      <c r="AB16" s="9"/>
      <c r="AC16" s="9"/>
      <c r="AD16" s="2"/>
      <c r="AE16" s="2"/>
      <c r="AF16" s="2"/>
      <c r="AG16" s="7"/>
      <c r="AJ16" s="8">
        <v>46447</v>
      </c>
      <c r="AK16" s="2"/>
      <c r="AL16" s="2"/>
      <c r="AM16" s="2"/>
      <c r="AN16" s="2"/>
      <c r="AO16" s="10"/>
    </row>
    <row r="17" spans="20:41">
      <c r="T17" s="8">
        <v>46447</v>
      </c>
      <c r="U17" s="2"/>
      <c r="V17" s="2"/>
      <c r="W17" s="2"/>
      <c r="X17" s="9"/>
      <c r="Y17" s="2"/>
      <c r="Z17" s="2"/>
      <c r="AA17" s="2"/>
      <c r="AB17" s="9"/>
      <c r="AC17" s="9"/>
      <c r="AD17" s="2"/>
      <c r="AE17" s="2"/>
      <c r="AF17" s="2"/>
      <c r="AG17" s="7"/>
      <c r="AJ17" s="1" t="s">
        <v>595</v>
      </c>
      <c r="AK17" s="1">
        <f>SUM(AK5:AK16)</f>
        <v>485577</v>
      </c>
      <c r="AL17" s="1">
        <f>SUM(AL5:AL16)</f>
        <v>13328</v>
      </c>
      <c r="AM17" s="1">
        <f>SUM(AM5:AM16)</f>
        <v>8820</v>
      </c>
      <c r="AN17" s="1">
        <f>SUM(AN5:AN16)</f>
        <v>22148</v>
      </c>
      <c r="AO17" s="16">
        <f>+AK17/(AK17+AN17)</f>
        <v>0.9563779605101187</v>
      </c>
    </row>
    <row r="18" spans="20:41">
      <c r="T18" s="2" t="s">
        <v>595</v>
      </c>
      <c r="U18" s="2">
        <f>SUM(U6:U17)</f>
        <v>184464</v>
      </c>
      <c r="V18" s="2">
        <f t="shared" ref="V18:W18" si="8">SUM(V6:V17)</f>
        <v>178667</v>
      </c>
      <c r="W18" s="2">
        <f t="shared" si="8"/>
        <v>5797</v>
      </c>
      <c r="X18" s="7">
        <f>+V18/U18</f>
        <v>0.96857381386069907</v>
      </c>
      <c r="Y18" s="2">
        <f t="shared" ref="Y18" si="9">SUM(Y6:Y17)</f>
        <v>63064</v>
      </c>
      <c r="Z18" s="2">
        <f t="shared" ref="Z18" si="10">SUM(Z6:Z17)</f>
        <v>60041</v>
      </c>
      <c r="AA18" s="2">
        <f t="shared" ref="AA18" si="11">SUM(AA6:AA17)</f>
        <v>3023</v>
      </c>
      <c r="AB18" s="7">
        <f>+Z18/Y18</f>
        <v>0.9520645693263986</v>
      </c>
      <c r="AC18" s="7">
        <f>+(Z18+V18)/(Y18+U18)</f>
        <v>0.9643676674962024</v>
      </c>
      <c r="AD18" s="2">
        <f t="shared" ref="AD18" si="12">SUM(AD6:AD17)</f>
        <v>253499</v>
      </c>
      <c r="AE18" s="2">
        <f t="shared" ref="AE18" si="13">SUM(AE6:AE17)</f>
        <v>240171</v>
      </c>
      <c r="AF18" s="2">
        <f t="shared" ref="AF18" si="14">SUM(AF6:AF17)</f>
        <v>13328</v>
      </c>
      <c r="AG18" s="7">
        <f>+AE18/AD18</f>
        <v>0.94742385571540721</v>
      </c>
    </row>
    <row r="22" spans="20:41">
      <c r="T22" s="59" t="s">
        <v>585</v>
      </c>
      <c r="U22" s="60"/>
      <c r="V22" s="60"/>
      <c r="W22" s="60"/>
      <c r="X22" s="60"/>
      <c r="Y22" s="60"/>
      <c r="Z22" s="60"/>
      <c r="AA22" s="60"/>
      <c r="AB22" s="60"/>
      <c r="AC22" s="61"/>
      <c r="AD22" s="54" t="s">
        <v>592</v>
      </c>
      <c r="AE22" s="54"/>
      <c r="AF22" s="54"/>
      <c r="AG22" s="54"/>
      <c r="AJ22" s="52" t="s">
        <v>1616</v>
      </c>
      <c r="AK22" s="52"/>
      <c r="AL22" s="52"/>
      <c r="AM22" s="52"/>
      <c r="AN22" s="52"/>
      <c r="AO22" s="52"/>
    </row>
    <row r="23" spans="20:41">
      <c r="T23" s="4" t="s">
        <v>586</v>
      </c>
      <c r="U23" s="53" t="s">
        <v>590</v>
      </c>
      <c r="V23" s="53"/>
      <c r="W23" s="53"/>
      <c r="X23" s="53"/>
      <c r="Y23" s="53" t="s">
        <v>591</v>
      </c>
      <c r="Z23" s="53"/>
      <c r="AA23" s="53"/>
      <c r="AB23" s="53"/>
      <c r="AC23" s="53" t="s">
        <v>594</v>
      </c>
      <c r="AD23" s="53" t="s">
        <v>593</v>
      </c>
      <c r="AE23" s="53"/>
      <c r="AF23" s="53"/>
      <c r="AG23" s="53"/>
      <c r="AJ23" s="15" t="s">
        <v>596</v>
      </c>
      <c r="AK23" s="15" t="s">
        <v>1177</v>
      </c>
      <c r="AL23" s="15" t="s">
        <v>1178</v>
      </c>
      <c r="AM23" s="15" t="s">
        <v>1179</v>
      </c>
      <c r="AN23" s="15" t="s">
        <v>1180</v>
      </c>
      <c r="AO23" s="15" t="s">
        <v>589</v>
      </c>
    </row>
    <row r="24" spans="20:41">
      <c r="T24" s="5" t="s">
        <v>596</v>
      </c>
      <c r="U24" s="5" t="s">
        <v>5</v>
      </c>
      <c r="V24" s="5" t="s">
        <v>587</v>
      </c>
      <c r="W24" s="5" t="s">
        <v>588</v>
      </c>
      <c r="X24" s="5" t="s">
        <v>589</v>
      </c>
      <c r="Y24" s="5" t="s">
        <v>5</v>
      </c>
      <c r="Z24" s="5" t="s">
        <v>587</v>
      </c>
      <c r="AA24" s="5" t="s">
        <v>588</v>
      </c>
      <c r="AB24" s="5" t="s">
        <v>589</v>
      </c>
      <c r="AC24" s="53"/>
      <c r="AD24" s="6" t="s">
        <v>5</v>
      </c>
      <c r="AE24" s="6" t="s">
        <v>587</v>
      </c>
      <c r="AF24" s="6" t="s">
        <v>588</v>
      </c>
      <c r="AG24" s="6" t="s">
        <v>589</v>
      </c>
      <c r="AJ24" s="7" t="s">
        <v>97</v>
      </c>
      <c r="AK24" s="2">
        <f>SUMIFS(OUTPUT[ACC],OUTPUT[ACT GR],$AJ24)</f>
        <v>22346</v>
      </c>
      <c r="AL24" s="2">
        <f>AF25</f>
        <v>0</v>
      </c>
      <c r="AM24" s="2">
        <f>+W25+AA25</f>
        <v>558</v>
      </c>
      <c r="AN24" s="2">
        <f t="shared" ref="AN24:AN36" si="15">+AL24+AM24</f>
        <v>558</v>
      </c>
      <c r="AO24" s="10">
        <f>+AK24/(AK24+AN24)</f>
        <v>0.97563744324135526</v>
      </c>
    </row>
    <row r="25" spans="20:41">
      <c r="T25" s="7" t="s">
        <v>97</v>
      </c>
      <c r="U25" s="2">
        <f>SUMIFS(HIGHEND[Lot Qty],HIGHEND[HE Group],$T25)</f>
        <v>7616</v>
      </c>
      <c r="V25" s="2">
        <f>SUMIFS(HIGHEND[Accept],HIGHEND[HE Group],$T25)</f>
        <v>7384</v>
      </c>
      <c r="W25" s="2">
        <f>SUMIFS(HIGHEND[Reject],HIGHEND[HE Group],$T25)</f>
        <v>232</v>
      </c>
      <c r="X25" s="9">
        <f t="shared" ref="X25:X37" si="16">+V25/U25</f>
        <v>0.96953781512605042</v>
      </c>
      <c r="Y25" s="2">
        <f>SUMIFS(LOWEND[Lot Qty],LOWEND[LE Group],$T25,LOWEND[Sampling/100%],"100")</f>
        <v>7768</v>
      </c>
      <c r="Z25" s="2">
        <f>SUMIFS(LOWEND[Accept],LOWEND[LE Group],$T25,LOWEND[Sampling/100%],"100")</f>
        <v>7442</v>
      </c>
      <c r="AA25" s="2">
        <f>SUMIFS(LOWEND[Reject],LOWEND[LE Group],$T25,LOWEND[Sampling/100%],"100")</f>
        <v>326</v>
      </c>
      <c r="AB25" s="9">
        <f t="shared" ref="AB25:AB37" si="17">+Z25/Y25</f>
        <v>0.95803295571575697</v>
      </c>
      <c r="AC25" s="9">
        <f t="shared" ref="AC25:AC37" si="18">+(Z25+V25)/(Y25+U25)</f>
        <v>0.96372854914196571</v>
      </c>
      <c r="AD25" s="2">
        <f>SUMIFS(LOWEND[Lot Qty],LOWEND[LE Group],$T25,LOWEND[Sampling/100%],"SAMPLING")</f>
        <v>10275</v>
      </c>
      <c r="AE25" s="2">
        <f>SUMIFS(LOWEND[Lot Qty],LOWEND[LE Group],$T25,LOWEND[Verdict],"ACC",LOWEND[Sampling/100%],"SAMPLING")</f>
        <v>10275</v>
      </c>
      <c r="AF25" s="2">
        <f>SUMIFS(LOWEND[Lot Qty],LOWEND[LE Group],$T25,LOWEND[Verdict],"REJ",LOWEND[Sampling/100%],"SAMPLING")</f>
        <v>0</v>
      </c>
      <c r="AG25" s="9">
        <f t="shared" ref="AG25:AG37" si="19">+AE25/AD25</f>
        <v>1</v>
      </c>
      <c r="AJ25" s="7" t="s">
        <v>160</v>
      </c>
      <c r="AK25" s="2">
        <f>SUMIFS(OUTPUT[ACC],OUTPUT[ACT GR],$AJ25)</f>
        <v>27094</v>
      </c>
      <c r="AL25" s="2">
        <f t="shared" ref="AL25:AL36" si="20">AF26</f>
        <v>2708</v>
      </c>
      <c r="AM25" s="2">
        <f t="shared" ref="AM25:AM36" si="21">+W26+AA26</f>
        <v>1359</v>
      </c>
      <c r="AN25" s="2">
        <f t="shared" si="15"/>
        <v>4067</v>
      </c>
      <c r="AO25" s="10">
        <f t="shared" ref="AO25:AO36" si="22">+AK25/(AK25+AN25)</f>
        <v>0.86948429126151283</v>
      </c>
    </row>
    <row r="26" spans="20:41">
      <c r="T26" s="7" t="s">
        <v>160</v>
      </c>
      <c r="U26" s="2">
        <f>SUMIFS(HIGHEND[Lot Qty],HIGHEND[HE Group],$T26)</f>
        <v>14640</v>
      </c>
      <c r="V26" s="2">
        <f>SUMIFS(HIGHEND[Accept],HIGHEND[HE Group],$T26)</f>
        <v>13530</v>
      </c>
      <c r="W26" s="2">
        <f>SUMIFS(HIGHEND[Reject],HIGHEND[HE Group],$T26)</f>
        <v>1110</v>
      </c>
      <c r="X26" s="9">
        <f t="shared" si="16"/>
        <v>0.92418032786885251</v>
      </c>
      <c r="Y26" s="2">
        <f>SUMIFS(LOWEND[Lot Qty],LOWEND[LE Group],$T26,LOWEND[Sampling/100%],"100")</f>
        <v>3799</v>
      </c>
      <c r="Z26" s="2">
        <f>SUMIFS(LOWEND[Accept],LOWEND[LE Group],$T26,LOWEND[Sampling/100%],"100")</f>
        <v>3550</v>
      </c>
      <c r="AA26" s="2">
        <f>SUMIFS(LOWEND[Reject],LOWEND[LE Group],$T26,LOWEND[Sampling/100%],"100")</f>
        <v>249</v>
      </c>
      <c r="AB26" s="9">
        <f t="shared" si="17"/>
        <v>0.93445643590418537</v>
      </c>
      <c r="AC26" s="9">
        <f t="shared" si="18"/>
        <v>0.92629752155756817</v>
      </c>
      <c r="AD26" s="2">
        <f>SUMIFS(LOWEND[Lot Qty],LOWEND[LE Group],$T26,LOWEND[Sampling/100%],"SAMPLING")</f>
        <v>13559</v>
      </c>
      <c r="AE26" s="2">
        <f>SUMIFS(LOWEND[Lot Qty],LOWEND[LE Group],$T26,LOWEND[Verdict],"ACC",LOWEND[Sampling/100%],"SAMPLING")</f>
        <v>10851</v>
      </c>
      <c r="AF26" s="2">
        <f>SUMIFS(LOWEND[Lot Qty],LOWEND[LE Group],$T26,LOWEND[Verdict],"REJ",LOWEND[Sampling/100%],"SAMPLING")</f>
        <v>2708</v>
      </c>
      <c r="AG26" s="9">
        <f t="shared" si="19"/>
        <v>0.80028025665609559</v>
      </c>
      <c r="AJ26" s="7" t="s">
        <v>114</v>
      </c>
      <c r="AK26" s="2">
        <f>SUMIFS(OUTPUT[ACC],OUTPUT[ACT GR],$AJ26)</f>
        <v>28758</v>
      </c>
      <c r="AL26" s="2">
        <f t="shared" si="20"/>
        <v>543</v>
      </c>
      <c r="AM26" s="2">
        <f t="shared" si="21"/>
        <v>855</v>
      </c>
      <c r="AN26" s="2">
        <f t="shared" si="15"/>
        <v>1398</v>
      </c>
      <c r="AO26" s="10">
        <f t="shared" si="22"/>
        <v>0.95364106645443691</v>
      </c>
    </row>
    <row r="27" spans="20:41">
      <c r="T27" s="7" t="s">
        <v>114</v>
      </c>
      <c r="U27" s="2">
        <f>SUMIFS(HIGHEND[Lot Qty],HIGHEND[HE Group],$T27)</f>
        <v>11446</v>
      </c>
      <c r="V27" s="2">
        <f>SUMIFS(HIGHEND[Accept],HIGHEND[HE Group],$T27)</f>
        <v>10934</v>
      </c>
      <c r="W27" s="2">
        <f>SUMIFS(HIGHEND[Reject],HIGHEND[HE Group],$T27)</f>
        <v>512</v>
      </c>
      <c r="X27" s="9">
        <f t="shared" si="16"/>
        <v>0.95526821597064482</v>
      </c>
      <c r="Y27" s="2">
        <f>SUMIFS(LOWEND[Lot Qty],LOWEND[LE Group],$T27,LOWEND[Sampling/100%],"100")</f>
        <v>7138</v>
      </c>
      <c r="Z27" s="2">
        <f>SUMIFS(LOWEND[Accept],LOWEND[LE Group],$T27,LOWEND[Sampling/100%],"100")</f>
        <v>6795</v>
      </c>
      <c r="AA27" s="2">
        <f>SUMIFS(LOWEND[Reject],LOWEND[LE Group],$T27,LOWEND[Sampling/100%],"100")</f>
        <v>343</v>
      </c>
      <c r="AB27" s="9">
        <f t="shared" si="17"/>
        <v>0.9519473241804427</v>
      </c>
      <c r="AC27" s="9">
        <f t="shared" si="18"/>
        <v>0.95399268187688335</v>
      </c>
      <c r="AD27" s="2">
        <f>SUMIFS(LOWEND[Lot Qty],LOWEND[LE Group],$T27,LOWEND[Sampling/100%],"SAMPLING")</f>
        <v>12299</v>
      </c>
      <c r="AE27" s="2">
        <f>SUMIFS(LOWEND[Lot Qty],LOWEND[LE Group],$T27,LOWEND[Verdict],"ACC",LOWEND[Sampling/100%],"SAMPLING")</f>
        <v>11756</v>
      </c>
      <c r="AF27" s="2">
        <f>SUMIFS(LOWEND[Lot Qty],LOWEND[LE Group],$T27,LOWEND[Verdict],"REJ",LOWEND[Sampling/100%],"SAMPLING")</f>
        <v>543</v>
      </c>
      <c r="AG27" s="9">
        <f t="shared" si="19"/>
        <v>0.95585006911130987</v>
      </c>
      <c r="AJ27" s="7" t="s">
        <v>72</v>
      </c>
      <c r="AK27" s="2">
        <f>SUMIFS(OUTPUT[ACC],OUTPUT[ACT GR],$AJ27)</f>
        <v>49425</v>
      </c>
      <c r="AL27" s="2">
        <f t="shared" si="20"/>
        <v>472</v>
      </c>
      <c r="AM27" s="2">
        <f t="shared" si="21"/>
        <v>635</v>
      </c>
      <c r="AN27" s="2">
        <f t="shared" si="15"/>
        <v>1107</v>
      </c>
      <c r="AO27" s="10">
        <f t="shared" si="22"/>
        <v>0.97809308952742813</v>
      </c>
    </row>
    <row r="28" spans="20:41">
      <c r="T28" s="7" t="s">
        <v>72</v>
      </c>
      <c r="U28" s="2">
        <f>SUMIFS(HIGHEND[Lot Qty],HIGHEND[HE Group],$T28)</f>
        <v>10819</v>
      </c>
      <c r="V28" s="2">
        <f>SUMIFS(HIGHEND[Accept],HIGHEND[HE Group],$T28)</f>
        <v>10557</v>
      </c>
      <c r="W28" s="2">
        <f>SUMIFS(HIGHEND[Reject],HIGHEND[HE Group],$T28)</f>
        <v>262</v>
      </c>
      <c r="X28" s="9">
        <f t="shared" si="16"/>
        <v>0.97578334411683154</v>
      </c>
      <c r="Y28" s="2">
        <f>SUMIFS(LOWEND[Lot Qty],LOWEND[LE Group],$T28,LOWEND[Sampling/100%],"100")</f>
        <v>11664</v>
      </c>
      <c r="Z28" s="2">
        <f>SUMIFS(LOWEND[Accept],LOWEND[LE Group],$T28,LOWEND[Sampling/100%],"100")</f>
        <v>11291</v>
      </c>
      <c r="AA28" s="2">
        <f>SUMIFS(LOWEND[Reject],LOWEND[LE Group],$T28,LOWEND[Sampling/100%],"100")</f>
        <v>373</v>
      </c>
      <c r="AB28" s="9">
        <f t="shared" si="17"/>
        <v>0.96802126200274352</v>
      </c>
      <c r="AC28" s="9">
        <f t="shared" si="18"/>
        <v>0.97175643819774937</v>
      </c>
      <c r="AD28" s="2">
        <f>SUMIFS(LOWEND[Lot Qty],LOWEND[LE Group],$T28,LOWEND[Sampling/100%],"SAMPLING")</f>
        <v>26116</v>
      </c>
      <c r="AE28" s="2">
        <f>SUMIFS(LOWEND[Lot Qty],LOWEND[LE Group],$T28,LOWEND[Verdict],"ACC",LOWEND[Sampling/100%],"SAMPLING")</f>
        <v>25644</v>
      </c>
      <c r="AF28" s="2">
        <f>SUMIFS(LOWEND[Lot Qty],LOWEND[LE Group],$T28,LOWEND[Verdict],"REJ",LOWEND[Sampling/100%],"SAMPLING")</f>
        <v>472</v>
      </c>
      <c r="AG28" s="9">
        <f t="shared" si="19"/>
        <v>0.9819267881758309</v>
      </c>
      <c r="AJ28" s="17" t="s">
        <v>82</v>
      </c>
      <c r="AK28" s="2">
        <f>SUMIFS(OUTPUT[ACC],OUTPUT[ACT GR],$AJ28)</f>
        <v>49386</v>
      </c>
      <c r="AL28" s="2">
        <f t="shared" si="20"/>
        <v>344</v>
      </c>
      <c r="AM28" s="2">
        <f t="shared" si="21"/>
        <v>500</v>
      </c>
      <c r="AN28" s="2">
        <f t="shared" si="15"/>
        <v>844</v>
      </c>
      <c r="AO28" s="18">
        <f t="shared" si="22"/>
        <v>0.98319729245470833</v>
      </c>
    </row>
    <row r="29" spans="20:41">
      <c r="T29" s="7" t="s">
        <v>82</v>
      </c>
      <c r="U29" s="2">
        <f>SUMIFS(HIGHEND[Lot Qty],HIGHEND[HE Group],$T29)</f>
        <v>18231</v>
      </c>
      <c r="V29" s="2">
        <f>SUMIFS(HIGHEND[Accept],HIGHEND[HE Group],$T29)</f>
        <v>17821</v>
      </c>
      <c r="W29" s="2">
        <f>SUMIFS(HIGHEND[Reject],HIGHEND[HE Group],$T29)</f>
        <v>410</v>
      </c>
      <c r="X29" s="9">
        <f t="shared" si="16"/>
        <v>0.97751083319620424</v>
      </c>
      <c r="Y29" s="2">
        <f>SUMIFS(LOWEND[Lot Qty],LOWEND[LE Group],$T29,LOWEND[Sampling/100%],"100")</f>
        <v>2020</v>
      </c>
      <c r="Z29" s="2">
        <f>SUMIFS(LOWEND[Accept],LOWEND[LE Group],$T29,LOWEND[Sampling/100%],"100")</f>
        <v>1930</v>
      </c>
      <c r="AA29" s="2">
        <f>SUMIFS(LOWEND[Reject],LOWEND[LE Group],$T29,LOWEND[Sampling/100%],"100")</f>
        <v>90</v>
      </c>
      <c r="AB29" s="9">
        <f t="shared" si="17"/>
        <v>0.95544554455445541</v>
      </c>
      <c r="AC29" s="9">
        <f t="shared" si="18"/>
        <v>0.97530986124142016</v>
      </c>
      <c r="AD29" s="2">
        <f>SUMIFS(LOWEND[Lot Qty],LOWEND[LE Group],$T29,LOWEND[Sampling/100%],"SAMPLING")</f>
        <v>25339</v>
      </c>
      <c r="AE29" s="2">
        <f>SUMIFS(LOWEND[Lot Qty],LOWEND[LE Group],$T29,LOWEND[Verdict],"ACC",LOWEND[Sampling/100%],"SAMPLING")</f>
        <v>24995</v>
      </c>
      <c r="AF29" s="2">
        <f>SUMIFS(LOWEND[Lot Qty],LOWEND[LE Group],$T29,LOWEND[Verdict],"REJ",LOWEND[Sampling/100%],"SAMPLING")</f>
        <v>344</v>
      </c>
      <c r="AG29" s="9">
        <f t="shared" si="19"/>
        <v>0.98642408934843517</v>
      </c>
      <c r="AJ29" s="7" t="s">
        <v>66</v>
      </c>
      <c r="AK29" s="2">
        <f>SUMIFS(OUTPUT[ACC],OUTPUT[ACT GR],$AJ29)</f>
        <v>47261</v>
      </c>
      <c r="AL29" s="2">
        <f t="shared" si="20"/>
        <v>1754</v>
      </c>
      <c r="AM29" s="2">
        <f t="shared" si="21"/>
        <v>771</v>
      </c>
      <c r="AN29" s="2">
        <f t="shared" si="15"/>
        <v>2525</v>
      </c>
      <c r="AO29" s="10">
        <f t="shared" si="22"/>
        <v>0.94928293094444216</v>
      </c>
    </row>
    <row r="30" spans="20:41">
      <c r="T30" s="7" t="s">
        <v>66</v>
      </c>
      <c r="U30" s="2">
        <f>SUMIFS(HIGHEND[Lot Qty],HIGHEND[HE Group],$T30)</f>
        <v>17361</v>
      </c>
      <c r="V30" s="2">
        <f>SUMIFS(HIGHEND[Accept],HIGHEND[HE Group],$T30)</f>
        <v>16674</v>
      </c>
      <c r="W30" s="2">
        <f>SUMIFS(HIGHEND[Reject],HIGHEND[HE Group],$T30)</f>
        <v>687</v>
      </c>
      <c r="X30" s="9">
        <f t="shared" si="16"/>
        <v>0.96042854674269917</v>
      </c>
      <c r="Y30" s="2">
        <f>SUMIFS(LOWEND[Lot Qty],LOWEND[LE Group],$T30,LOWEND[Sampling/100%],"100")</f>
        <v>1818</v>
      </c>
      <c r="Z30" s="2">
        <f>SUMIFS(LOWEND[Accept],LOWEND[LE Group],$T30,LOWEND[Sampling/100%],"100")</f>
        <v>1734</v>
      </c>
      <c r="AA30" s="2">
        <f>SUMIFS(LOWEND[Reject],LOWEND[LE Group],$T30,LOWEND[Sampling/100%],"100")</f>
        <v>84</v>
      </c>
      <c r="AB30" s="9">
        <f t="shared" si="17"/>
        <v>0.95379537953795379</v>
      </c>
      <c r="AC30" s="9">
        <f t="shared" si="18"/>
        <v>0.95979978101048025</v>
      </c>
      <c r="AD30" s="2">
        <f>SUMIFS(LOWEND[Lot Qty],LOWEND[LE Group],$T30,LOWEND[Sampling/100%],"SAMPLING")</f>
        <v>29348</v>
      </c>
      <c r="AE30" s="2">
        <f>SUMIFS(LOWEND[Lot Qty],LOWEND[LE Group],$T30,LOWEND[Verdict],"ACC",LOWEND[Sampling/100%],"SAMPLING")</f>
        <v>27594</v>
      </c>
      <c r="AF30" s="2">
        <f>SUMIFS(LOWEND[Lot Qty],LOWEND[LE Group],$T30,LOWEND[Verdict],"REJ",LOWEND[Sampling/100%],"SAMPLING")</f>
        <v>1754</v>
      </c>
      <c r="AG30" s="9">
        <f t="shared" si="19"/>
        <v>0.94023442824042525</v>
      </c>
      <c r="AJ30" s="7" t="s">
        <v>62</v>
      </c>
      <c r="AK30" s="2">
        <f>SUMIFS(OUTPUT[ACC],OUTPUT[ACT GR],$AJ30)</f>
        <v>51088</v>
      </c>
      <c r="AL30" s="2">
        <f t="shared" si="20"/>
        <v>108</v>
      </c>
      <c r="AM30" s="2">
        <f t="shared" si="21"/>
        <v>697</v>
      </c>
      <c r="AN30" s="2">
        <f t="shared" si="15"/>
        <v>805</v>
      </c>
      <c r="AO30" s="10">
        <f t="shared" si="22"/>
        <v>0.98448731042722526</v>
      </c>
    </row>
    <row r="31" spans="20:41">
      <c r="T31" s="7" t="s">
        <v>62</v>
      </c>
      <c r="U31" s="2">
        <f>SUMIFS(HIGHEND[Lot Qty],HIGHEND[HE Group],$T31)</f>
        <v>23601</v>
      </c>
      <c r="V31" s="2">
        <f>SUMIFS(HIGHEND[Accept],HIGHEND[HE Group],$T31)</f>
        <v>23141</v>
      </c>
      <c r="W31" s="2">
        <f>SUMIFS(HIGHEND[Reject],HIGHEND[HE Group],$T31)</f>
        <v>460</v>
      </c>
      <c r="X31" s="9">
        <f t="shared" si="16"/>
        <v>0.98050930045337059</v>
      </c>
      <c r="Y31" s="2">
        <f>SUMIFS(LOWEND[Lot Qty],LOWEND[LE Group],$T31,LOWEND[Sampling/100%],"100")</f>
        <v>7142</v>
      </c>
      <c r="Z31" s="2">
        <f>SUMIFS(LOWEND[Accept],LOWEND[LE Group],$T31,LOWEND[Sampling/100%],"100")</f>
        <v>6905</v>
      </c>
      <c r="AA31" s="2">
        <f>SUMIFS(LOWEND[Reject],LOWEND[LE Group],$T31,LOWEND[Sampling/100%],"100")</f>
        <v>237</v>
      </c>
      <c r="AB31" s="9">
        <f t="shared" si="17"/>
        <v>0.96681601792215066</v>
      </c>
      <c r="AC31" s="9">
        <f t="shared" si="18"/>
        <v>0.97732817226685753</v>
      </c>
      <c r="AD31" s="2">
        <f>SUMIFS(LOWEND[Lot Qty],LOWEND[LE Group],$T31,LOWEND[Sampling/100%],"SAMPLING")</f>
        <v>17355</v>
      </c>
      <c r="AE31" s="2">
        <f>SUMIFS(LOWEND[Lot Qty],LOWEND[LE Group],$T31,LOWEND[Verdict],"ACC",LOWEND[Sampling/100%],"SAMPLING")</f>
        <v>17247</v>
      </c>
      <c r="AF31" s="2">
        <f>SUMIFS(LOWEND[Lot Qty],LOWEND[LE Group],$T31,LOWEND[Verdict],"REJ",LOWEND[Sampling/100%],"SAMPLING")</f>
        <v>108</v>
      </c>
      <c r="AG31" s="9">
        <f t="shared" si="19"/>
        <v>0.9937770095073466</v>
      </c>
      <c r="AJ31" s="7" t="s">
        <v>63</v>
      </c>
      <c r="AK31" s="2">
        <f>SUMIFS(OUTPUT[ACC],OUTPUT[ACT GR],$AJ31)</f>
        <v>47572</v>
      </c>
      <c r="AL31" s="2">
        <f t="shared" si="20"/>
        <v>2655</v>
      </c>
      <c r="AM31" s="2">
        <f t="shared" si="21"/>
        <v>730</v>
      </c>
      <c r="AN31" s="2">
        <f t="shared" si="15"/>
        <v>3385</v>
      </c>
      <c r="AO31" s="10">
        <f t="shared" si="22"/>
        <v>0.93357144258884939</v>
      </c>
    </row>
    <row r="32" spans="20:41">
      <c r="T32" s="7" t="s">
        <v>63</v>
      </c>
      <c r="U32" s="2">
        <f>SUMIFS(HIGHEND[Lot Qty],HIGHEND[HE Group],$T32)</f>
        <v>20354</v>
      </c>
      <c r="V32" s="2">
        <f>SUMIFS(HIGHEND[Accept],HIGHEND[HE Group],$T32)</f>
        <v>19676</v>
      </c>
      <c r="W32" s="2">
        <f>SUMIFS(HIGHEND[Reject],HIGHEND[HE Group],$T32)</f>
        <v>678</v>
      </c>
      <c r="X32" s="9">
        <f t="shared" si="16"/>
        <v>0.96668959418296163</v>
      </c>
      <c r="Y32" s="2">
        <f>SUMIFS(LOWEND[Lot Qty],LOWEND[LE Group],$T32,LOWEND[Sampling/100%],"100")</f>
        <v>1408</v>
      </c>
      <c r="Z32" s="2">
        <f>SUMIFS(LOWEND[Accept],LOWEND[LE Group],$T32,LOWEND[Sampling/100%],"100")</f>
        <v>1356</v>
      </c>
      <c r="AA32" s="2">
        <f>SUMIFS(LOWEND[Reject],LOWEND[LE Group],$T32,LOWEND[Sampling/100%],"100")</f>
        <v>52</v>
      </c>
      <c r="AB32" s="9">
        <f t="shared" si="17"/>
        <v>0.96306818181818177</v>
      </c>
      <c r="AC32" s="9">
        <f t="shared" si="18"/>
        <v>0.96645528903593425</v>
      </c>
      <c r="AD32" s="2">
        <f>SUMIFS(LOWEND[Lot Qty],LOWEND[LE Group],$T32,LOWEND[Sampling/100%],"SAMPLING")</f>
        <v>30677</v>
      </c>
      <c r="AE32" s="2">
        <f>SUMIFS(LOWEND[Lot Qty],LOWEND[LE Group],$T32,LOWEND[Verdict],"ACC",LOWEND[Sampling/100%],"SAMPLING")</f>
        <v>28022</v>
      </c>
      <c r="AF32" s="2">
        <f>SUMIFS(LOWEND[Lot Qty],LOWEND[LE Group],$T32,LOWEND[Verdict],"REJ",LOWEND[Sampling/100%],"SAMPLING")</f>
        <v>2655</v>
      </c>
      <c r="AG32" s="9">
        <f t="shared" si="19"/>
        <v>0.91345307559409328</v>
      </c>
      <c r="AJ32" s="17" t="s">
        <v>95</v>
      </c>
      <c r="AK32" s="2">
        <f>SUMIFS(OUTPUT[ACC],OUTPUT[ACT GR],$AJ32)</f>
        <v>49438</v>
      </c>
      <c r="AL32" s="2">
        <f t="shared" si="20"/>
        <v>614</v>
      </c>
      <c r="AM32" s="2">
        <f t="shared" si="21"/>
        <v>612</v>
      </c>
      <c r="AN32" s="2">
        <f t="shared" si="15"/>
        <v>1226</v>
      </c>
      <c r="AO32" s="18">
        <f t="shared" si="22"/>
        <v>0.9758013579662087</v>
      </c>
    </row>
    <row r="33" spans="20:41">
      <c r="T33" s="7" t="s">
        <v>95</v>
      </c>
      <c r="U33" s="2">
        <f>SUMIFS(HIGHEND[Lot Qty],HIGHEND[HE Group],$T33)</f>
        <v>21173</v>
      </c>
      <c r="V33" s="2">
        <f>SUMIFS(HIGHEND[Accept],HIGHEND[HE Group],$T33)</f>
        <v>20843</v>
      </c>
      <c r="W33" s="2">
        <f>SUMIFS(HIGHEND[Reject],HIGHEND[HE Group],$T33)</f>
        <v>330</v>
      </c>
      <c r="X33" s="9">
        <f t="shared" si="16"/>
        <v>0.98441411231285125</v>
      </c>
      <c r="Y33" s="2">
        <f>SUMIFS(LOWEND[Lot Qty],LOWEND[LE Group],$T33,LOWEND[Sampling/100%],"100")</f>
        <v>6377</v>
      </c>
      <c r="Z33" s="2">
        <f>SUMIFS(LOWEND[Accept],LOWEND[LE Group],$T33,LOWEND[Sampling/100%],"100")</f>
        <v>6095</v>
      </c>
      <c r="AA33" s="2">
        <f>SUMIFS(LOWEND[Reject],LOWEND[LE Group],$T33,LOWEND[Sampling/100%],"100")</f>
        <v>282</v>
      </c>
      <c r="AB33" s="9">
        <f t="shared" si="17"/>
        <v>0.95577857926924892</v>
      </c>
      <c r="AC33" s="9">
        <f t="shared" si="18"/>
        <v>0.97778584392014523</v>
      </c>
      <c r="AD33" s="2">
        <f>SUMIFS(LOWEND[Lot Qty],LOWEND[LE Group],$T33,LOWEND[Sampling/100%],"SAMPLING")</f>
        <v>22168</v>
      </c>
      <c r="AE33" s="2">
        <f>SUMIFS(LOWEND[Lot Qty],LOWEND[LE Group],$T33,LOWEND[Verdict],"ACC",LOWEND[Sampling/100%],"SAMPLING")</f>
        <v>21554</v>
      </c>
      <c r="AF33" s="2">
        <f>SUMIFS(LOWEND[Lot Qty],LOWEND[LE Group],$T33,LOWEND[Verdict],"REJ",LOWEND[Sampling/100%],"SAMPLING")</f>
        <v>614</v>
      </c>
      <c r="AG33" s="9">
        <f t="shared" si="19"/>
        <v>0.9723024178996752</v>
      </c>
      <c r="AJ33" s="7" t="s">
        <v>46</v>
      </c>
      <c r="AK33" s="2">
        <f>SUMIFS(OUTPUT[ACC],OUTPUT[ACT GR],$AJ33)</f>
        <v>42979</v>
      </c>
      <c r="AL33" s="2">
        <f t="shared" si="20"/>
        <v>1847</v>
      </c>
      <c r="AM33" s="2">
        <f t="shared" si="21"/>
        <v>424</v>
      </c>
      <c r="AN33" s="2">
        <f t="shared" si="15"/>
        <v>2271</v>
      </c>
      <c r="AO33" s="10">
        <f t="shared" si="22"/>
        <v>0.94981215469613256</v>
      </c>
    </row>
    <row r="34" spans="20:41">
      <c r="T34" s="7" t="s">
        <v>46</v>
      </c>
      <c r="U34" s="2">
        <f>SUMIFS(HIGHEND[Lot Qty],HIGHEND[HE Group],$T34)</f>
        <v>12081</v>
      </c>
      <c r="V34" s="2">
        <f>SUMIFS(HIGHEND[Accept],HIGHEND[HE Group],$T34)</f>
        <v>11807</v>
      </c>
      <c r="W34" s="2">
        <f>SUMIFS(HIGHEND[Reject],HIGHEND[HE Group],$T34)</f>
        <v>274</v>
      </c>
      <c r="X34" s="9">
        <f t="shared" si="16"/>
        <v>0.9773197582981541</v>
      </c>
      <c r="Y34" s="2">
        <f>SUMIFS(LOWEND[Lot Qty],LOWEND[LE Group],$T34,LOWEND[Sampling/100%],"100")</f>
        <v>2629</v>
      </c>
      <c r="Z34" s="2">
        <f>SUMIFS(LOWEND[Accept],LOWEND[LE Group],$T34,LOWEND[Sampling/100%],"100")</f>
        <v>2479</v>
      </c>
      <c r="AA34" s="2">
        <f>SUMIFS(LOWEND[Reject],LOWEND[LE Group],$T34,LOWEND[Sampling/100%],"100")</f>
        <v>150</v>
      </c>
      <c r="AB34" s="9">
        <f t="shared" si="17"/>
        <v>0.94294408520349948</v>
      </c>
      <c r="AC34" s="9">
        <f t="shared" si="18"/>
        <v>0.97117607070020395</v>
      </c>
      <c r="AD34" s="2">
        <f>SUMIFS(LOWEND[Lot Qty],LOWEND[LE Group],$T34,LOWEND[Sampling/100%],"SAMPLING")</f>
        <v>31318</v>
      </c>
      <c r="AE34" s="2">
        <f>SUMIFS(LOWEND[Lot Qty],LOWEND[LE Group],$T34,LOWEND[Verdict],"ACC",LOWEND[Sampling/100%],"SAMPLING")</f>
        <v>29471</v>
      </c>
      <c r="AF34" s="2">
        <f>SUMIFS(LOWEND[Lot Qty],LOWEND[LE Group],$T34,LOWEND[Verdict],"REJ",LOWEND[Sampling/100%],"SAMPLING")</f>
        <v>1847</v>
      </c>
      <c r="AG34" s="9">
        <f t="shared" si="19"/>
        <v>0.941024331055623</v>
      </c>
      <c r="AJ34" s="7" t="s">
        <v>55</v>
      </c>
      <c r="AK34" s="2">
        <f>SUMIFS(OUTPUT[ACC],OUTPUT[ACT GR],$AJ34)</f>
        <v>48289</v>
      </c>
      <c r="AL34" s="2">
        <f t="shared" si="20"/>
        <v>2283</v>
      </c>
      <c r="AM34" s="2">
        <f t="shared" si="21"/>
        <v>993</v>
      </c>
      <c r="AN34" s="2">
        <f t="shared" si="15"/>
        <v>3276</v>
      </c>
      <c r="AO34" s="10">
        <f t="shared" si="22"/>
        <v>0.9364685348589159</v>
      </c>
    </row>
    <row r="35" spans="20:41">
      <c r="T35" s="7" t="s">
        <v>55</v>
      </c>
      <c r="U35" s="2">
        <f>SUMIFS(HIGHEND[Lot Qty],HIGHEND[HE Group],$T35)</f>
        <v>9916</v>
      </c>
      <c r="V35" s="2">
        <f>SUMIFS(HIGHEND[Accept],HIGHEND[HE Group],$T35)</f>
        <v>9563</v>
      </c>
      <c r="W35" s="2">
        <f>SUMIFS(HIGHEND[Reject],HIGHEND[HE Group],$T35)</f>
        <v>353</v>
      </c>
      <c r="X35" s="9">
        <f t="shared" si="16"/>
        <v>0.96440096813231146</v>
      </c>
      <c r="Y35" s="2">
        <f>SUMIFS(LOWEND[Lot Qty],LOWEND[LE Group],$T35,LOWEND[Sampling/100%],"100")</f>
        <v>7728</v>
      </c>
      <c r="Z35" s="2">
        <f>SUMIFS(LOWEND[Accept],LOWEND[LE Group],$T35,LOWEND[Sampling/100%],"100")</f>
        <v>7088</v>
      </c>
      <c r="AA35" s="2">
        <f>SUMIFS(LOWEND[Reject],LOWEND[LE Group],$T35,LOWEND[Sampling/100%],"100")</f>
        <v>640</v>
      </c>
      <c r="AB35" s="9">
        <f t="shared" si="17"/>
        <v>0.917184265010352</v>
      </c>
      <c r="AC35" s="9">
        <f t="shared" si="18"/>
        <v>0.94372024484243933</v>
      </c>
      <c r="AD35" s="2">
        <f>SUMIFS(LOWEND[Lot Qty],LOWEND[LE Group],$T35,LOWEND[Sampling/100%],"SAMPLING")</f>
        <v>33362</v>
      </c>
      <c r="AE35" s="2">
        <f>SUMIFS(LOWEND[Lot Qty],LOWEND[LE Group],$T35,LOWEND[Verdict],"ACC",LOWEND[Sampling/100%],"SAMPLING")</f>
        <v>31079</v>
      </c>
      <c r="AF35" s="2">
        <f>SUMIFS(LOWEND[Lot Qty],LOWEND[LE Group],$T35,LOWEND[Verdict],"REJ",LOWEND[Sampling/100%],"SAMPLING")</f>
        <v>2283</v>
      </c>
      <c r="AG35" s="9">
        <f t="shared" si="19"/>
        <v>0.93156885078832208</v>
      </c>
      <c r="AJ35" s="7" t="s">
        <v>133</v>
      </c>
      <c r="AK35" s="2">
        <f>SUMIFS(OUTPUT[ACC],OUTPUT[ACT GR],$AJ35)</f>
        <v>11618</v>
      </c>
      <c r="AL35" s="2">
        <f t="shared" si="20"/>
        <v>0</v>
      </c>
      <c r="AM35" s="2">
        <f t="shared" si="21"/>
        <v>552</v>
      </c>
      <c r="AN35" s="2">
        <f t="shared" si="15"/>
        <v>552</v>
      </c>
      <c r="AO35" s="10">
        <f t="shared" si="22"/>
        <v>0.95464256368118328</v>
      </c>
    </row>
    <row r="36" spans="20:41">
      <c r="T36" s="7" t="s">
        <v>133</v>
      </c>
      <c r="U36" s="2">
        <f>SUMIFS(HIGHEND[Lot Qty],HIGHEND[HE Group],$T36)</f>
        <v>11702</v>
      </c>
      <c r="V36" s="2">
        <f>SUMIFS(HIGHEND[Accept],HIGHEND[HE Group],$T36)</f>
        <v>11315</v>
      </c>
      <c r="W36" s="2">
        <f>SUMIFS(HIGHEND[Reject],HIGHEND[HE Group],$T36)</f>
        <v>387</v>
      </c>
      <c r="X36" s="9">
        <f t="shared" si="16"/>
        <v>0.96692873013160141</v>
      </c>
      <c r="Y36" s="2">
        <f>SUMIFS(LOWEND[Lot Qty],LOWEND[LE Group],$T36,LOWEND[Sampling/100%],"100")</f>
        <v>2082</v>
      </c>
      <c r="Z36" s="2">
        <f>SUMIFS(LOWEND[Accept],LOWEND[LE Group],$T36,LOWEND[Sampling/100%],"100")</f>
        <v>1917</v>
      </c>
      <c r="AA36" s="2">
        <f>SUMIFS(LOWEND[Reject],LOWEND[LE Group],$T36,LOWEND[Sampling/100%],"100")</f>
        <v>165</v>
      </c>
      <c r="AB36" s="9">
        <f t="shared" si="17"/>
        <v>0.92074927953890495</v>
      </c>
      <c r="AC36" s="9">
        <f t="shared" si="18"/>
        <v>0.95995356935577481</v>
      </c>
      <c r="AD36" s="2">
        <f>SUMIFS(LOWEND[Lot Qty],LOWEND[LE Group],$T36,LOWEND[Sampling/100%],"SAMPLING")</f>
        <v>1531</v>
      </c>
      <c r="AE36" s="2">
        <f>SUMIFS(LOWEND[Lot Qty],LOWEND[LE Group],$T36,LOWEND[Verdict],"ACC",LOWEND[Sampling/100%],"SAMPLING")</f>
        <v>1531</v>
      </c>
      <c r="AF36" s="2">
        <f>SUMIFS(LOWEND[Lot Qty],LOWEND[LE Group],$T36,LOWEND[Verdict],"REJ",LOWEND[Sampling/100%],"SAMPLING")</f>
        <v>0</v>
      </c>
      <c r="AG36" s="9">
        <f t="shared" si="19"/>
        <v>1</v>
      </c>
      <c r="AJ36" s="7" t="s">
        <v>1484</v>
      </c>
      <c r="AK36" s="2">
        <f>SUMIFS(OUTPUT[ACC],OUTPUT[ACT GR],$AJ36)</f>
        <v>10323</v>
      </c>
      <c r="AL36" s="2">
        <f t="shared" si="20"/>
        <v>0</v>
      </c>
      <c r="AM36" s="2">
        <f t="shared" si="21"/>
        <v>134</v>
      </c>
      <c r="AN36" s="2">
        <f t="shared" si="15"/>
        <v>134</v>
      </c>
      <c r="AO36" s="10">
        <f t="shared" si="22"/>
        <v>0.98718561728985366</v>
      </c>
    </row>
    <row r="37" spans="20:41">
      <c r="T37" s="7" t="s">
        <v>1484</v>
      </c>
      <c r="U37" s="2">
        <f>SUMIFS(HIGHEND[Lot Qty],HIGHEND[HE Group],$T37)</f>
        <v>5524</v>
      </c>
      <c r="V37" s="2">
        <f>SUMIFS(HIGHEND[Accept],HIGHEND[HE Group],$T37)</f>
        <v>5422</v>
      </c>
      <c r="W37" s="2">
        <f>SUMIFS(HIGHEND[Reject],HIGHEND[HE Group],$T37)</f>
        <v>102</v>
      </c>
      <c r="X37" s="9">
        <f t="shared" si="16"/>
        <v>0.9815351194786387</v>
      </c>
      <c r="Y37" s="2">
        <f>SUMIFS(LOWEND[Lot Qty],LOWEND[LE Group],$T37,LOWEND[Sampling/100%],"100")</f>
        <v>1491</v>
      </c>
      <c r="Z37" s="2">
        <f>SUMIFS(LOWEND[Accept],LOWEND[LE Group],$T37,LOWEND[Sampling/100%],"100")</f>
        <v>1459</v>
      </c>
      <c r="AA37" s="2">
        <f>SUMIFS(LOWEND[Reject],LOWEND[LE Group],$T37,LOWEND[Sampling/100%],"100")</f>
        <v>32</v>
      </c>
      <c r="AB37" s="9">
        <f t="shared" si="17"/>
        <v>0.97853789403085178</v>
      </c>
      <c r="AC37" s="9">
        <f t="shared" si="18"/>
        <v>0.98089807555238773</v>
      </c>
      <c r="AD37" s="2">
        <f>SUMIFS(LOWEND[Lot Qty],LOWEND[LE Group],$T37,LOWEND[Sampling/100%],"SAMPLING")</f>
        <v>152</v>
      </c>
      <c r="AE37" s="2">
        <f>SUMIFS(LOWEND[Lot Qty],LOWEND[LE Group],$T37,LOWEND[Verdict],"ACC",LOWEND[Sampling/100%],"SAMPLING")</f>
        <v>152</v>
      </c>
      <c r="AF37" s="2">
        <f>SUMIFS(LOWEND[Lot Qty],LOWEND[LE Group],$T37,LOWEND[Verdict],"REJ",LOWEND[Sampling/100%],"SAMPLING")</f>
        <v>0</v>
      </c>
      <c r="AG37" s="9">
        <f t="shared" si="19"/>
        <v>1</v>
      </c>
      <c r="AJ37" s="1" t="s">
        <v>595</v>
      </c>
      <c r="AK37" s="1">
        <f>SUM(AK24:AK36)</f>
        <v>485577</v>
      </c>
      <c r="AL37" s="1">
        <f>SUM(AL24:AL36)</f>
        <v>13328</v>
      </c>
      <c r="AM37" s="1">
        <f>SUM(AM24:AM36)</f>
        <v>8820</v>
      </c>
      <c r="AN37" s="1">
        <f>SUM(AN24:AN36)</f>
        <v>22148</v>
      </c>
      <c r="AO37" s="16">
        <f>+AK37/(AK37+AN37)</f>
        <v>0.9563779605101187</v>
      </c>
    </row>
    <row r="38" spans="20:41">
      <c r="T38" s="7" t="s">
        <v>595</v>
      </c>
      <c r="U38" s="2">
        <f>SUM(U25:U37)</f>
        <v>184464</v>
      </c>
      <c r="V38" s="2">
        <f>SUM(V25:V37)</f>
        <v>178667</v>
      </c>
      <c r="W38" s="2">
        <f>SUM(W25:W37)</f>
        <v>5797</v>
      </c>
      <c r="X38" s="9">
        <f>+V38/U38</f>
        <v>0.96857381386069907</v>
      </c>
      <c r="Y38" s="2">
        <f>SUM(Y25:Y37)</f>
        <v>63064</v>
      </c>
      <c r="Z38" s="2">
        <f>SUM(Z25:Z37)</f>
        <v>60041</v>
      </c>
      <c r="AA38" s="2">
        <f>SUM(AA25:AA37)</f>
        <v>3023</v>
      </c>
      <c r="AB38" s="9">
        <f>+Z38/Y38</f>
        <v>0.9520645693263986</v>
      </c>
      <c r="AC38" s="9">
        <f>+(Z38+V38)/(Y38+U38)</f>
        <v>0.9643676674962024</v>
      </c>
      <c r="AD38" s="2">
        <f>SUM(AD25:AD37)</f>
        <v>253499</v>
      </c>
      <c r="AE38" s="2">
        <f>SUM(AE25:AE37)</f>
        <v>240171</v>
      </c>
      <c r="AF38" s="2">
        <f>SUM(AF25:AF37)</f>
        <v>13328</v>
      </c>
      <c r="AG38" s="9">
        <f>+AE38/AD38</f>
        <v>0.94742385571540721</v>
      </c>
    </row>
    <row r="41" spans="20:41">
      <c r="T41" s="57" t="s">
        <v>1588</v>
      </c>
      <c r="U41" s="57"/>
      <c r="V41" s="57"/>
      <c r="W41" s="57"/>
      <c r="X41" s="57"/>
    </row>
    <row r="42" spans="20:41">
      <c r="T42" s="1" t="s">
        <v>597</v>
      </c>
      <c r="U42" s="1" t="s">
        <v>598</v>
      </c>
      <c r="V42" s="1" t="s">
        <v>599</v>
      </c>
      <c r="W42" s="1" t="s">
        <v>600</v>
      </c>
      <c r="X42" s="1" t="s">
        <v>601</v>
      </c>
    </row>
    <row r="43" spans="20:41">
      <c r="T43" s="2" t="s">
        <v>11</v>
      </c>
      <c r="U43" s="2">
        <f>SUM(LOWEND[CC Scratch/Dent])</f>
        <v>2076</v>
      </c>
      <c r="V43" s="2">
        <f t="shared" ref="V43:V68" si="23">+$U$69</f>
        <v>3990</v>
      </c>
      <c r="W43" s="10">
        <f t="shared" ref="W43:W68" si="24">+U43/V43</f>
        <v>0.52030075187969926</v>
      </c>
      <c r="X43" s="11">
        <f>+W43</f>
        <v>0.52030075187969926</v>
      </c>
    </row>
    <row r="44" spans="20:41">
      <c r="T44" s="2" t="s">
        <v>15</v>
      </c>
      <c r="U44" s="2">
        <f>SUM(LOWEND[Handling Stain])</f>
        <v>649</v>
      </c>
      <c r="V44" s="2">
        <f t="shared" si="23"/>
        <v>3990</v>
      </c>
      <c r="W44" s="10">
        <f t="shared" si="24"/>
        <v>0.16265664160401003</v>
      </c>
      <c r="X44" s="11">
        <f t="shared" ref="X44:X68" si="25">+X43+W44</f>
        <v>0.68295739348370932</v>
      </c>
    </row>
    <row r="45" spans="20:41">
      <c r="T45" s="2" t="s">
        <v>13</v>
      </c>
      <c r="U45" s="2">
        <f>SUM(LOWEND[Adhesive Overflow])</f>
        <v>230</v>
      </c>
      <c r="V45" s="2">
        <f t="shared" si="23"/>
        <v>3990</v>
      </c>
      <c r="W45" s="10">
        <f t="shared" si="24"/>
        <v>5.764411027568922E-2</v>
      </c>
      <c r="X45" s="11">
        <f t="shared" si="25"/>
        <v>0.74060150375939848</v>
      </c>
    </row>
    <row r="46" spans="20:41">
      <c r="T46" s="2" t="s">
        <v>12</v>
      </c>
      <c r="U46" s="2">
        <f>SUM(LOWEND[Adhesive gap/Bubbles])</f>
        <v>170</v>
      </c>
      <c r="V46" s="2">
        <f t="shared" si="23"/>
        <v>3990</v>
      </c>
      <c r="W46" s="10">
        <f t="shared" si="24"/>
        <v>4.2606516290726815E-2</v>
      </c>
      <c r="X46" s="11">
        <f t="shared" si="25"/>
        <v>0.78320802005012524</v>
      </c>
    </row>
    <row r="47" spans="20:41">
      <c r="T47" s="2" t="s">
        <v>17</v>
      </c>
      <c r="U47" s="2">
        <f>SUM(LOWEND[MG Inclination])</f>
        <v>133</v>
      </c>
      <c r="V47" s="2">
        <f t="shared" si="23"/>
        <v>3990</v>
      </c>
      <c r="W47" s="10">
        <f t="shared" si="24"/>
        <v>3.3333333333333333E-2</v>
      </c>
      <c r="X47" s="11">
        <f t="shared" si="25"/>
        <v>0.81654135338345857</v>
      </c>
    </row>
    <row r="48" spans="20:41">
      <c r="T48" s="2" t="s">
        <v>36</v>
      </c>
      <c r="U48" s="2">
        <f>SUM(LOWEND[Others])</f>
        <v>118</v>
      </c>
      <c r="V48" s="2">
        <f t="shared" si="23"/>
        <v>3990</v>
      </c>
      <c r="W48" s="10">
        <f t="shared" si="24"/>
        <v>2.9573934837092732E-2</v>
      </c>
      <c r="X48" s="11">
        <f t="shared" si="25"/>
        <v>0.84611528822055126</v>
      </c>
    </row>
    <row r="49" spans="20:24">
      <c r="T49" s="2" t="s">
        <v>19</v>
      </c>
      <c r="U49" s="2">
        <f>SUM(LOWEND[MG Projection])</f>
        <v>97</v>
      </c>
      <c r="V49" s="2">
        <f t="shared" si="23"/>
        <v>3990</v>
      </c>
      <c r="W49" s="10">
        <f t="shared" si="24"/>
        <v>2.431077694235589E-2</v>
      </c>
      <c r="X49" s="11">
        <f t="shared" si="25"/>
        <v>0.8704260651629071</v>
      </c>
    </row>
    <row r="50" spans="20:24">
      <c r="T50" s="2" t="s">
        <v>14</v>
      </c>
      <c r="U50" s="2">
        <f>SUM(LOWEND[Adhesive Thread/Dust])</f>
        <v>75</v>
      </c>
      <c r="V50" s="2">
        <f t="shared" si="23"/>
        <v>3990</v>
      </c>
      <c r="W50" s="10">
        <f t="shared" si="24"/>
        <v>1.8796992481203006E-2</v>
      </c>
      <c r="X50" s="11">
        <f t="shared" si="25"/>
        <v>0.88922305764411014</v>
      </c>
    </row>
    <row r="51" spans="20:24">
      <c r="T51" s="2" t="s">
        <v>30</v>
      </c>
      <c r="U51" s="2">
        <f>SUM(LOWEND[Plating Defects])</f>
        <v>69</v>
      </c>
      <c r="V51" s="2">
        <f t="shared" si="23"/>
        <v>3990</v>
      </c>
      <c r="W51" s="10">
        <f t="shared" si="24"/>
        <v>1.7293233082706767E-2</v>
      </c>
      <c r="X51" s="11">
        <f t="shared" si="25"/>
        <v>0.90651629072681694</v>
      </c>
    </row>
    <row r="52" spans="20:24">
      <c r="T52" s="2" t="s">
        <v>23</v>
      </c>
      <c r="U52" s="2">
        <f>SUM(LOWEND[Ring Gap/ Come out])</f>
        <v>66</v>
      </c>
      <c r="V52" s="2">
        <f t="shared" si="23"/>
        <v>3990</v>
      </c>
      <c r="W52" s="10">
        <f t="shared" si="24"/>
        <v>1.6541353383458645E-2</v>
      </c>
      <c r="X52" s="11">
        <f t="shared" si="25"/>
        <v>0.92305764411027558</v>
      </c>
    </row>
    <row r="53" spans="20:24">
      <c r="T53" s="2" t="s">
        <v>20</v>
      </c>
      <c r="U53" s="2">
        <f>SUM(LOWEND[MG Scratch/Dent])</f>
        <v>62</v>
      </c>
      <c r="V53" s="2">
        <f t="shared" si="23"/>
        <v>3990</v>
      </c>
      <c r="W53" s="10">
        <f t="shared" si="24"/>
        <v>1.5538847117794486E-2</v>
      </c>
      <c r="X53" s="11">
        <f t="shared" si="25"/>
        <v>0.9385964912280701</v>
      </c>
    </row>
    <row r="54" spans="20:24">
      <c r="T54" s="2" t="s">
        <v>32</v>
      </c>
      <c r="U54" s="2">
        <f>SUM(LOWEND[POL Defects])</f>
        <v>57</v>
      </c>
      <c r="V54" s="2">
        <f t="shared" si="23"/>
        <v>3990</v>
      </c>
      <c r="W54" s="10">
        <f t="shared" si="24"/>
        <v>1.4285714285714285E-2</v>
      </c>
      <c r="X54" s="11">
        <f t="shared" si="25"/>
        <v>0.95288220551378433</v>
      </c>
    </row>
    <row r="55" spans="20:24">
      <c r="T55" s="2" t="s">
        <v>21</v>
      </c>
      <c r="U55" s="2">
        <f>SUM(LOWEND[MGG Buldge])</f>
        <v>41</v>
      </c>
      <c r="V55" s="2">
        <f t="shared" si="23"/>
        <v>3990</v>
      </c>
      <c r="W55" s="10">
        <f t="shared" si="24"/>
        <v>1.0275689223057645E-2</v>
      </c>
      <c r="X55" s="11">
        <f t="shared" si="25"/>
        <v>0.96315789473684199</v>
      </c>
    </row>
    <row r="56" spans="20:24">
      <c r="T56" s="2" t="s">
        <v>28</v>
      </c>
      <c r="U56" s="2">
        <f>SUM(LOWEND[Operation Miss])</f>
        <v>27</v>
      </c>
      <c r="V56" s="2">
        <f t="shared" si="23"/>
        <v>3990</v>
      </c>
      <c r="W56" s="10">
        <f t="shared" si="24"/>
        <v>6.7669172932330827E-3</v>
      </c>
      <c r="X56" s="11">
        <f t="shared" si="25"/>
        <v>0.96992481203007508</v>
      </c>
    </row>
    <row r="57" spans="20:24">
      <c r="T57" s="2" t="s">
        <v>29</v>
      </c>
      <c r="U57" s="2">
        <f>SUM(LOWEND[CP Defect])</f>
        <v>26</v>
      </c>
      <c r="V57" s="2">
        <f t="shared" si="23"/>
        <v>3990</v>
      </c>
      <c r="W57" s="10">
        <f t="shared" si="24"/>
        <v>6.5162907268170424E-3</v>
      </c>
      <c r="X57" s="11">
        <f t="shared" si="25"/>
        <v>0.97644110275689211</v>
      </c>
    </row>
    <row r="58" spans="20:24">
      <c r="T58" s="2" t="s">
        <v>16</v>
      </c>
      <c r="U58" s="2">
        <f>SUM(LOWEND[MG Cloudy stain])</f>
        <v>23</v>
      </c>
      <c r="V58" s="2">
        <f t="shared" si="23"/>
        <v>3990</v>
      </c>
      <c r="W58" s="10">
        <f t="shared" si="24"/>
        <v>5.7644110275689225E-3</v>
      </c>
      <c r="X58" s="11">
        <f t="shared" si="25"/>
        <v>0.98220551378446108</v>
      </c>
    </row>
    <row r="59" spans="20:24">
      <c r="T59" s="2" t="s">
        <v>26</v>
      </c>
      <c r="U59" s="2">
        <f>SUM(LOWEND[PB Defect])</f>
        <v>21</v>
      </c>
      <c r="V59" s="2">
        <f t="shared" si="23"/>
        <v>3990</v>
      </c>
      <c r="W59" s="10">
        <f t="shared" si="24"/>
        <v>5.263157894736842E-3</v>
      </c>
      <c r="X59" s="11">
        <f t="shared" si="25"/>
        <v>0.98746867167919794</v>
      </c>
    </row>
    <row r="60" spans="20:24">
      <c r="T60" s="2" t="s">
        <v>24</v>
      </c>
      <c r="U60" s="2">
        <f>SUM(LOWEND[Ring Stain])</f>
        <v>15</v>
      </c>
      <c r="V60" s="2">
        <f t="shared" si="23"/>
        <v>3990</v>
      </c>
      <c r="W60" s="10">
        <f t="shared" si="24"/>
        <v>3.7593984962406013E-3</v>
      </c>
      <c r="X60" s="11">
        <f t="shared" si="25"/>
        <v>0.99122807017543857</v>
      </c>
    </row>
    <row r="61" spans="20:24">
      <c r="T61" s="2" t="s">
        <v>22</v>
      </c>
      <c r="U61" s="2">
        <f>SUM(LOWEND[Ring Dust])</f>
        <v>14</v>
      </c>
      <c r="V61" s="2">
        <f t="shared" si="23"/>
        <v>3990</v>
      </c>
      <c r="W61" s="10">
        <f t="shared" si="24"/>
        <v>3.5087719298245615E-3</v>
      </c>
      <c r="X61" s="11">
        <f t="shared" si="25"/>
        <v>0.99473684210526314</v>
      </c>
    </row>
    <row r="62" spans="20:24">
      <c r="T62" s="2" t="s">
        <v>27</v>
      </c>
      <c r="U62" s="2">
        <f>SUM(LOWEND[PB Gap])</f>
        <v>9</v>
      </c>
      <c r="V62" s="2">
        <f t="shared" si="23"/>
        <v>3990</v>
      </c>
      <c r="W62" s="10">
        <f t="shared" si="24"/>
        <v>2.255639097744361E-3</v>
      </c>
      <c r="X62" s="11">
        <f t="shared" si="25"/>
        <v>0.99699248120300754</v>
      </c>
    </row>
    <row r="63" spans="20:24">
      <c r="T63" s="2" t="s">
        <v>33</v>
      </c>
      <c r="U63" s="2">
        <f>SUM(LOWEND[Version Mix up])</f>
        <v>4</v>
      </c>
      <c r="V63" s="2">
        <f t="shared" si="23"/>
        <v>3990</v>
      </c>
      <c r="W63" s="10">
        <f t="shared" si="24"/>
        <v>1.0025062656641604E-3</v>
      </c>
      <c r="X63" s="11">
        <f t="shared" si="25"/>
        <v>0.99799498746867166</v>
      </c>
    </row>
    <row r="64" spans="20:24">
      <c r="T64" s="2" t="s">
        <v>18</v>
      </c>
      <c r="U64" s="2">
        <f>SUM(LOWEND[MG peel off])</f>
        <v>4</v>
      </c>
      <c r="V64" s="2">
        <f t="shared" si="23"/>
        <v>3990</v>
      </c>
      <c r="W64" s="10">
        <f t="shared" si="24"/>
        <v>1.0025062656641604E-3</v>
      </c>
      <c r="X64" s="11">
        <f t="shared" si="25"/>
        <v>0.99899749373433577</v>
      </c>
    </row>
    <row r="65" spans="20:28">
      <c r="T65" s="2" t="s">
        <v>31</v>
      </c>
      <c r="U65" s="2">
        <f>SUM(LOWEND[Plating Peel off])</f>
        <v>3</v>
      </c>
      <c r="V65" s="2">
        <f t="shared" si="23"/>
        <v>3990</v>
      </c>
      <c r="W65" s="10">
        <f t="shared" si="24"/>
        <v>7.5187969924812035E-4</v>
      </c>
      <c r="X65" s="11">
        <f t="shared" si="25"/>
        <v>0.99974937343358394</v>
      </c>
    </row>
    <row r="66" spans="20:28">
      <c r="T66" s="2" t="s">
        <v>25</v>
      </c>
      <c r="U66" s="2">
        <f>SUM(LOWEND[PB Come out])</f>
        <v>1</v>
      </c>
      <c r="V66" s="2">
        <f t="shared" si="23"/>
        <v>3990</v>
      </c>
      <c r="W66" s="10">
        <f t="shared" si="24"/>
        <v>2.506265664160401E-4</v>
      </c>
      <c r="X66" s="11">
        <f t="shared" si="25"/>
        <v>1</v>
      </c>
    </row>
    <row r="67" spans="20:28">
      <c r="T67" s="2" t="s">
        <v>34</v>
      </c>
      <c r="U67" s="2">
        <f>SUM(LOWEND[BC Butting Damage])</f>
        <v>0</v>
      </c>
      <c r="V67" s="2">
        <f t="shared" si="23"/>
        <v>3990</v>
      </c>
      <c r="W67" s="10">
        <f t="shared" si="24"/>
        <v>0</v>
      </c>
      <c r="X67" s="11">
        <f t="shared" si="25"/>
        <v>1</v>
      </c>
    </row>
    <row r="68" spans="20:28">
      <c r="T68" s="2" t="s">
        <v>35</v>
      </c>
      <c r="U68" s="2">
        <f>SUM(LOWEND[BC Defect])</f>
        <v>0</v>
      </c>
      <c r="V68" s="2">
        <f t="shared" si="23"/>
        <v>3990</v>
      </c>
      <c r="W68" s="10">
        <f t="shared" si="24"/>
        <v>0</v>
      </c>
      <c r="X68" s="11">
        <f t="shared" si="25"/>
        <v>1</v>
      </c>
    </row>
    <row r="69" spans="20:28">
      <c r="U69">
        <f>SUM(U43:U68)</f>
        <v>3990</v>
      </c>
    </row>
    <row r="72" spans="20:28">
      <c r="T72" s="58" t="s">
        <v>1587</v>
      </c>
      <c r="U72" s="58"/>
      <c r="V72" s="58"/>
      <c r="W72" s="58"/>
      <c r="X72" s="58"/>
    </row>
    <row r="73" spans="20:28">
      <c r="T73" s="1" t="s">
        <v>597</v>
      </c>
      <c r="U73" s="1" t="s">
        <v>598</v>
      </c>
      <c r="V73" s="1" t="s">
        <v>599</v>
      </c>
      <c r="W73" s="1" t="s">
        <v>600</v>
      </c>
      <c r="X73" s="1" t="s">
        <v>601</v>
      </c>
      <c r="AA73" s="43" t="str" cm="1">
        <f t="array" ref="AA73:AB98">_xlfn.SORTBY(T74:U99,U74:U99,-1)</f>
        <v>CC Scratch/Dent</v>
      </c>
      <c r="AB73" s="43">
        <v>2718</v>
      </c>
    </row>
    <row r="74" spans="20:28">
      <c r="T74" s="2" t="s">
        <v>11</v>
      </c>
      <c r="U74" s="2">
        <f>SUM(HIGHEND[CC Scratch/Dent])</f>
        <v>2718</v>
      </c>
      <c r="V74" s="2">
        <f t="shared" ref="V74:V99" si="26">SUM($U$74:$U$99)</f>
        <v>5797</v>
      </c>
      <c r="W74" s="10">
        <f t="shared" ref="W74:W99" si="27">+U74/V74</f>
        <v>0.46886320510608936</v>
      </c>
      <c r="X74" s="11">
        <f>+W74</f>
        <v>0.46886320510608936</v>
      </c>
      <c r="AA74" s="43" t="str">
        <v>Handling Stain</v>
      </c>
      <c r="AB74" s="43">
        <v>737</v>
      </c>
    </row>
    <row r="75" spans="20:28">
      <c r="T75" s="2" t="s">
        <v>15</v>
      </c>
      <c r="U75" s="2">
        <f>SUM(HIGHEND[Handling Stain])</f>
        <v>737</v>
      </c>
      <c r="V75" s="2">
        <f t="shared" si="26"/>
        <v>5797</v>
      </c>
      <c r="W75" s="10">
        <f t="shared" si="27"/>
        <v>0.12713472485768501</v>
      </c>
      <c r="X75" s="11">
        <f t="shared" ref="X75:X99" si="28">+X74+W75</f>
        <v>0.59599792996377432</v>
      </c>
      <c r="AA75" s="43" t="str">
        <v>Adhesive Overflow</v>
      </c>
      <c r="AB75" s="43">
        <v>628</v>
      </c>
    </row>
    <row r="76" spans="20:28">
      <c r="T76" s="2" t="s">
        <v>13</v>
      </c>
      <c r="U76" s="2">
        <f>SUM(HIGHEND[Adhesive Overflow])</f>
        <v>628</v>
      </c>
      <c r="V76" s="2">
        <f t="shared" si="26"/>
        <v>5797</v>
      </c>
      <c r="W76" s="10">
        <f t="shared" si="27"/>
        <v>0.10833189580817665</v>
      </c>
      <c r="X76" s="11">
        <f t="shared" si="28"/>
        <v>0.70432982577195102</v>
      </c>
      <c r="AA76" s="43" t="str">
        <v>MG Inclination</v>
      </c>
      <c r="AB76" s="43">
        <v>396</v>
      </c>
    </row>
    <row r="77" spans="20:28">
      <c r="T77" s="2" t="s">
        <v>17</v>
      </c>
      <c r="U77" s="2">
        <f>SUM(HIGHEND[MG Inclination])</f>
        <v>396</v>
      </c>
      <c r="V77" s="2">
        <f t="shared" si="26"/>
        <v>5797</v>
      </c>
      <c r="W77" s="10">
        <f t="shared" si="27"/>
        <v>6.8311195445920306E-2</v>
      </c>
      <c r="X77" s="11">
        <f t="shared" si="28"/>
        <v>0.77264102121787137</v>
      </c>
      <c r="AA77" s="43" t="str">
        <v>Adhesive gap/Bubbles</v>
      </c>
      <c r="AB77" s="43">
        <v>361</v>
      </c>
    </row>
    <row r="78" spans="20:28">
      <c r="T78" s="2" t="s">
        <v>12</v>
      </c>
      <c r="U78" s="2">
        <f>SUM(HIGHEND[Adhesive gap/Bubbles])</f>
        <v>361</v>
      </c>
      <c r="V78" s="2">
        <f t="shared" si="26"/>
        <v>5797</v>
      </c>
      <c r="W78" s="10">
        <f t="shared" si="27"/>
        <v>6.2273589787821285E-2</v>
      </c>
      <c r="X78" s="11">
        <f t="shared" si="28"/>
        <v>0.83491461100569264</v>
      </c>
      <c r="AA78" s="43" t="str">
        <v>MG Projection</v>
      </c>
      <c r="AB78" s="43">
        <v>144</v>
      </c>
    </row>
    <row r="79" spans="20:28">
      <c r="T79" s="2" t="s">
        <v>19</v>
      </c>
      <c r="U79" s="2">
        <f>SUM(HIGHEND[MG Projection])</f>
        <v>144</v>
      </c>
      <c r="V79" s="2">
        <f t="shared" si="26"/>
        <v>5797</v>
      </c>
      <c r="W79" s="10">
        <f t="shared" si="27"/>
        <v>2.4840434707607384E-2</v>
      </c>
      <c r="X79" s="11">
        <f t="shared" si="28"/>
        <v>0.85975504571330008</v>
      </c>
      <c r="AA79" s="43" t="str">
        <v>Plating Defects</v>
      </c>
      <c r="AB79" s="43">
        <v>119</v>
      </c>
    </row>
    <row r="80" spans="20:28">
      <c r="T80" s="2" t="s">
        <v>30</v>
      </c>
      <c r="U80" s="2">
        <f>SUM(HIGHEND[Plating Defects])</f>
        <v>119</v>
      </c>
      <c r="V80" s="2">
        <f t="shared" si="26"/>
        <v>5797</v>
      </c>
      <c r="W80" s="10">
        <f t="shared" si="27"/>
        <v>2.0527859237536656E-2</v>
      </c>
      <c r="X80" s="11">
        <f t="shared" si="28"/>
        <v>0.88028290495083672</v>
      </c>
      <c r="AA80" s="43" t="str">
        <v>Others</v>
      </c>
      <c r="AB80" s="43">
        <v>106</v>
      </c>
    </row>
    <row r="81" spans="20:28">
      <c r="T81" s="2" t="s">
        <v>36</v>
      </c>
      <c r="U81" s="2">
        <f>SUM(HIGHEND[Others])</f>
        <v>106</v>
      </c>
      <c r="V81" s="2">
        <f t="shared" si="26"/>
        <v>5797</v>
      </c>
      <c r="W81" s="10">
        <f t="shared" si="27"/>
        <v>1.8285319993099878E-2</v>
      </c>
      <c r="X81" s="11">
        <f t="shared" si="28"/>
        <v>0.89856822494393662</v>
      </c>
      <c r="AA81" s="43" t="str">
        <v>CP Defect</v>
      </c>
      <c r="AB81" s="43">
        <v>85</v>
      </c>
    </row>
    <row r="82" spans="20:28">
      <c r="T82" s="2" t="s">
        <v>29</v>
      </c>
      <c r="U82" s="2">
        <f>SUM(HIGHEND[CP Defect])</f>
        <v>85</v>
      </c>
      <c r="V82" s="2">
        <f t="shared" si="26"/>
        <v>5797</v>
      </c>
      <c r="W82" s="10">
        <f t="shared" si="27"/>
        <v>1.466275659824047E-2</v>
      </c>
      <c r="X82" s="11">
        <f t="shared" si="28"/>
        <v>0.91323098154217708</v>
      </c>
      <c r="AA82" s="43" t="str">
        <v>MG Scratch/Dent</v>
      </c>
      <c r="AB82" s="43">
        <v>74</v>
      </c>
    </row>
    <row r="83" spans="20:28">
      <c r="T83" s="2" t="s">
        <v>20</v>
      </c>
      <c r="U83" s="2">
        <f>SUM(HIGHEND[MG Scratch/Dent])</f>
        <v>74</v>
      </c>
      <c r="V83" s="2">
        <f t="shared" si="26"/>
        <v>5797</v>
      </c>
      <c r="W83" s="10">
        <f t="shared" si="27"/>
        <v>1.276522339140935E-2</v>
      </c>
      <c r="X83" s="11">
        <f t="shared" si="28"/>
        <v>0.92599620493358648</v>
      </c>
      <c r="AA83" s="43" t="str">
        <v>POL Defects</v>
      </c>
      <c r="AB83" s="43">
        <v>72</v>
      </c>
    </row>
    <row r="84" spans="20:28">
      <c r="T84" s="2" t="s">
        <v>32</v>
      </c>
      <c r="U84" s="2">
        <f>SUM(HIGHEND[POL Defects])</f>
        <v>72</v>
      </c>
      <c r="V84" s="2">
        <f t="shared" si="26"/>
        <v>5797</v>
      </c>
      <c r="W84" s="10">
        <f t="shared" si="27"/>
        <v>1.2420217353803692E-2</v>
      </c>
      <c r="X84" s="11">
        <f t="shared" si="28"/>
        <v>0.9384164222873902</v>
      </c>
      <c r="AA84" s="43" t="str">
        <v>Operation Miss</v>
      </c>
      <c r="AB84" s="43">
        <v>62</v>
      </c>
    </row>
    <row r="85" spans="20:28">
      <c r="T85" s="2" t="s">
        <v>28</v>
      </c>
      <c r="U85" s="2">
        <f>SUM(HIGHEND[Operation Miss])</f>
        <v>62</v>
      </c>
      <c r="V85" s="2">
        <f t="shared" si="26"/>
        <v>5797</v>
      </c>
      <c r="W85" s="10">
        <f t="shared" si="27"/>
        <v>1.06951871657754E-2</v>
      </c>
      <c r="X85" s="11">
        <f t="shared" si="28"/>
        <v>0.94911160945316564</v>
      </c>
      <c r="AA85" s="43" t="str">
        <v>MGG Buldge</v>
      </c>
      <c r="AB85" s="43">
        <v>53</v>
      </c>
    </row>
    <row r="86" spans="20:28">
      <c r="T86" s="2" t="s">
        <v>21</v>
      </c>
      <c r="U86" s="2">
        <f>SUM(HIGHEND[MGG Buldge])</f>
        <v>53</v>
      </c>
      <c r="V86" s="2">
        <f t="shared" si="26"/>
        <v>5797</v>
      </c>
      <c r="W86" s="10">
        <f t="shared" si="27"/>
        <v>9.142659996549939E-3</v>
      </c>
      <c r="X86" s="11">
        <f t="shared" si="28"/>
        <v>0.95825426944971559</v>
      </c>
      <c r="AA86" s="43" t="str">
        <v>Ring Dust</v>
      </c>
      <c r="AB86" s="43">
        <v>53</v>
      </c>
    </row>
    <row r="87" spans="20:28">
      <c r="T87" s="2" t="s">
        <v>22</v>
      </c>
      <c r="U87" s="2">
        <f>SUM(HIGHEND[Ring Dust])</f>
        <v>53</v>
      </c>
      <c r="V87" s="2">
        <f t="shared" si="26"/>
        <v>5797</v>
      </c>
      <c r="W87" s="10">
        <f t="shared" si="27"/>
        <v>9.142659996549939E-3</v>
      </c>
      <c r="X87" s="11">
        <f t="shared" si="28"/>
        <v>0.96739692944626554</v>
      </c>
      <c r="AA87" s="43" t="str">
        <v>MG Cloudy stain</v>
      </c>
      <c r="AB87" s="43">
        <v>45</v>
      </c>
    </row>
    <row r="88" spans="20:28">
      <c r="T88" s="2" t="s">
        <v>16</v>
      </c>
      <c r="U88" s="2">
        <f>SUM(HIGHEND[MG Cloudy stain])</f>
        <v>45</v>
      </c>
      <c r="V88" s="2">
        <f t="shared" si="26"/>
        <v>5797</v>
      </c>
      <c r="W88" s="10">
        <f t="shared" si="27"/>
        <v>7.7626358461273075E-3</v>
      </c>
      <c r="X88" s="11">
        <f t="shared" si="28"/>
        <v>0.97515956529239289</v>
      </c>
      <c r="AA88" s="43" t="str">
        <v>PB Defect</v>
      </c>
      <c r="AB88" s="43">
        <v>39</v>
      </c>
    </row>
    <row r="89" spans="20:28">
      <c r="T89" s="2" t="s">
        <v>26</v>
      </c>
      <c r="U89" s="2">
        <f>SUM(HIGHEND[PB Defect])</f>
        <v>39</v>
      </c>
      <c r="V89" s="2">
        <f t="shared" si="26"/>
        <v>5797</v>
      </c>
      <c r="W89" s="10">
        <f t="shared" si="27"/>
        <v>6.7276177333103326E-3</v>
      </c>
      <c r="X89" s="11">
        <f t="shared" si="28"/>
        <v>0.98188718302570321</v>
      </c>
      <c r="AA89" s="43" t="str">
        <v>Adhesive Thread/Dust</v>
      </c>
      <c r="AB89" s="43">
        <v>30</v>
      </c>
    </row>
    <row r="90" spans="20:28">
      <c r="T90" s="2" t="s">
        <v>14</v>
      </c>
      <c r="U90" s="2">
        <f>SUM(HIGHEND[Adhesive Thread/Dust])</f>
        <v>30</v>
      </c>
      <c r="V90" s="2">
        <f t="shared" si="26"/>
        <v>5797</v>
      </c>
      <c r="W90" s="10">
        <f t="shared" si="27"/>
        <v>5.1750905640848711E-3</v>
      </c>
      <c r="X90" s="11">
        <f t="shared" si="28"/>
        <v>0.98706227358978804</v>
      </c>
      <c r="AA90" s="43" t="str">
        <v>Ring Gap/ Come out</v>
      </c>
      <c r="AB90" s="43">
        <v>19</v>
      </c>
    </row>
    <row r="91" spans="20:28">
      <c r="T91" s="2" t="s">
        <v>23</v>
      </c>
      <c r="U91" s="2">
        <f>SUM(HIGHEND[Ring Gap/ Come out])</f>
        <v>19</v>
      </c>
      <c r="V91" s="2">
        <f t="shared" si="26"/>
        <v>5797</v>
      </c>
      <c r="W91" s="10">
        <f t="shared" si="27"/>
        <v>3.2775573572537521E-3</v>
      </c>
      <c r="X91" s="11">
        <f t="shared" si="28"/>
        <v>0.99033983094704181</v>
      </c>
      <c r="AA91" s="43" t="str">
        <v>Ring Stain</v>
      </c>
      <c r="AB91" s="43">
        <v>18</v>
      </c>
    </row>
    <row r="92" spans="20:28">
      <c r="T92" s="2" t="s">
        <v>24</v>
      </c>
      <c r="U92" s="2">
        <f>SUM(HIGHEND[Ring Stain])</f>
        <v>18</v>
      </c>
      <c r="V92" s="2">
        <f t="shared" si="26"/>
        <v>5797</v>
      </c>
      <c r="W92" s="10">
        <f t="shared" si="27"/>
        <v>3.105054338450923E-3</v>
      </c>
      <c r="X92" s="11">
        <f t="shared" si="28"/>
        <v>0.99344488528549268</v>
      </c>
      <c r="AA92" s="43" t="str">
        <v>Plating Peel off</v>
      </c>
      <c r="AB92" s="43">
        <v>17</v>
      </c>
    </row>
    <row r="93" spans="20:28">
      <c r="T93" s="2" t="s">
        <v>31</v>
      </c>
      <c r="U93" s="2">
        <f>SUM(HIGHEND[Plating Peel off])</f>
        <v>17</v>
      </c>
      <c r="V93" s="2">
        <f t="shared" si="26"/>
        <v>5797</v>
      </c>
      <c r="W93" s="10">
        <f t="shared" si="27"/>
        <v>2.9325513196480938E-3</v>
      </c>
      <c r="X93" s="11">
        <f t="shared" si="28"/>
        <v>0.99637743660514078</v>
      </c>
      <c r="AA93" s="43" t="str">
        <v>PB Gap</v>
      </c>
      <c r="AB93" s="43">
        <v>13</v>
      </c>
    </row>
    <row r="94" spans="20:28">
      <c r="T94" s="2" t="s">
        <v>27</v>
      </c>
      <c r="U94" s="2">
        <f>SUM(HIGHEND[PB Gap])</f>
        <v>13</v>
      </c>
      <c r="V94" s="2">
        <f t="shared" si="26"/>
        <v>5797</v>
      </c>
      <c r="W94" s="10">
        <f t="shared" si="27"/>
        <v>2.2425392444367777E-3</v>
      </c>
      <c r="X94" s="11">
        <f t="shared" si="28"/>
        <v>0.99861997584957751</v>
      </c>
      <c r="AA94" s="43" t="str">
        <v>PB Come out</v>
      </c>
      <c r="AB94" s="43">
        <v>3</v>
      </c>
    </row>
    <row r="95" spans="20:28">
      <c r="T95" s="2" t="s">
        <v>25</v>
      </c>
      <c r="U95" s="2">
        <f>SUM(HIGHEND[PB Come out])</f>
        <v>3</v>
      </c>
      <c r="V95" s="2">
        <f t="shared" si="26"/>
        <v>5797</v>
      </c>
      <c r="W95" s="10">
        <f t="shared" si="27"/>
        <v>5.1750905640848713E-4</v>
      </c>
      <c r="X95" s="11">
        <f t="shared" si="28"/>
        <v>0.99913748490598597</v>
      </c>
      <c r="AA95" s="43" t="str">
        <v>BC Defect</v>
      </c>
      <c r="AB95" s="43">
        <v>2</v>
      </c>
    </row>
    <row r="96" spans="20:28">
      <c r="T96" s="2" t="s">
        <v>35</v>
      </c>
      <c r="U96" s="2">
        <f>SUM(HIGHEND[BC Defect])</f>
        <v>2</v>
      </c>
      <c r="V96" s="2">
        <f t="shared" si="26"/>
        <v>5797</v>
      </c>
      <c r="W96" s="10">
        <f t="shared" si="27"/>
        <v>3.4500603760565809E-4</v>
      </c>
      <c r="X96" s="11">
        <f t="shared" si="28"/>
        <v>0.99948249094359165</v>
      </c>
      <c r="AA96" s="43" t="str">
        <v>Version Mix up</v>
      </c>
      <c r="AB96" s="43">
        <v>2</v>
      </c>
    </row>
    <row r="97" spans="20:28">
      <c r="T97" s="2" t="s">
        <v>33</v>
      </c>
      <c r="U97" s="2">
        <f>SUM(HIGHEND[Version Mix up])</f>
        <v>2</v>
      </c>
      <c r="V97" s="2">
        <f t="shared" si="26"/>
        <v>5797</v>
      </c>
      <c r="W97" s="10">
        <f t="shared" si="27"/>
        <v>3.4500603760565809E-4</v>
      </c>
      <c r="X97" s="11">
        <f t="shared" si="28"/>
        <v>0.99982749698119733</v>
      </c>
      <c r="AA97" s="43" t="str">
        <v>MG peel off</v>
      </c>
      <c r="AB97" s="43">
        <v>1</v>
      </c>
    </row>
    <row r="98" spans="20:28">
      <c r="T98" s="2" t="s">
        <v>18</v>
      </c>
      <c r="U98" s="2">
        <f>SUM(HIGHEND[MG peel off])</f>
        <v>1</v>
      </c>
      <c r="V98" s="2">
        <f t="shared" si="26"/>
        <v>5797</v>
      </c>
      <c r="W98" s="10">
        <f t="shared" si="27"/>
        <v>1.7250301880282904E-4</v>
      </c>
      <c r="X98" s="11">
        <f t="shared" si="28"/>
        <v>1.0000000000000002</v>
      </c>
      <c r="AA98" s="43" t="str">
        <v>BC Butting Damage</v>
      </c>
      <c r="AB98" s="43">
        <v>0</v>
      </c>
    </row>
    <row r="99" spans="20:28">
      <c r="T99" s="2" t="s">
        <v>34</v>
      </c>
      <c r="U99" s="2">
        <f>SUM(HIGHEND[BC Butting Damage])</f>
        <v>0</v>
      </c>
      <c r="V99" s="2">
        <f t="shared" si="26"/>
        <v>5797</v>
      </c>
      <c r="W99" s="10">
        <f t="shared" si="27"/>
        <v>0</v>
      </c>
      <c r="X99" s="11">
        <f t="shared" si="28"/>
        <v>1.0000000000000002</v>
      </c>
    </row>
    <row r="100" spans="20:28">
      <c r="T100" s="45" t="s">
        <v>1354</v>
      </c>
      <c r="U100">
        <f>SUM(U74:U99)</f>
        <v>5797</v>
      </c>
    </row>
  </sheetData>
  <sortState ref="T74:X99">
    <sortCondition descending="1" ref="U74:U99"/>
  </sortState>
  <mergeCells count="16">
    <mergeCell ref="T41:X41"/>
    <mergeCell ref="T72:X72"/>
    <mergeCell ref="T22:AC22"/>
    <mergeCell ref="AD22:AG22"/>
    <mergeCell ref="U23:X23"/>
    <mergeCell ref="Y23:AB23"/>
    <mergeCell ref="AC23:AC24"/>
    <mergeCell ref="AD23:AG23"/>
    <mergeCell ref="AJ3:AO3"/>
    <mergeCell ref="AJ22:AO22"/>
    <mergeCell ref="U4:X4"/>
    <mergeCell ref="Y4:AB4"/>
    <mergeCell ref="AD3:AG3"/>
    <mergeCell ref="AD4:AG4"/>
    <mergeCell ref="T3:AC3"/>
    <mergeCell ref="AC4:AC5"/>
  </mergeCells>
  <pageMargins left="0.7" right="0.7" top="0.75" bottom="0.75" header="0.3" footer="0.3"/>
  <pageSetup paperSize="9" orientation="portrait" verticalDpi="0" r:id="rId1"/>
  <headerFooter>
    <oddFooter>&amp;L_x000D_&amp;1#&amp;"Calibri"&amp;8&amp;K000000 Sensitivity: Internal</oddFooter>
  </headerFooter>
  <ignoredErrors>
    <ignoredError sqref="X3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71FD-0E82-4C48-BE71-2A683B9832B0}">
  <dimension ref="A1"/>
  <sheetViews>
    <sheetView workbookViewId="0">
      <selection activeCell="D3" sqref="D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37E3-5477-46B6-A223-A95BDD57A1CA}">
  <dimension ref="B2:H18"/>
  <sheetViews>
    <sheetView topLeftCell="A7" workbookViewId="0">
      <selection activeCell="F23" sqref="F23"/>
    </sheetView>
  </sheetViews>
  <sheetFormatPr defaultRowHeight="15"/>
  <cols>
    <col min="3" max="3" width="10" customWidth="1"/>
  </cols>
  <sheetData>
    <row r="2" spans="2:8" ht="15.75" thickBot="1"/>
    <row r="3" spans="2:8">
      <c r="B3" s="63" t="s">
        <v>1355</v>
      </c>
      <c r="C3" s="64"/>
      <c r="D3" s="64"/>
      <c r="E3" s="64"/>
      <c r="F3" s="64"/>
      <c r="G3" s="64"/>
      <c r="H3" s="65"/>
    </row>
    <row r="4" spans="2:8">
      <c r="B4" s="66" t="s">
        <v>1</v>
      </c>
      <c r="C4" s="46" t="s">
        <v>596</v>
      </c>
      <c r="D4" s="46" t="s">
        <v>1177</v>
      </c>
      <c r="E4" s="46" t="s">
        <v>1178</v>
      </c>
      <c r="F4" s="46" t="s">
        <v>1179</v>
      </c>
      <c r="G4" s="46" t="s">
        <v>1180</v>
      </c>
      <c r="H4" s="67" t="s">
        <v>589</v>
      </c>
    </row>
    <row r="5" spans="2:8">
      <c r="B5" s="68">
        <v>46113</v>
      </c>
      <c r="C5" s="62" t="s">
        <v>97</v>
      </c>
      <c r="D5" s="62">
        <f>SUMIFS(OUTPUT[ACC],OUTPUT[MONTH],$B$5,OUTPUT[ACT GR],$C5)</f>
        <v>22346</v>
      </c>
      <c r="E5" s="62">
        <f>SUMIFS(LOWEND[Lot Qty],LOWEND[LE Group],$C5,LOWEND[Sampling/100%],"Sampling",LOWEND[Month],$B$5,LOWEND[Verdict],"Rej")</f>
        <v>0</v>
      </c>
      <c r="F5" s="62">
        <f>SUMIFS(HIGHEND[Reject],HIGHEND[Month],$B$5,HIGHEND[HE Group],$C5)+SUMIFS(LOWEND[Reject],LOWEND[Month],$B$5,LOWEND[LE Group],$C5,LOWEND[Sampling/100%],"100")</f>
        <v>558</v>
      </c>
      <c r="G5" s="62">
        <f>E5+F5</f>
        <v>558</v>
      </c>
      <c r="H5" s="69">
        <f>+D5/(D5+G5)</f>
        <v>0.97563744324135526</v>
      </c>
    </row>
    <row r="6" spans="2:8">
      <c r="B6" s="70"/>
      <c r="C6" s="62" t="s">
        <v>160</v>
      </c>
      <c r="D6" s="62">
        <f>SUMIFS(OUTPUT[ACC],OUTPUT[MONTH],$B$5,OUTPUT[ACT GR],$C6)</f>
        <v>27094</v>
      </c>
      <c r="E6" s="62">
        <f>SUMIFS(LOWEND[Lot Qty],LOWEND[LE Group],$C6,LOWEND[Sampling/100%],"Sampling",LOWEND[Month],$B$5,LOWEND[Verdict],"Rej")</f>
        <v>2708</v>
      </c>
      <c r="F6" s="62">
        <f>SUMIFS(HIGHEND[Reject],HIGHEND[Month],$B$5,HIGHEND[HE Group],$C6)+SUMIFS(LOWEND[Reject],LOWEND[Month],$B$5,LOWEND[LE Group],$C6,LOWEND[Sampling/100%],"100")</f>
        <v>1359</v>
      </c>
      <c r="G6" s="62">
        <f t="shared" ref="G6:G17" si="0">E6+F6</f>
        <v>4067</v>
      </c>
      <c r="H6" s="69">
        <f t="shared" ref="H6:H17" si="1">+D6/(D6+G6)</f>
        <v>0.86948429126151283</v>
      </c>
    </row>
    <row r="7" spans="2:8">
      <c r="B7" s="70"/>
      <c r="C7" s="62" t="s">
        <v>114</v>
      </c>
      <c r="D7" s="62">
        <f>SUMIFS(OUTPUT[ACC],OUTPUT[MONTH],$B$5,OUTPUT[ACT GR],$C7)</f>
        <v>28758</v>
      </c>
      <c r="E7" s="62">
        <f>SUMIFS(LOWEND[Lot Qty],LOWEND[LE Group],$C7,LOWEND[Sampling/100%],"Sampling",LOWEND[Month],$B$5,LOWEND[Verdict],"Rej")</f>
        <v>543</v>
      </c>
      <c r="F7" s="62">
        <f>SUMIFS(HIGHEND[Reject],HIGHEND[Month],$B$5,HIGHEND[HE Group],$C7)+SUMIFS(LOWEND[Reject],LOWEND[Month],$B$5,LOWEND[LE Group],$C7,LOWEND[Sampling/100%],"100")</f>
        <v>855</v>
      </c>
      <c r="G7" s="62">
        <f t="shared" si="0"/>
        <v>1398</v>
      </c>
      <c r="H7" s="69">
        <f t="shared" si="1"/>
        <v>0.95364106645443691</v>
      </c>
    </row>
    <row r="8" spans="2:8">
      <c r="B8" s="70"/>
      <c r="C8" s="62" t="s">
        <v>72</v>
      </c>
      <c r="D8" s="62">
        <f>SUMIFS(OUTPUT[ACC],OUTPUT[MONTH],$B$5,OUTPUT[ACT GR],$C8)</f>
        <v>49425</v>
      </c>
      <c r="E8" s="62">
        <f>SUMIFS(LOWEND[Lot Qty],LOWEND[LE Group],$C8,LOWEND[Sampling/100%],"Sampling",LOWEND[Month],$B$5,LOWEND[Verdict],"Rej")</f>
        <v>472</v>
      </c>
      <c r="F8" s="62">
        <f>SUMIFS(HIGHEND[Reject],HIGHEND[Month],$B$5,HIGHEND[HE Group],$C8)+SUMIFS(LOWEND[Reject],LOWEND[Month],$B$5,LOWEND[LE Group],$C8,LOWEND[Sampling/100%],"100")</f>
        <v>635</v>
      </c>
      <c r="G8" s="62">
        <f t="shared" si="0"/>
        <v>1107</v>
      </c>
      <c r="H8" s="69">
        <f t="shared" si="1"/>
        <v>0.97809308952742813</v>
      </c>
    </row>
    <row r="9" spans="2:8">
      <c r="B9" s="70"/>
      <c r="C9" s="62" t="s">
        <v>82</v>
      </c>
      <c r="D9" s="62">
        <f>SUMIFS(OUTPUT[ACC],OUTPUT[MONTH],$B$5,OUTPUT[ACT GR],$C9)</f>
        <v>49386</v>
      </c>
      <c r="E9" s="62">
        <f>SUMIFS(LOWEND[Lot Qty],LOWEND[LE Group],$C9,LOWEND[Sampling/100%],"Sampling",LOWEND[Month],$B$5,LOWEND[Verdict],"Rej")</f>
        <v>344</v>
      </c>
      <c r="F9" s="62">
        <f>SUMIFS(HIGHEND[Reject],HIGHEND[Month],$B$5,HIGHEND[HE Group],$C9)+SUMIFS(LOWEND[Reject],LOWEND[Month],$B$5,LOWEND[LE Group],$C9,LOWEND[Sampling/100%],"100")</f>
        <v>500</v>
      </c>
      <c r="G9" s="62">
        <f t="shared" si="0"/>
        <v>844</v>
      </c>
      <c r="H9" s="69">
        <f t="shared" si="1"/>
        <v>0.98319729245470833</v>
      </c>
    </row>
    <row r="10" spans="2:8">
      <c r="B10" s="70"/>
      <c r="C10" s="62" t="s">
        <v>66</v>
      </c>
      <c r="D10" s="62">
        <f>SUMIFS(OUTPUT[ACC],OUTPUT[MONTH],$B$5,OUTPUT[ACT GR],$C10)</f>
        <v>47261</v>
      </c>
      <c r="E10" s="62">
        <f>SUMIFS(LOWEND[Lot Qty],LOWEND[LE Group],$C10,LOWEND[Sampling/100%],"Sampling",LOWEND[Month],$B$5,LOWEND[Verdict],"Rej")</f>
        <v>1754</v>
      </c>
      <c r="F10" s="62">
        <f>SUMIFS(HIGHEND[Reject],HIGHEND[Month],$B$5,HIGHEND[HE Group],$C10)+SUMIFS(LOWEND[Reject],LOWEND[Month],$B$5,LOWEND[LE Group],$C10,LOWEND[Sampling/100%],"100")</f>
        <v>771</v>
      </c>
      <c r="G10" s="62">
        <f t="shared" si="0"/>
        <v>2525</v>
      </c>
      <c r="H10" s="69">
        <f t="shared" si="1"/>
        <v>0.94928293094444216</v>
      </c>
    </row>
    <row r="11" spans="2:8">
      <c r="B11" s="70"/>
      <c r="C11" s="62" t="s">
        <v>62</v>
      </c>
      <c r="D11" s="62">
        <f>SUMIFS(OUTPUT[ACC],OUTPUT[MONTH],$B$5,OUTPUT[ACT GR],$C11)</f>
        <v>51088</v>
      </c>
      <c r="E11" s="62">
        <f>SUMIFS(LOWEND[Lot Qty],LOWEND[LE Group],$C11,LOWEND[Sampling/100%],"Sampling",LOWEND[Month],$B$5,LOWEND[Verdict],"Rej")</f>
        <v>108</v>
      </c>
      <c r="F11" s="62">
        <f>SUMIFS(HIGHEND[Reject],HIGHEND[Month],$B$5,HIGHEND[HE Group],$C11)+SUMIFS(LOWEND[Reject],LOWEND[Month],$B$5,LOWEND[LE Group],$C11,LOWEND[Sampling/100%],"100")</f>
        <v>697</v>
      </c>
      <c r="G11" s="62">
        <f t="shared" si="0"/>
        <v>805</v>
      </c>
      <c r="H11" s="69">
        <f t="shared" si="1"/>
        <v>0.98448731042722526</v>
      </c>
    </row>
    <row r="12" spans="2:8">
      <c r="B12" s="70"/>
      <c r="C12" s="62" t="s">
        <v>63</v>
      </c>
      <c r="D12" s="62">
        <f>SUMIFS(OUTPUT[ACC],OUTPUT[MONTH],$B$5,OUTPUT[ACT GR],$C12)</f>
        <v>47572</v>
      </c>
      <c r="E12" s="62">
        <f>SUMIFS(LOWEND[Lot Qty],LOWEND[LE Group],$C12,LOWEND[Sampling/100%],"Sampling",LOWEND[Month],$B$5,LOWEND[Verdict],"Rej")</f>
        <v>2655</v>
      </c>
      <c r="F12" s="62">
        <f>SUMIFS(HIGHEND[Reject],HIGHEND[Month],$B$5,HIGHEND[HE Group],$C12)+SUMIFS(LOWEND[Reject],LOWEND[Month],$B$5,LOWEND[LE Group],$C12,LOWEND[Sampling/100%],"100")</f>
        <v>730</v>
      </c>
      <c r="G12" s="62">
        <f t="shared" si="0"/>
        <v>3385</v>
      </c>
      <c r="H12" s="69">
        <f t="shared" si="1"/>
        <v>0.93357144258884939</v>
      </c>
    </row>
    <row r="13" spans="2:8">
      <c r="B13" s="70"/>
      <c r="C13" s="62" t="s">
        <v>95</v>
      </c>
      <c r="D13" s="62">
        <f>SUMIFS(OUTPUT[ACC],OUTPUT[MONTH],$B$5,OUTPUT[ACT GR],$C13)</f>
        <v>49438</v>
      </c>
      <c r="E13" s="62">
        <f>SUMIFS(LOWEND[Lot Qty],LOWEND[LE Group],$C13,LOWEND[Sampling/100%],"Sampling",LOWEND[Month],$B$5,LOWEND[Verdict],"Rej")</f>
        <v>614</v>
      </c>
      <c r="F13" s="62">
        <f>SUMIFS(HIGHEND[Reject],HIGHEND[Month],$B$5,HIGHEND[HE Group],$C13)+SUMIFS(LOWEND[Reject],LOWEND[Month],$B$5,LOWEND[LE Group],$C13,LOWEND[Sampling/100%],"100")</f>
        <v>612</v>
      </c>
      <c r="G13" s="62">
        <f t="shared" si="0"/>
        <v>1226</v>
      </c>
      <c r="H13" s="69">
        <f t="shared" si="1"/>
        <v>0.9758013579662087</v>
      </c>
    </row>
    <row r="14" spans="2:8">
      <c r="B14" s="70"/>
      <c r="C14" s="62" t="s">
        <v>46</v>
      </c>
      <c r="D14" s="62">
        <f>SUMIFS(OUTPUT[ACC],OUTPUT[MONTH],$B$5,OUTPUT[ACT GR],$C14)</f>
        <v>42979</v>
      </c>
      <c r="E14" s="62">
        <f>SUMIFS(LOWEND[Lot Qty],LOWEND[LE Group],$C14,LOWEND[Sampling/100%],"Sampling",LOWEND[Month],$B$5,LOWEND[Verdict],"Rej")</f>
        <v>1847</v>
      </c>
      <c r="F14" s="62">
        <f>SUMIFS(HIGHEND[Reject],HIGHEND[Month],$B$5,HIGHEND[HE Group],$C14)+SUMIFS(LOWEND[Reject],LOWEND[Month],$B$5,LOWEND[LE Group],$C14,LOWEND[Sampling/100%],"100")</f>
        <v>424</v>
      </c>
      <c r="G14" s="62">
        <f t="shared" si="0"/>
        <v>2271</v>
      </c>
      <c r="H14" s="69">
        <f t="shared" si="1"/>
        <v>0.94981215469613256</v>
      </c>
    </row>
    <row r="15" spans="2:8">
      <c r="B15" s="70"/>
      <c r="C15" s="62" t="s">
        <v>55</v>
      </c>
      <c r="D15" s="62">
        <f>SUMIFS(OUTPUT[ACC],OUTPUT[MONTH],$B$5,OUTPUT[ACT GR],$C15)</f>
        <v>48289</v>
      </c>
      <c r="E15" s="62">
        <f>SUMIFS(LOWEND[Lot Qty],LOWEND[LE Group],$C15,LOWEND[Sampling/100%],"Sampling",LOWEND[Month],$B$5,LOWEND[Verdict],"Rej")</f>
        <v>2283</v>
      </c>
      <c r="F15" s="62">
        <f>SUMIFS(HIGHEND[Reject],HIGHEND[Month],$B$5,HIGHEND[HE Group],$C15)+SUMIFS(LOWEND[Reject],LOWEND[Month],$B$5,LOWEND[LE Group],$C15,LOWEND[Sampling/100%],"100")</f>
        <v>993</v>
      </c>
      <c r="G15" s="62">
        <f t="shared" si="0"/>
        <v>3276</v>
      </c>
      <c r="H15" s="69">
        <f t="shared" si="1"/>
        <v>0.9364685348589159</v>
      </c>
    </row>
    <row r="16" spans="2:8">
      <c r="B16" s="70"/>
      <c r="C16" s="62" t="s">
        <v>133</v>
      </c>
      <c r="D16" s="62">
        <f>SUMIFS(OUTPUT[ACC],OUTPUT[MONTH],$B$5,OUTPUT[ACT GR],$C16)</f>
        <v>11618</v>
      </c>
      <c r="E16" s="62">
        <f>SUMIFS(LOWEND[Lot Qty],LOWEND[LE Group],$C16,LOWEND[Sampling/100%],"Sampling",LOWEND[Month],$B$5,LOWEND[Verdict],"Rej")</f>
        <v>0</v>
      </c>
      <c r="F16" s="62">
        <f>SUMIFS(HIGHEND[Reject],HIGHEND[Month],$B$5,HIGHEND[HE Group],$C16)+SUMIFS(LOWEND[Reject],LOWEND[Month],$B$5,LOWEND[LE Group],$C16,LOWEND[Sampling/100%],"100")</f>
        <v>552</v>
      </c>
      <c r="G16" s="62">
        <f t="shared" si="0"/>
        <v>552</v>
      </c>
      <c r="H16" s="69">
        <f t="shared" si="1"/>
        <v>0.95464256368118328</v>
      </c>
    </row>
    <row r="17" spans="2:8">
      <c r="B17" s="70"/>
      <c r="C17" s="62" t="s">
        <v>1484</v>
      </c>
      <c r="D17" s="62">
        <f>SUMIFS(OUTPUT[ACC],OUTPUT[MONTH],$B$5,OUTPUT[ACT GR],$C17)</f>
        <v>10323</v>
      </c>
      <c r="E17" s="62">
        <f>SUMIFS(LOWEND[Lot Qty],LOWEND[LE Group],$C17,LOWEND[Sampling/100%],"Sampling",LOWEND[Month],$B$5,LOWEND[Verdict],"Rej")</f>
        <v>0</v>
      </c>
      <c r="F17" s="62">
        <f>SUMIFS(HIGHEND[Reject],HIGHEND[Month],$B$5,HIGHEND[HE Group],$C17)+SUMIFS(LOWEND[Reject],LOWEND[Month],$B$5,LOWEND[LE Group],$C17,LOWEND[Sampling/100%],"100")</f>
        <v>134</v>
      </c>
      <c r="G17" s="62">
        <f t="shared" si="0"/>
        <v>134</v>
      </c>
      <c r="H17" s="69">
        <f t="shared" si="1"/>
        <v>0.98718561728985366</v>
      </c>
    </row>
    <row r="18" spans="2:8" ht="15.75" thickBot="1">
      <c r="B18" s="71"/>
      <c r="C18" s="72" t="s">
        <v>1356</v>
      </c>
      <c r="D18" s="72">
        <f>SUM(D5:D17)</f>
        <v>485577</v>
      </c>
      <c r="E18" s="72">
        <f>SUM(E5:E17)</f>
        <v>13328</v>
      </c>
      <c r="F18" s="72">
        <f>SUM(F5:F17)</f>
        <v>8820</v>
      </c>
      <c r="G18" s="72">
        <f>SUM(G5:G17)</f>
        <v>22148</v>
      </c>
      <c r="H18" s="73">
        <f>+D18/(D18+G18)</f>
        <v>0.9563779605101187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DC61-0D94-48ED-8C8C-768FDE945E7B}">
  <dimension ref="A1:AT1749"/>
  <sheetViews>
    <sheetView topLeftCell="AD1" workbookViewId="0">
      <selection activeCell="F1" sqref="F1:F1048576"/>
    </sheetView>
  </sheetViews>
  <sheetFormatPr defaultRowHeight="15"/>
  <cols>
    <col min="1" max="1" width="10.140625" bestFit="1" customWidth="1"/>
    <col min="2" max="2" width="8.5703125" bestFit="1" customWidth="1"/>
    <col min="3" max="3" width="10.140625" customWidth="1"/>
    <col min="4" max="4" width="13" customWidth="1"/>
    <col min="5" max="5" width="8.140625" customWidth="1"/>
    <col min="6" max="6" width="9" customWidth="1"/>
    <col min="7" max="7" width="12.140625" customWidth="1"/>
    <col min="8" max="8" width="8.42578125" customWidth="1"/>
    <col min="9" max="9" width="8" customWidth="1"/>
    <col min="10" max="10" width="8.85546875" customWidth="1"/>
    <col min="11" max="11" width="15.28515625" customWidth="1"/>
    <col min="12" max="12" width="15.85546875" customWidth="1"/>
    <col min="13" max="13" width="20.42578125" customWidth="1"/>
    <col min="14" max="14" width="18" customWidth="1"/>
    <col min="15" max="15" width="20.5703125" customWidth="1"/>
    <col min="16" max="16" width="14.140625" customWidth="1"/>
    <col min="17" max="17" width="15.7109375" customWidth="1"/>
    <col min="18" max="18" width="14.28515625" customWidth="1"/>
    <col min="19" max="19" width="12.28515625" customWidth="1"/>
    <col min="20" max="20" width="14.28515625" customWidth="1"/>
    <col min="21" max="21" width="16.5703125" customWidth="1"/>
    <col min="22" max="22" width="12.7109375" customWidth="1"/>
    <col min="23" max="23" width="10.42578125" customWidth="1"/>
    <col min="24" max="24" width="18.85546875" customWidth="1"/>
    <col min="25" max="25" width="10.7109375" customWidth="1"/>
    <col min="26" max="26" width="13.28515625" customWidth="1"/>
    <col min="27" max="27" width="10.7109375" customWidth="1"/>
    <col min="28" max="28" width="8.5703125" customWidth="1"/>
    <col min="29" max="29" width="15" customWidth="1"/>
    <col min="30" max="30" width="10.7109375" customWidth="1"/>
    <col min="31" max="31" width="14.7109375" customWidth="1"/>
    <col min="32" max="32" width="14.85546875" customWidth="1"/>
    <col min="33" max="33" width="12.5703125" customWidth="1"/>
    <col min="34" max="34" width="14.85546875" customWidth="1"/>
    <col min="35" max="35" width="18" customWidth="1"/>
    <col min="36" max="36" width="10.7109375" customWidth="1"/>
    <col min="37" max="37" width="8.5703125" customWidth="1"/>
    <col min="38" max="38" width="14.7109375" bestFit="1" customWidth="1"/>
    <col min="39" max="39" width="13" customWidth="1"/>
    <col min="40" max="40" width="6.28515625" customWidth="1"/>
    <col min="41" max="41" width="7" customWidth="1"/>
    <col min="42" max="42" width="6.5703125" customWidth="1"/>
    <col min="43" max="43" width="6.85546875" customWidth="1"/>
    <col min="44" max="44" width="9.140625" customWidth="1"/>
    <col min="45" max="45" width="5.5703125" customWidth="1"/>
    <col min="46" max="46" width="8.28515625" customWidth="1"/>
  </cols>
  <sheetData>
    <row r="1" spans="1:46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39" t="s">
        <v>37</v>
      </c>
      <c r="AM1" s="39" t="s">
        <v>38</v>
      </c>
      <c r="AN1" s="28" t="s">
        <v>39</v>
      </c>
      <c r="AO1" s="28" t="s">
        <v>40</v>
      </c>
      <c r="AP1" s="29" t="s">
        <v>41</v>
      </c>
      <c r="AQ1" s="29" t="s">
        <v>42</v>
      </c>
      <c r="AR1" s="28" t="s">
        <v>43</v>
      </c>
      <c r="AS1" s="28" t="s">
        <v>44</v>
      </c>
      <c r="AT1" s="30" t="s">
        <v>45</v>
      </c>
    </row>
    <row r="2" spans="1:46">
      <c r="A2" s="24">
        <v>46114</v>
      </c>
      <c r="B2" s="23">
        <f t="shared" ref="B2:B65" si="0">EOMONTH(A2,-1)+1</f>
        <v>46113</v>
      </c>
      <c r="C2" s="2" t="s">
        <v>66</v>
      </c>
      <c r="D2" s="2" t="s">
        <v>377</v>
      </c>
      <c r="E2" s="2">
        <v>1585</v>
      </c>
      <c r="F2" s="2">
        <v>275</v>
      </c>
      <c r="G2" s="2">
        <f>IF(F2&lt;1001,IF(F2&gt;500,80,IF(F2&gt;280,50,IF(F2&gt;150,32,IF(F2&lt;51,F2,20)))),125)</f>
        <v>32</v>
      </c>
      <c r="H2" s="2">
        <f>G2-I2</f>
        <v>0</v>
      </c>
      <c r="I2" s="2">
        <v>32</v>
      </c>
      <c r="J2" s="44" t="s">
        <v>67</v>
      </c>
      <c r="K2" s="2" t="s">
        <v>49</v>
      </c>
      <c r="L2" s="2">
        <v>0</v>
      </c>
      <c r="M2" s="2">
        <v>0</v>
      </c>
      <c r="N2" s="2">
        <v>0</v>
      </c>
      <c r="O2" s="2">
        <v>0</v>
      </c>
      <c r="P2" s="2">
        <v>32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/>
      <c r="AM2" s="2" t="s">
        <v>99</v>
      </c>
      <c r="AN2" s="2">
        <f t="shared" ref="AN2:AN65" si="1">+L2+AI2</f>
        <v>0</v>
      </c>
      <c r="AO2" s="2">
        <f t="shared" ref="AO2:AO65" si="2">+M2+N2+O2+P2+Q2+R2+S2+T2+U2+V2</f>
        <v>32</v>
      </c>
      <c r="AP2" s="2">
        <f t="shared" ref="AP2:AP65" si="3">+AE2+AF2</f>
        <v>0</v>
      </c>
      <c r="AQ2" s="2">
        <f t="shared" ref="AQ2:AQ65" si="4">+AK2+AD2+AC2+AJ2</f>
        <v>0</v>
      </c>
      <c r="AR2" s="2">
        <f t="shared" ref="AR2:AR65" si="5">+W2+X2+Y2+Z2+AA2+AB2</f>
        <v>0</v>
      </c>
      <c r="AS2" s="2">
        <f t="shared" ref="AS2:AS65" si="6">+AG2</f>
        <v>0</v>
      </c>
      <c r="AT2" s="25">
        <f t="shared" ref="AT2:AT65" si="7">+AH2</f>
        <v>0</v>
      </c>
    </row>
    <row r="3" spans="1:46">
      <c r="A3" s="24">
        <v>46114</v>
      </c>
      <c r="B3" s="23">
        <f t="shared" si="0"/>
        <v>46113</v>
      </c>
      <c r="C3" s="2" t="s">
        <v>66</v>
      </c>
      <c r="D3" s="2" t="s">
        <v>201</v>
      </c>
      <c r="E3" s="2">
        <v>6283</v>
      </c>
      <c r="F3" s="2">
        <v>491</v>
      </c>
      <c r="G3" s="2">
        <f t="shared" ref="G3:G66" si="8">IF(F3&lt;1001,IF(F3&gt;500,80,IF(F3&gt;280,50,IF(F3&gt;150,32,IF(F3&lt;51,F3,20)))),125)</f>
        <v>50</v>
      </c>
      <c r="H3" s="2">
        <f t="shared" ref="H3:H66" si="9">G3-I3</f>
        <v>49</v>
      </c>
      <c r="I3" s="2">
        <v>1</v>
      </c>
      <c r="J3" s="44" t="s">
        <v>48</v>
      </c>
      <c r="K3" s="2" t="s">
        <v>49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1</v>
      </c>
      <c r="AH3" s="2">
        <v>0</v>
      </c>
      <c r="AI3" s="2">
        <v>0</v>
      </c>
      <c r="AJ3" s="2">
        <v>0</v>
      </c>
      <c r="AK3" s="2">
        <v>0</v>
      </c>
      <c r="AL3" s="2"/>
      <c r="AM3" s="2" t="s">
        <v>99</v>
      </c>
      <c r="AN3" s="2">
        <f t="shared" si="1"/>
        <v>0</v>
      </c>
      <c r="AO3" s="2">
        <f t="shared" si="2"/>
        <v>0</v>
      </c>
      <c r="AP3" s="2">
        <f t="shared" si="3"/>
        <v>0</v>
      </c>
      <c r="AQ3" s="2">
        <f t="shared" si="4"/>
        <v>0</v>
      </c>
      <c r="AR3" s="2">
        <f t="shared" si="5"/>
        <v>0</v>
      </c>
      <c r="AS3" s="2">
        <f t="shared" si="6"/>
        <v>1</v>
      </c>
      <c r="AT3" s="25">
        <f t="shared" si="7"/>
        <v>0</v>
      </c>
    </row>
    <row r="4" spans="1:46">
      <c r="A4" s="24">
        <v>46114</v>
      </c>
      <c r="B4" s="23">
        <f t="shared" si="0"/>
        <v>46113</v>
      </c>
      <c r="C4" s="2" t="s">
        <v>82</v>
      </c>
      <c r="D4" s="2" t="s">
        <v>118</v>
      </c>
      <c r="E4" s="2">
        <v>1650</v>
      </c>
      <c r="F4" s="2">
        <v>164</v>
      </c>
      <c r="G4" s="2">
        <f t="shared" si="8"/>
        <v>32</v>
      </c>
      <c r="H4" s="2">
        <f t="shared" si="9"/>
        <v>30</v>
      </c>
      <c r="I4" s="2">
        <v>2</v>
      </c>
      <c r="J4" s="44" t="s">
        <v>48</v>
      </c>
      <c r="K4" s="2" t="s">
        <v>49</v>
      </c>
      <c r="L4" s="2">
        <v>2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/>
      <c r="AM4" s="2" t="s">
        <v>99</v>
      </c>
      <c r="AN4" s="2">
        <f t="shared" si="1"/>
        <v>2</v>
      </c>
      <c r="AO4" s="2">
        <f t="shared" si="2"/>
        <v>0</v>
      </c>
      <c r="AP4" s="2">
        <f t="shared" si="3"/>
        <v>0</v>
      </c>
      <c r="AQ4" s="2">
        <f t="shared" si="4"/>
        <v>0</v>
      </c>
      <c r="AR4" s="2">
        <f t="shared" si="5"/>
        <v>0</v>
      </c>
      <c r="AS4" s="2">
        <f t="shared" si="6"/>
        <v>0</v>
      </c>
      <c r="AT4" s="25">
        <f t="shared" si="7"/>
        <v>0</v>
      </c>
    </row>
    <row r="5" spans="1:46">
      <c r="A5" s="24">
        <v>46114</v>
      </c>
      <c r="B5" s="23">
        <f t="shared" si="0"/>
        <v>46113</v>
      </c>
      <c r="C5" s="2" t="s">
        <v>97</v>
      </c>
      <c r="D5" s="2" t="s">
        <v>134</v>
      </c>
      <c r="E5" s="2">
        <v>3326</v>
      </c>
      <c r="F5" s="2">
        <v>140</v>
      </c>
      <c r="G5" s="2">
        <f t="shared" si="8"/>
        <v>20</v>
      </c>
      <c r="H5" s="2">
        <f t="shared" si="9"/>
        <v>19</v>
      </c>
      <c r="I5" s="2">
        <v>1</v>
      </c>
      <c r="J5" s="44" t="s">
        <v>48</v>
      </c>
      <c r="K5" s="2" t="s">
        <v>49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1</v>
      </c>
      <c r="AL5" s="2"/>
      <c r="AM5" s="2" t="s">
        <v>99</v>
      </c>
      <c r="AN5" s="2">
        <f t="shared" si="1"/>
        <v>0</v>
      </c>
      <c r="AO5" s="2">
        <f t="shared" si="2"/>
        <v>0</v>
      </c>
      <c r="AP5" s="2">
        <f t="shared" si="3"/>
        <v>0</v>
      </c>
      <c r="AQ5" s="2">
        <f t="shared" si="4"/>
        <v>1</v>
      </c>
      <c r="AR5" s="2">
        <f t="shared" si="5"/>
        <v>0</v>
      </c>
      <c r="AS5" s="2">
        <f t="shared" si="6"/>
        <v>0</v>
      </c>
      <c r="AT5" s="25">
        <f t="shared" si="7"/>
        <v>0</v>
      </c>
    </row>
    <row r="6" spans="1:46">
      <c r="A6" s="24">
        <v>46114</v>
      </c>
      <c r="B6" s="23">
        <f t="shared" si="0"/>
        <v>46113</v>
      </c>
      <c r="C6" s="2" t="s">
        <v>66</v>
      </c>
      <c r="D6" s="2" t="s">
        <v>288</v>
      </c>
      <c r="E6" s="2">
        <v>1639</v>
      </c>
      <c r="F6" s="2">
        <v>58</v>
      </c>
      <c r="G6" s="2">
        <f t="shared" si="8"/>
        <v>20</v>
      </c>
      <c r="H6" s="2">
        <f t="shared" si="9"/>
        <v>19</v>
      </c>
      <c r="I6" s="2">
        <v>1</v>
      </c>
      <c r="J6" s="44" t="s">
        <v>48</v>
      </c>
      <c r="K6" s="2" t="s">
        <v>49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/>
      <c r="AM6" s="2" t="s">
        <v>99</v>
      </c>
      <c r="AN6" s="2">
        <f t="shared" si="1"/>
        <v>1</v>
      </c>
      <c r="AO6" s="2">
        <f t="shared" si="2"/>
        <v>0</v>
      </c>
      <c r="AP6" s="2">
        <f t="shared" si="3"/>
        <v>0</v>
      </c>
      <c r="AQ6" s="2">
        <f t="shared" si="4"/>
        <v>0</v>
      </c>
      <c r="AR6" s="2">
        <f t="shared" si="5"/>
        <v>0</v>
      </c>
      <c r="AS6" s="2">
        <f t="shared" si="6"/>
        <v>0</v>
      </c>
      <c r="AT6" s="25">
        <f t="shared" si="7"/>
        <v>0</v>
      </c>
    </row>
    <row r="7" spans="1:46">
      <c r="A7" s="24">
        <v>46114</v>
      </c>
      <c r="B7" s="23">
        <f t="shared" si="0"/>
        <v>46113</v>
      </c>
      <c r="C7" s="2" t="s">
        <v>66</v>
      </c>
      <c r="D7" s="2" t="s">
        <v>377</v>
      </c>
      <c r="E7" s="2">
        <v>1585</v>
      </c>
      <c r="F7" s="2">
        <v>275</v>
      </c>
      <c r="G7" s="2">
        <f t="shared" si="8"/>
        <v>32</v>
      </c>
      <c r="H7" s="2">
        <f t="shared" si="9"/>
        <v>31</v>
      </c>
      <c r="I7" s="2">
        <v>1</v>
      </c>
      <c r="J7" s="44" t="s">
        <v>48</v>
      </c>
      <c r="K7" s="2" t="s">
        <v>49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/>
      <c r="AM7" s="2" t="s">
        <v>99</v>
      </c>
      <c r="AN7" s="2">
        <f t="shared" si="1"/>
        <v>1</v>
      </c>
      <c r="AO7" s="2">
        <f t="shared" si="2"/>
        <v>0</v>
      </c>
      <c r="AP7" s="2">
        <f t="shared" si="3"/>
        <v>0</v>
      </c>
      <c r="AQ7" s="2">
        <f t="shared" si="4"/>
        <v>0</v>
      </c>
      <c r="AR7" s="2">
        <f t="shared" si="5"/>
        <v>0</v>
      </c>
      <c r="AS7" s="2">
        <f t="shared" si="6"/>
        <v>0</v>
      </c>
      <c r="AT7" s="25">
        <f t="shared" si="7"/>
        <v>0</v>
      </c>
    </row>
    <row r="8" spans="1:46">
      <c r="A8" s="24">
        <v>46114</v>
      </c>
      <c r="B8" s="23">
        <f t="shared" si="0"/>
        <v>46113</v>
      </c>
      <c r="C8" s="2" t="s">
        <v>160</v>
      </c>
      <c r="D8" s="2" t="s">
        <v>308</v>
      </c>
      <c r="E8" s="2">
        <v>6117</v>
      </c>
      <c r="F8" s="2">
        <v>72</v>
      </c>
      <c r="G8" s="2">
        <f t="shared" si="8"/>
        <v>20</v>
      </c>
      <c r="H8" s="2">
        <f t="shared" si="9"/>
        <v>20</v>
      </c>
      <c r="I8" s="2">
        <v>0</v>
      </c>
      <c r="J8" s="44" t="s">
        <v>48</v>
      </c>
      <c r="K8" s="2" t="s">
        <v>49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/>
      <c r="AM8" s="2" t="s">
        <v>99</v>
      </c>
      <c r="AN8" s="2">
        <f t="shared" si="1"/>
        <v>0</v>
      </c>
      <c r="AO8" s="2">
        <f t="shared" si="2"/>
        <v>0</v>
      </c>
      <c r="AP8" s="2">
        <f t="shared" si="3"/>
        <v>0</v>
      </c>
      <c r="AQ8" s="2">
        <f t="shared" si="4"/>
        <v>0</v>
      </c>
      <c r="AR8" s="2">
        <f t="shared" si="5"/>
        <v>0</v>
      </c>
      <c r="AS8" s="2">
        <f t="shared" si="6"/>
        <v>0</v>
      </c>
      <c r="AT8" s="25">
        <f t="shared" si="7"/>
        <v>0</v>
      </c>
    </row>
    <row r="9" spans="1:46">
      <c r="A9" s="24">
        <v>46114</v>
      </c>
      <c r="B9" s="23">
        <f t="shared" si="0"/>
        <v>46113</v>
      </c>
      <c r="C9" s="2" t="s">
        <v>160</v>
      </c>
      <c r="D9" s="2" t="s">
        <v>380</v>
      </c>
      <c r="E9" s="2">
        <v>6306</v>
      </c>
      <c r="F9" s="2">
        <v>56</v>
      </c>
      <c r="G9" s="2">
        <f t="shared" si="8"/>
        <v>20</v>
      </c>
      <c r="H9" s="2">
        <f t="shared" si="9"/>
        <v>19</v>
      </c>
      <c r="I9" s="2">
        <v>1</v>
      </c>
      <c r="J9" s="44" t="s">
        <v>48</v>
      </c>
      <c r="K9" s="2" t="s">
        <v>49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/>
      <c r="AM9" s="2" t="s">
        <v>99</v>
      </c>
      <c r="AN9" s="2">
        <f t="shared" si="1"/>
        <v>0</v>
      </c>
      <c r="AO9" s="2">
        <f t="shared" si="2"/>
        <v>0</v>
      </c>
      <c r="AP9" s="2">
        <f t="shared" si="3"/>
        <v>1</v>
      </c>
      <c r="AQ9" s="2">
        <f t="shared" si="4"/>
        <v>0</v>
      </c>
      <c r="AR9" s="2">
        <f t="shared" si="5"/>
        <v>0</v>
      </c>
      <c r="AS9" s="2">
        <f t="shared" si="6"/>
        <v>0</v>
      </c>
      <c r="AT9" s="25">
        <f t="shared" si="7"/>
        <v>0</v>
      </c>
    </row>
    <row r="10" spans="1:46">
      <c r="A10" s="24">
        <v>46114</v>
      </c>
      <c r="B10" s="23">
        <f t="shared" si="0"/>
        <v>46113</v>
      </c>
      <c r="C10" s="2" t="s">
        <v>82</v>
      </c>
      <c r="D10" s="2" t="s">
        <v>91</v>
      </c>
      <c r="E10" s="2">
        <v>6248</v>
      </c>
      <c r="F10" s="2">
        <v>257</v>
      </c>
      <c r="G10" s="2">
        <f t="shared" si="8"/>
        <v>32</v>
      </c>
      <c r="H10" s="2">
        <f t="shared" si="9"/>
        <v>32</v>
      </c>
      <c r="I10" s="2">
        <v>0</v>
      </c>
      <c r="J10" s="44" t="s">
        <v>48</v>
      </c>
      <c r="K10" s="2" t="s">
        <v>49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/>
      <c r="AM10" s="2" t="s">
        <v>99</v>
      </c>
      <c r="AN10" s="2">
        <f t="shared" si="1"/>
        <v>0</v>
      </c>
      <c r="AO10" s="2">
        <f t="shared" si="2"/>
        <v>0</v>
      </c>
      <c r="AP10" s="2">
        <f t="shared" si="3"/>
        <v>0</v>
      </c>
      <c r="AQ10" s="2">
        <f t="shared" si="4"/>
        <v>0</v>
      </c>
      <c r="AR10" s="2">
        <f t="shared" si="5"/>
        <v>0</v>
      </c>
      <c r="AS10" s="2">
        <f t="shared" si="6"/>
        <v>0</v>
      </c>
      <c r="AT10" s="25">
        <f t="shared" si="7"/>
        <v>0</v>
      </c>
    </row>
    <row r="11" spans="1:46">
      <c r="A11" s="24">
        <v>46114</v>
      </c>
      <c r="B11" s="23">
        <f t="shared" si="0"/>
        <v>46113</v>
      </c>
      <c r="C11" s="2" t="s">
        <v>82</v>
      </c>
      <c r="D11" s="2" t="s">
        <v>1403</v>
      </c>
      <c r="E11" s="2">
        <v>10060</v>
      </c>
      <c r="F11" s="2">
        <v>436</v>
      </c>
      <c r="G11" s="2">
        <f t="shared" si="8"/>
        <v>50</v>
      </c>
      <c r="H11" s="2">
        <f t="shared" si="9"/>
        <v>47</v>
      </c>
      <c r="I11" s="2">
        <v>3</v>
      </c>
      <c r="J11" s="44" t="s">
        <v>48</v>
      </c>
      <c r="K11" s="2" t="s">
        <v>49</v>
      </c>
      <c r="L11" s="2">
        <v>0</v>
      </c>
      <c r="M11" s="2">
        <v>0</v>
      </c>
      <c r="N11" s="2">
        <v>0</v>
      </c>
      <c r="O11" s="2">
        <v>0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/>
      <c r="AM11" s="2" t="s">
        <v>99</v>
      </c>
      <c r="AN11" s="2">
        <f t="shared" si="1"/>
        <v>0</v>
      </c>
      <c r="AO11" s="2">
        <f t="shared" si="2"/>
        <v>3</v>
      </c>
      <c r="AP11" s="2">
        <f t="shared" si="3"/>
        <v>0</v>
      </c>
      <c r="AQ11" s="2">
        <f t="shared" si="4"/>
        <v>0</v>
      </c>
      <c r="AR11" s="2">
        <f t="shared" si="5"/>
        <v>0</v>
      </c>
      <c r="AS11" s="2">
        <f t="shared" si="6"/>
        <v>0</v>
      </c>
      <c r="AT11" s="25">
        <f t="shared" si="7"/>
        <v>0</v>
      </c>
    </row>
    <row r="12" spans="1:46">
      <c r="A12" s="24">
        <v>46114</v>
      </c>
      <c r="B12" s="23">
        <f t="shared" si="0"/>
        <v>46113</v>
      </c>
      <c r="C12" s="2" t="s">
        <v>66</v>
      </c>
      <c r="D12" s="2" t="s">
        <v>123</v>
      </c>
      <c r="E12" s="2">
        <v>1866</v>
      </c>
      <c r="F12" s="2">
        <v>140</v>
      </c>
      <c r="G12" s="2">
        <f t="shared" si="8"/>
        <v>20</v>
      </c>
      <c r="H12" s="2">
        <f t="shared" si="9"/>
        <v>20</v>
      </c>
      <c r="I12" s="2">
        <v>0</v>
      </c>
      <c r="J12" s="44" t="s">
        <v>48</v>
      </c>
      <c r="K12" s="2" t="s">
        <v>49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/>
      <c r="AM12" s="2" t="s">
        <v>99</v>
      </c>
      <c r="AN12" s="2">
        <f t="shared" si="1"/>
        <v>0</v>
      </c>
      <c r="AO12" s="2">
        <f t="shared" si="2"/>
        <v>0</v>
      </c>
      <c r="AP12" s="2">
        <f t="shared" si="3"/>
        <v>0</v>
      </c>
      <c r="AQ12" s="2">
        <f t="shared" si="4"/>
        <v>0</v>
      </c>
      <c r="AR12" s="2">
        <f t="shared" si="5"/>
        <v>0</v>
      </c>
      <c r="AS12" s="2">
        <f t="shared" si="6"/>
        <v>0</v>
      </c>
      <c r="AT12" s="25">
        <f t="shared" si="7"/>
        <v>0</v>
      </c>
    </row>
    <row r="13" spans="1:46">
      <c r="A13" s="24">
        <v>46114</v>
      </c>
      <c r="B13" s="23">
        <f t="shared" si="0"/>
        <v>46113</v>
      </c>
      <c r="C13" s="2" t="s">
        <v>97</v>
      </c>
      <c r="D13" s="2" t="s">
        <v>380</v>
      </c>
      <c r="E13" s="2">
        <v>6306</v>
      </c>
      <c r="F13" s="2">
        <v>137</v>
      </c>
      <c r="G13" s="2">
        <f t="shared" si="8"/>
        <v>20</v>
      </c>
      <c r="H13" s="2">
        <f t="shared" si="9"/>
        <v>20</v>
      </c>
      <c r="I13" s="2">
        <v>0</v>
      </c>
      <c r="J13" s="44" t="s">
        <v>48</v>
      </c>
      <c r="K13" s="2" t="s">
        <v>49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/>
      <c r="AM13" s="2" t="s">
        <v>99</v>
      </c>
      <c r="AN13" s="2">
        <f t="shared" si="1"/>
        <v>0</v>
      </c>
      <c r="AO13" s="2">
        <f t="shared" si="2"/>
        <v>0</v>
      </c>
      <c r="AP13" s="2">
        <f t="shared" si="3"/>
        <v>0</v>
      </c>
      <c r="AQ13" s="2">
        <f t="shared" si="4"/>
        <v>0</v>
      </c>
      <c r="AR13" s="2">
        <f t="shared" si="5"/>
        <v>0</v>
      </c>
      <c r="AS13" s="2">
        <f t="shared" si="6"/>
        <v>0</v>
      </c>
      <c r="AT13" s="25">
        <f t="shared" si="7"/>
        <v>0</v>
      </c>
    </row>
    <row r="14" spans="1:46">
      <c r="A14" s="24">
        <v>46114</v>
      </c>
      <c r="B14" s="23">
        <f t="shared" si="0"/>
        <v>46113</v>
      </c>
      <c r="C14" s="2" t="s">
        <v>160</v>
      </c>
      <c r="D14" s="2" t="s">
        <v>164</v>
      </c>
      <c r="E14" s="2">
        <v>6093</v>
      </c>
      <c r="F14" s="2">
        <v>182</v>
      </c>
      <c r="G14" s="2">
        <f t="shared" si="8"/>
        <v>32</v>
      </c>
      <c r="H14" s="2">
        <f t="shared" si="9"/>
        <v>32</v>
      </c>
      <c r="I14" s="2">
        <v>0</v>
      </c>
      <c r="J14" s="44" t="s">
        <v>48</v>
      </c>
      <c r="K14" s="2" t="s">
        <v>49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/>
      <c r="AM14" s="2" t="s">
        <v>99</v>
      </c>
      <c r="AN14" s="2">
        <f t="shared" si="1"/>
        <v>0</v>
      </c>
      <c r="AO14" s="2">
        <f t="shared" si="2"/>
        <v>0</v>
      </c>
      <c r="AP14" s="2">
        <f t="shared" si="3"/>
        <v>0</v>
      </c>
      <c r="AQ14" s="2">
        <f t="shared" si="4"/>
        <v>0</v>
      </c>
      <c r="AR14" s="2">
        <f t="shared" si="5"/>
        <v>0</v>
      </c>
      <c r="AS14" s="2">
        <f t="shared" si="6"/>
        <v>0</v>
      </c>
      <c r="AT14" s="25">
        <f t="shared" si="7"/>
        <v>0</v>
      </c>
    </row>
    <row r="15" spans="1:46">
      <c r="A15" s="24">
        <v>46114</v>
      </c>
      <c r="B15" s="23">
        <f t="shared" si="0"/>
        <v>46113</v>
      </c>
      <c r="C15" s="2" t="s">
        <v>97</v>
      </c>
      <c r="D15" s="2" t="s">
        <v>256</v>
      </c>
      <c r="E15" s="2">
        <v>3319</v>
      </c>
      <c r="F15" s="2">
        <v>170</v>
      </c>
      <c r="G15" s="2">
        <f t="shared" si="8"/>
        <v>32</v>
      </c>
      <c r="H15" s="2">
        <f t="shared" si="9"/>
        <v>31</v>
      </c>
      <c r="I15" s="2">
        <v>1</v>
      </c>
      <c r="J15" s="44" t="s">
        <v>48</v>
      </c>
      <c r="K15" s="2" t="s">
        <v>49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  <c r="AH15" s="2">
        <v>0</v>
      </c>
      <c r="AI15" s="2">
        <v>0</v>
      </c>
      <c r="AJ15" s="2">
        <v>0</v>
      </c>
      <c r="AK15" s="2">
        <v>0</v>
      </c>
      <c r="AL15" s="2"/>
      <c r="AM15" s="2" t="s">
        <v>99</v>
      </c>
      <c r="AN15" s="2">
        <f t="shared" si="1"/>
        <v>0</v>
      </c>
      <c r="AO15" s="2">
        <f t="shared" si="2"/>
        <v>0</v>
      </c>
      <c r="AP15" s="2">
        <f t="shared" si="3"/>
        <v>0</v>
      </c>
      <c r="AQ15" s="2">
        <f t="shared" si="4"/>
        <v>0</v>
      </c>
      <c r="AR15" s="2">
        <f t="shared" si="5"/>
        <v>0</v>
      </c>
      <c r="AS15" s="2">
        <f t="shared" si="6"/>
        <v>1</v>
      </c>
      <c r="AT15" s="25">
        <f t="shared" si="7"/>
        <v>0</v>
      </c>
    </row>
    <row r="16" spans="1:46">
      <c r="A16" s="24">
        <v>46114</v>
      </c>
      <c r="B16" s="23">
        <f t="shared" si="0"/>
        <v>46113</v>
      </c>
      <c r="C16" s="2" t="s">
        <v>66</v>
      </c>
      <c r="D16" s="2" t="s">
        <v>1570</v>
      </c>
      <c r="E16" s="2">
        <v>6189</v>
      </c>
      <c r="F16" s="2">
        <v>129</v>
      </c>
      <c r="G16" s="2">
        <f t="shared" si="8"/>
        <v>20</v>
      </c>
      <c r="H16" s="2">
        <f t="shared" si="9"/>
        <v>19</v>
      </c>
      <c r="I16" s="2">
        <v>1</v>
      </c>
      <c r="J16" s="44" t="s">
        <v>48</v>
      </c>
      <c r="K16" s="2" t="s">
        <v>49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/>
      <c r="AM16" s="2" t="s">
        <v>80</v>
      </c>
      <c r="AN16" s="2">
        <f t="shared" si="1"/>
        <v>0</v>
      </c>
      <c r="AO16" s="2">
        <f t="shared" si="2"/>
        <v>1</v>
      </c>
      <c r="AP16" s="2">
        <f t="shared" si="3"/>
        <v>0</v>
      </c>
      <c r="AQ16" s="2">
        <f t="shared" si="4"/>
        <v>0</v>
      </c>
      <c r="AR16" s="2">
        <f t="shared" si="5"/>
        <v>0</v>
      </c>
      <c r="AS16" s="2">
        <f t="shared" si="6"/>
        <v>0</v>
      </c>
      <c r="AT16" s="25">
        <f t="shared" si="7"/>
        <v>0</v>
      </c>
    </row>
    <row r="17" spans="1:46">
      <c r="A17" s="24">
        <v>46114</v>
      </c>
      <c r="B17" s="23">
        <f t="shared" si="0"/>
        <v>46113</v>
      </c>
      <c r="C17" s="2" t="s">
        <v>66</v>
      </c>
      <c r="D17" s="2" t="s">
        <v>1314</v>
      </c>
      <c r="E17" s="2">
        <v>6283</v>
      </c>
      <c r="F17" s="2">
        <v>165</v>
      </c>
      <c r="G17" s="2">
        <f t="shared" si="8"/>
        <v>32</v>
      </c>
      <c r="H17" s="2">
        <f t="shared" si="9"/>
        <v>32</v>
      </c>
      <c r="I17" s="2">
        <v>0</v>
      </c>
      <c r="J17" s="44" t="s">
        <v>48</v>
      </c>
      <c r="K17" s="2" t="s">
        <v>49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/>
      <c r="AM17" s="2" t="s">
        <v>80</v>
      </c>
      <c r="AN17" s="2">
        <f t="shared" si="1"/>
        <v>0</v>
      </c>
      <c r="AO17" s="2">
        <f t="shared" si="2"/>
        <v>0</v>
      </c>
      <c r="AP17" s="2">
        <f t="shared" si="3"/>
        <v>0</v>
      </c>
      <c r="AQ17" s="2">
        <f t="shared" si="4"/>
        <v>0</v>
      </c>
      <c r="AR17" s="2">
        <f t="shared" si="5"/>
        <v>0</v>
      </c>
      <c r="AS17" s="2">
        <f t="shared" si="6"/>
        <v>0</v>
      </c>
      <c r="AT17" s="25">
        <f t="shared" si="7"/>
        <v>0</v>
      </c>
    </row>
    <row r="18" spans="1:46">
      <c r="A18" s="24">
        <v>46114</v>
      </c>
      <c r="B18" s="23">
        <f t="shared" si="0"/>
        <v>46113</v>
      </c>
      <c r="C18" s="2" t="s">
        <v>55</v>
      </c>
      <c r="D18" s="2" t="s">
        <v>183</v>
      </c>
      <c r="E18" s="2">
        <v>1729</v>
      </c>
      <c r="F18" s="2">
        <v>203</v>
      </c>
      <c r="G18" s="2">
        <f t="shared" si="8"/>
        <v>32</v>
      </c>
      <c r="H18" s="2">
        <f t="shared" si="9"/>
        <v>30</v>
      </c>
      <c r="I18" s="2">
        <v>2</v>
      </c>
      <c r="J18" s="44" t="s">
        <v>48</v>
      </c>
      <c r="K18" s="2" t="s">
        <v>49</v>
      </c>
      <c r="L18" s="2">
        <v>2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/>
      <c r="AM18" s="2" t="s">
        <v>1566</v>
      </c>
      <c r="AN18" s="2">
        <f t="shared" si="1"/>
        <v>2</v>
      </c>
      <c r="AO18" s="2">
        <f t="shared" si="2"/>
        <v>0</v>
      </c>
      <c r="AP18" s="2">
        <f t="shared" si="3"/>
        <v>0</v>
      </c>
      <c r="AQ18" s="2">
        <f t="shared" si="4"/>
        <v>0</v>
      </c>
      <c r="AR18" s="2">
        <f t="shared" si="5"/>
        <v>0</v>
      </c>
      <c r="AS18" s="2">
        <f t="shared" si="6"/>
        <v>0</v>
      </c>
      <c r="AT18" s="25">
        <f t="shared" si="7"/>
        <v>0</v>
      </c>
    </row>
    <row r="19" spans="1:46">
      <c r="A19" s="24">
        <v>46114</v>
      </c>
      <c r="B19" s="23">
        <f t="shared" si="0"/>
        <v>46113</v>
      </c>
      <c r="C19" s="2" t="s">
        <v>55</v>
      </c>
      <c r="D19" s="2" t="s">
        <v>154</v>
      </c>
      <c r="E19" s="2">
        <v>1729</v>
      </c>
      <c r="F19" s="2">
        <v>277</v>
      </c>
      <c r="G19" s="2">
        <f t="shared" si="8"/>
        <v>32</v>
      </c>
      <c r="H19" s="2">
        <f t="shared" si="9"/>
        <v>30</v>
      </c>
      <c r="I19" s="2">
        <v>2</v>
      </c>
      <c r="J19" s="44" t="s">
        <v>48</v>
      </c>
      <c r="K19" s="2" t="s">
        <v>49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/>
      <c r="AM19" s="2" t="s">
        <v>1566</v>
      </c>
      <c r="AN19" s="2">
        <f t="shared" si="1"/>
        <v>1</v>
      </c>
      <c r="AO19" s="2">
        <f t="shared" si="2"/>
        <v>1</v>
      </c>
      <c r="AP19" s="2">
        <f t="shared" si="3"/>
        <v>0</v>
      </c>
      <c r="AQ19" s="2">
        <f t="shared" si="4"/>
        <v>0</v>
      </c>
      <c r="AR19" s="2">
        <f t="shared" si="5"/>
        <v>0</v>
      </c>
      <c r="AS19" s="2">
        <f t="shared" si="6"/>
        <v>0</v>
      </c>
      <c r="AT19" s="25">
        <f t="shared" si="7"/>
        <v>0</v>
      </c>
    </row>
    <row r="20" spans="1:46">
      <c r="A20" s="24">
        <v>46114</v>
      </c>
      <c r="B20" s="23">
        <f t="shared" si="0"/>
        <v>46113</v>
      </c>
      <c r="C20" s="2" t="s">
        <v>55</v>
      </c>
      <c r="D20" s="2" t="s">
        <v>132</v>
      </c>
      <c r="E20" s="2">
        <v>1775</v>
      </c>
      <c r="F20" s="2">
        <v>195</v>
      </c>
      <c r="G20" s="2">
        <f t="shared" si="8"/>
        <v>32</v>
      </c>
      <c r="H20" s="2">
        <f t="shared" si="9"/>
        <v>30</v>
      </c>
      <c r="I20" s="2">
        <v>2</v>
      </c>
      <c r="J20" s="44" t="s">
        <v>48</v>
      </c>
      <c r="K20" s="2" t="s">
        <v>49</v>
      </c>
      <c r="L20" s="2">
        <v>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/>
      <c r="AM20" s="2" t="s">
        <v>1566</v>
      </c>
      <c r="AN20" s="2">
        <f t="shared" si="1"/>
        <v>2</v>
      </c>
      <c r="AO20" s="2">
        <f t="shared" si="2"/>
        <v>0</v>
      </c>
      <c r="AP20" s="2">
        <f t="shared" si="3"/>
        <v>0</v>
      </c>
      <c r="AQ20" s="2">
        <f t="shared" si="4"/>
        <v>0</v>
      </c>
      <c r="AR20" s="2">
        <f t="shared" si="5"/>
        <v>0</v>
      </c>
      <c r="AS20" s="2">
        <f t="shared" si="6"/>
        <v>0</v>
      </c>
      <c r="AT20" s="25">
        <f t="shared" si="7"/>
        <v>0</v>
      </c>
    </row>
    <row r="21" spans="1:46">
      <c r="A21" s="24">
        <v>46114</v>
      </c>
      <c r="B21" s="23">
        <f t="shared" si="0"/>
        <v>46113</v>
      </c>
      <c r="C21" s="2" t="s">
        <v>133</v>
      </c>
      <c r="D21" s="2" t="s">
        <v>268</v>
      </c>
      <c r="E21" s="2">
        <v>7148</v>
      </c>
      <c r="F21" s="2">
        <v>157</v>
      </c>
      <c r="G21" s="2">
        <f t="shared" si="8"/>
        <v>32</v>
      </c>
      <c r="H21" s="2">
        <f t="shared" si="9"/>
        <v>31</v>
      </c>
      <c r="I21" s="2">
        <v>1</v>
      </c>
      <c r="J21" s="44" t="s">
        <v>48</v>
      </c>
      <c r="K21" s="2" t="s">
        <v>49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0</v>
      </c>
      <c r="AI21" s="2">
        <v>0</v>
      </c>
      <c r="AJ21" s="2">
        <v>0</v>
      </c>
      <c r="AK21" s="2">
        <v>0</v>
      </c>
      <c r="AL21" s="2"/>
      <c r="AM21" s="2" t="s">
        <v>1566</v>
      </c>
      <c r="AN21" s="2">
        <f t="shared" si="1"/>
        <v>0</v>
      </c>
      <c r="AO21" s="2">
        <f t="shared" si="2"/>
        <v>0</v>
      </c>
      <c r="AP21" s="2">
        <f t="shared" si="3"/>
        <v>0</v>
      </c>
      <c r="AQ21" s="2">
        <f t="shared" si="4"/>
        <v>0</v>
      </c>
      <c r="AR21" s="2">
        <f t="shared" si="5"/>
        <v>0</v>
      </c>
      <c r="AS21" s="2">
        <f t="shared" si="6"/>
        <v>1</v>
      </c>
      <c r="AT21" s="25">
        <f t="shared" si="7"/>
        <v>0</v>
      </c>
    </row>
    <row r="22" spans="1:46">
      <c r="A22" s="24">
        <v>46114</v>
      </c>
      <c r="B22" s="23">
        <f t="shared" si="0"/>
        <v>46113</v>
      </c>
      <c r="C22" s="2" t="s">
        <v>55</v>
      </c>
      <c r="D22" s="2" t="s">
        <v>1213</v>
      </c>
      <c r="E22" s="2">
        <v>2760</v>
      </c>
      <c r="F22" s="2">
        <v>139</v>
      </c>
      <c r="G22" s="2">
        <f t="shared" si="8"/>
        <v>20</v>
      </c>
      <c r="H22" s="2">
        <f t="shared" si="9"/>
        <v>19</v>
      </c>
      <c r="I22" s="2">
        <v>1</v>
      </c>
      <c r="J22" s="44" t="s">
        <v>48</v>
      </c>
      <c r="K22" s="2" t="s">
        <v>49</v>
      </c>
      <c r="L22" s="2">
        <v>1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/>
      <c r="AM22" s="2" t="s">
        <v>1566</v>
      </c>
      <c r="AN22" s="2">
        <f t="shared" si="1"/>
        <v>1</v>
      </c>
      <c r="AO22" s="2">
        <f t="shared" si="2"/>
        <v>0</v>
      </c>
      <c r="AP22" s="2">
        <f t="shared" si="3"/>
        <v>0</v>
      </c>
      <c r="AQ22" s="2">
        <f t="shared" si="4"/>
        <v>0</v>
      </c>
      <c r="AR22" s="2">
        <f t="shared" si="5"/>
        <v>0</v>
      </c>
      <c r="AS22" s="2">
        <f t="shared" si="6"/>
        <v>0</v>
      </c>
      <c r="AT22" s="25">
        <f t="shared" si="7"/>
        <v>0</v>
      </c>
    </row>
    <row r="23" spans="1:46">
      <c r="A23" s="24">
        <v>46114</v>
      </c>
      <c r="B23" s="23">
        <f t="shared" si="0"/>
        <v>46113</v>
      </c>
      <c r="C23" s="2" t="s">
        <v>55</v>
      </c>
      <c r="D23" s="2" t="s">
        <v>153</v>
      </c>
      <c r="E23" s="2">
        <v>1730</v>
      </c>
      <c r="F23" s="2">
        <v>215</v>
      </c>
      <c r="G23" s="2">
        <f t="shared" si="8"/>
        <v>32</v>
      </c>
      <c r="H23" s="2">
        <f t="shared" si="9"/>
        <v>31</v>
      </c>
      <c r="I23" s="2">
        <v>1</v>
      </c>
      <c r="J23" s="44" t="s">
        <v>48</v>
      </c>
      <c r="K23" s="2" t="s">
        <v>49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/>
      <c r="AM23" s="2" t="s">
        <v>1566</v>
      </c>
      <c r="AN23" s="2">
        <f t="shared" si="1"/>
        <v>1</v>
      </c>
      <c r="AO23" s="2">
        <f t="shared" si="2"/>
        <v>0</v>
      </c>
      <c r="AP23" s="2">
        <f t="shared" si="3"/>
        <v>0</v>
      </c>
      <c r="AQ23" s="2">
        <f t="shared" si="4"/>
        <v>0</v>
      </c>
      <c r="AR23" s="2">
        <f t="shared" si="5"/>
        <v>0</v>
      </c>
      <c r="AS23" s="2">
        <f t="shared" si="6"/>
        <v>0</v>
      </c>
      <c r="AT23" s="25">
        <f t="shared" si="7"/>
        <v>0</v>
      </c>
    </row>
    <row r="24" spans="1:46">
      <c r="A24" s="24">
        <v>46114</v>
      </c>
      <c r="B24" s="23">
        <f t="shared" si="0"/>
        <v>46113</v>
      </c>
      <c r="C24" s="2" t="s">
        <v>55</v>
      </c>
      <c r="D24" s="2" t="s">
        <v>1225</v>
      </c>
      <c r="E24" s="2">
        <v>6314</v>
      </c>
      <c r="F24" s="2">
        <v>144</v>
      </c>
      <c r="G24" s="2">
        <f t="shared" si="8"/>
        <v>20</v>
      </c>
      <c r="H24" s="2">
        <f t="shared" si="9"/>
        <v>19</v>
      </c>
      <c r="I24" s="2">
        <v>1</v>
      </c>
      <c r="J24" s="44" t="s">
        <v>48</v>
      </c>
      <c r="K24" s="2" t="s">
        <v>49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/>
      <c r="AM24" s="2" t="s">
        <v>1566</v>
      </c>
      <c r="AN24" s="2">
        <f t="shared" si="1"/>
        <v>1</v>
      </c>
      <c r="AO24" s="2">
        <f t="shared" si="2"/>
        <v>0</v>
      </c>
      <c r="AP24" s="2">
        <f t="shared" si="3"/>
        <v>0</v>
      </c>
      <c r="AQ24" s="2">
        <f t="shared" si="4"/>
        <v>0</v>
      </c>
      <c r="AR24" s="2">
        <f t="shared" si="5"/>
        <v>0</v>
      </c>
      <c r="AS24" s="2">
        <f t="shared" si="6"/>
        <v>0</v>
      </c>
      <c r="AT24" s="25">
        <f t="shared" si="7"/>
        <v>0</v>
      </c>
    </row>
    <row r="25" spans="1:46">
      <c r="A25" s="24">
        <v>46114</v>
      </c>
      <c r="B25" s="23">
        <f t="shared" si="0"/>
        <v>46113</v>
      </c>
      <c r="C25" s="2" t="s">
        <v>72</v>
      </c>
      <c r="D25" s="2" t="s">
        <v>182</v>
      </c>
      <c r="E25" s="2">
        <v>8107</v>
      </c>
      <c r="F25" s="2">
        <v>226</v>
      </c>
      <c r="G25" s="2">
        <f t="shared" si="8"/>
        <v>32</v>
      </c>
      <c r="H25" s="2">
        <f t="shared" si="9"/>
        <v>32</v>
      </c>
      <c r="I25" s="2">
        <v>0</v>
      </c>
      <c r="J25" s="44" t="s">
        <v>48</v>
      </c>
      <c r="K25" s="2" t="s">
        <v>49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/>
      <c r="AM25" s="2" t="s">
        <v>103</v>
      </c>
      <c r="AN25" s="2">
        <f t="shared" si="1"/>
        <v>0</v>
      </c>
      <c r="AO25" s="2">
        <f t="shared" si="2"/>
        <v>0</v>
      </c>
      <c r="AP25" s="2">
        <f t="shared" si="3"/>
        <v>0</v>
      </c>
      <c r="AQ25" s="2">
        <f t="shared" si="4"/>
        <v>0</v>
      </c>
      <c r="AR25" s="2">
        <f t="shared" si="5"/>
        <v>0</v>
      </c>
      <c r="AS25" s="2">
        <f t="shared" si="6"/>
        <v>0</v>
      </c>
      <c r="AT25" s="25">
        <f t="shared" si="7"/>
        <v>0</v>
      </c>
    </row>
    <row r="26" spans="1:46">
      <c r="A26" s="24">
        <v>46114</v>
      </c>
      <c r="B26" s="23">
        <f t="shared" si="0"/>
        <v>46113</v>
      </c>
      <c r="C26" s="2" t="s">
        <v>72</v>
      </c>
      <c r="D26" s="2" t="s">
        <v>88</v>
      </c>
      <c r="E26" s="2">
        <v>1825</v>
      </c>
      <c r="F26" s="2">
        <v>208</v>
      </c>
      <c r="G26" s="2">
        <f t="shared" si="8"/>
        <v>32</v>
      </c>
      <c r="H26" s="2">
        <f t="shared" si="9"/>
        <v>32</v>
      </c>
      <c r="I26" s="2">
        <v>0</v>
      </c>
      <c r="J26" s="44" t="s">
        <v>48</v>
      </c>
      <c r="K26" s="2" t="s">
        <v>49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/>
      <c r="AM26" s="2" t="s">
        <v>103</v>
      </c>
      <c r="AN26" s="2">
        <f t="shared" si="1"/>
        <v>0</v>
      </c>
      <c r="AO26" s="2">
        <f t="shared" si="2"/>
        <v>0</v>
      </c>
      <c r="AP26" s="2">
        <f t="shared" si="3"/>
        <v>0</v>
      </c>
      <c r="AQ26" s="2">
        <f t="shared" si="4"/>
        <v>0</v>
      </c>
      <c r="AR26" s="2">
        <f t="shared" si="5"/>
        <v>0</v>
      </c>
      <c r="AS26" s="2">
        <f t="shared" si="6"/>
        <v>0</v>
      </c>
      <c r="AT26" s="25">
        <f t="shared" si="7"/>
        <v>0</v>
      </c>
    </row>
    <row r="27" spans="1:46">
      <c r="A27" s="24">
        <v>46114</v>
      </c>
      <c r="B27" s="23">
        <f t="shared" si="0"/>
        <v>46113</v>
      </c>
      <c r="C27" s="2" t="s">
        <v>72</v>
      </c>
      <c r="D27" s="2" t="s">
        <v>199</v>
      </c>
      <c r="E27" s="2">
        <v>1825</v>
      </c>
      <c r="F27" s="2">
        <v>216</v>
      </c>
      <c r="G27" s="2">
        <f t="shared" si="8"/>
        <v>32</v>
      </c>
      <c r="H27" s="2">
        <f t="shared" si="9"/>
        <v>32</v>
      </c>
      <c r="I27" s="2">
        <v>0</v>
      </c>
      <c r="J27" s="44" t="s">
        <v>48</v>
      </c>
      <c r="K27" s="2" t="s">
        <v>49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/>
      <c r="AM27" s="2" t="s">
        <v>103</v>
      </c>
      <c r="AN27" s="2">
        <f t="shared" si="1"/>
        <v>0</v>
      </c>
      <c r="AO27" s="2">
        <f t="shared" si="2"/>
        <v>0</v>
      </c>
      <c r="AP27" s="2">
        <f t="shared" si="3"/>
        <v>0</v>
      </c>
      <c r="AQ27" s="2">
        <f t="shared" si="4"/>
        <v>0</v>
      </c>
      <c r="AR27" s="2">
        <f t="shared" si="5"/>
        <v>0</v>
      </c>
      <c r="AS27" s="2">
        <f t="shared" si="6"/>
        <v>0</v>
      </c>
      <c r="AT27" s="25">
        <f t="shared" si="7"/>
        <v>0</v>
      </c>
    </row>
    <row r="28" spans="1:46">
      <c r="A28" s="24">
        <v>46114</v>
      </c>
      <c r="B28" s="23">
        <f t="shared" si="0"/>
        <v>46113</v>
      </c>
      <c r="C28" s="2" t="s">
        <v>72</v>
      </c>
      <c r="D28" s="2" t="s">
        <v>79</v>
      </c>
      <c r="E28" s="2">
        <v>6265</v>
      </c>
      <c r="F28" s="2">
        <v>119</v>
      </c>
      <c r="G28" s="2">
        <f t="shared" si="8"/>
        <v>20</v>
      </c>
      <c r="H28" s="2">
        <f t="shared" si="9"/>
        <v>20</v>
      </c>
      <c r="I28" s="2">
        <v>0</v>
      </c>
      <c r="J28" s="44" t="s">
        <v>48</v>
      </c>
      <c r="K28" s="2" t="s">
        <v>49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/>
      <c r="AM28" s="2" t="s">
        <v>103</v>
      </c>
      <c r="AN28" s="2">
        <f t="shared" si="1"/>
        <v>0</v>
      </c>
      <c r="AO28" s="2">
        <f t="shared" si="2"/>
        <v>0</v>
      </c>
      <c r="AP28" s="2">
        <f t="shared" si="3"/>
        <v>0</v>
      </c>
      <c r="AQ28" s="2">
        <f t="shared" si="4"/>
        <v>0</v>
      </c>
      <c r="AR28" s="2">
        <f t="shared" si="5"/>
        <v>0</v>
      </c>
      <c r="AS28" s="2">
        <f t="shared" si="6"/>
        <v>0</v>
      </c>
      <c r="AT28" s="25">
        <f t="shared" si="7"/>
        <v>0</v>
      </c>
    </row>
    <row r="29" spans="1:46">
      <c r="A29" s="24">
        <v>46114</v>
      </c>
      <c r="B29" s="23">
        <f t="shared" si="0"/>
        <v>46113</v>
      </c>
      <c r="C29" s="2" t="s">
        <v>72</v>
      </c>
      <c r="D29" s="2" t="s">
        <v>84</v>
      </c>
      <c r="E29" s="2">
        <v>1825</v>
      </c>
      <c r="F29" s="2">
        <v>114</v>
      </c>
      <c r="G29" s="2">
        <f t="shared" si="8"/>
        <v>20</v>
      </c>
      <c r="H29" s="2">
        <f t="shared" si="9"/>
        <v>20</v>
      </c>
      <c r="I29" s="2">
        <v>0</v>
      </c>
      <c r="J29" s="44" t="s">
        <v>48</v>
      </c>
      <c r="K29" s="2" t="s">
        <v>49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/>
      <c r="AM29" s="2" t="s">
        <v>103</v>
      </c>
      <c r="AN29" s="2">
        <f t="shared" si="1"/>
        <v>0</v>
      </c>
      <c r="AO29" s="2">
        <f t="shared" si="2"/>
        <v>0</v>
      </c>
      <c r="AP29" s="2">
        <f t="shared" si="3"/>
        <v>0</v>
      </c>
      <c r="AQ29" s="2">
        <f t="shared" si="4"/>
        <v>0</v>
      </c>
      <c r="AR29" s="2">
        <f t="shared" si="5"/>
        <v>0</v>
      </c>
      <c r="AS29" s="2">
        <f t="shared" si="6"/>
        <v>0</v>
      </c>
      <c r="AT29" s="25">
        <f t="shared" si="7"/>
        <v>0</v>
      </c>
    </row>
    <row r="30" spans="1:46">
      <c r="A30" s="24">
        <v>46114</v>
      </c>
      <c r="B30" s="23">
        <f t="shared" si="0"/>
        <v>46113</v>
      </c>
      <c r="C30" s="2" t="s">
        <v>72</v>
      </c>
      <c r="D30" s="2" t="s">
        <v>87</v>
      </c>
      <c r="E30" s="2">
        <v>1825</v>
      </c>
      <c r="F30" s="2">
        <v>83</v>
      </c>
      <c r="G30" s="2">
        <f t="shared" si="8"/>
        <v>20</v>
      </c>
      <c r="H30" s="2">
        <f t="shared" si="9"/>
        <v>20</v>
      </c>
      <c r="I30" s="2">
        <v>0</v>
      </c>
      <c r="J30" s="44" t="s">
        <v>48</v>
      </c>
      <c r="K30" s="2" t="s">
        <v>49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/>
      <c r="AM30" s="2" t="s">
        <v>103</v>
      </c>
      <c r="AN30" s="2">
        <f t="shared" si="1"/>
        <v>0</v>
      </c>
      <c r="AO30" s="2">
        <f t="shared" si="2"/>
        <v>0</v>
      </c>
      <c r="AP30" s="2">
        <f t="shared" si="3"/>
        <v>0</v>
      </c>
      <c r="AQ30" s="2">
        <f t="shared" si="4"/>
        <v>0</v>
      </c>
      <c r="AR30" s="2">
        <f t="shared" si="5"/>
        <v>0</v>
      </c>
      <c r="AS30" s="2">
        <f t="shared" si="6"/>
        <v>0</v>
      </c>
      <c r="AT30" s="25">
        <f t="shared" si="7"/>
        <v>0</v>
      </c>
    </row>
    <row r="31" spans="1:46">
      <c r="A31" s="24">
        <v>46114</v>
      </c>
      <c r="B31" s="23">
        <f t="shared" si="0"/>
        <v>46113</v>
      </c>
      <c r="C31" s="2" t="s">
        <v>46</v>
      </c>
      <c r="D31" s="2" t="s">
        <v>73</v>
      </c>
      <c r="E31" s="2">
        <v>2702</v>
      </c>
      <c r="F31" s="2">
        <v>579</v>
      </c>
      <c r="G31" s="2">
        <f t="shared" si="8"/>
        <v>80</v>
      </c>
      <c r="H31" s="2">
        <f t="shared" si="9"/>
        <v>78</v>
      </c>
      <c r="I31" s="2">
        <v>2</v>
      </c>
      <c r="J31" s="44" t="s">
        <v>48</v>
      </c>
      <c r="K31" s="2" t="s">
        <v>49</v>
      </c>
      <c r="L31" s="2">
        <v>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/>
      <c r="AM31" s="2" t="s">
        <v>1567</v>
      </c>
      <c r="AN31" s="2">
        <f t="shared" si="1"/>
        <v>2</v>
      </c>
      <c r="AO31" s="2">
        <f t="shared" si="2"/>
        <v>0</v>
      </c>
      <c r="AP31" s="2">
        <f t="shared" si="3"/>
        <v>0</v>
      </c>
      <c r="AQ31" s="2">
        <f t="shared" si="4"/>
        <v>0</v>
      </c>
      <c r="AR31" s="2">
        <f t="shared" si="5"/>
        <v>0</v>
      </c>
      <c r="AS31" s="2">
        <f t="shared" si="6"/>
        <v>0</v>
      </c>
      <c r="AT31" s="25">
        <f t="shared" si="7"/>
        <v>0</v>
      </c>
    </row>
    <row r="32" spans="1:46">
      <c r="A32" s="24">
        <v>46114</v>
      </c>
      <c r="B32" s="23">
        <f t="shared" si="0"/>
        <v>46113</v>
      </c>
      <c r="C32" s="2" t="s">
        <v>95</v>
      </c>
      <c r="D32" s="2" t="s">
        <v>175</v>
      </c>
      <c r="E32" s="2">
        <v>6292</v>
      </c>
      <c r="F32" s="2">
        <v>87</v>
      </c>
      <c r="G32" s="2">
        <f t="shared" si="8"/>
        <v>20</v>
      </c>
      <c r="H32" s="2">
        <f t="shared" si="9"/>
        <v>19</v>
      </c>
      <c r="I32" s="2">
        <v>1</v>
      </c>
      <c r="J32" s="44" t="s">
        <v>48</v>
      </c>
      <c r="K32" s="2" t="s">
        <v>49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/>
      <c r="AM32" s="2" t="s">
        <v>1567</v>
      </c>
      <c r="AN32" s="2">
        <f t="shared" si="1"/>
        <v>1</v>
      </c>
      <c r="AO32" s="2">
        <f t="shared" si="2"/>
        <v>0</v>
      </c>
      <c r="AP32" s="2">
        <f t="shared" si="3"/>
        <v>0</v>
      </c>
      <c r="AQ32" s="2">
        <f t="shared" si="4"/>
        <v>0</v>
      </c>
      <c r="AR32" s="2">
        <f t="shared" si="5"/>
        <v>0</v>
      </c>
      <c r="AS32" s="2">
        <f t="shared" si="6"/>
        <v>0</v>
      </c>
      <c r="AT32" s="25">
        <f t="shared" si="7"/>
        <v>0</v>
      </c>
    </row>
    <row r="33" spans="1:46">
      <c r="A33" s="24">
        <v>46114</v>
      </c>
      <c r="B33" s="23">
        <f t="shared" si="0"/>
        <v>46113</v>
      </c>
      <c r="C33" s="2" t="s">
        <v>46</v>
      </c>
      <c r="D33" s="2" t="s">
        <v>159</v>
      </c>
      <c r="E33" s="2">
        <v>6296</v>
      </c>
      <c r="F33" s="2">
        <v>88</v>
      </c>
      <c r="G33" s="2">
        <f t="shared" si="8"/>
        <v>20</v>
      </c>
      <c r="H33" s="2">
        <f t="shared" si="9"/>
        <v>20</v>
      </c>
      <c r="I33" s="2">
        <v>0</v>
      </c>
      <c r="J33" s="44" t="s">
        <v>48</v>
      </c>
      <c r="K33" s="2" t="s">
        <v>49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/>
      <c r="AM33" s="2" t="s">
        <v>1567</v>
      </c>
      <c r="AN33" s="2">
        <f t="shared" si="1"/>
        <v>0</v>
      </c>
      <c r="AO33" s="2">
        <f t="shared" si="2"/>
        <v>0</v>
      </c>
      <c r="AP33" s="2">
        <f t="shared" si="3"/>
        <v>0</v>
      </c>
      <c r="AQ33" s="2">
        <f t="shared" si="4"/>
        <v>0</v>
      </c>
      <c r="AR33" s="2">
        <f t="shared" si="5"/>
        <v>0</v>
      </c>
      <c r="AS33" s="2">
        <f t="shared" si="6"/>
        <v>0</v>
      </c>
      <c r="AT33" s="25">
        <f t="shared" si="7"/>
        <v>0</v>
      </c>
    </row>
    <row r="34" spans="1:46">
      <c r="A34" s="24">
        <v>46114</v>
      </c>
      <c r="B34" s="23">
        <f t="shared" si="0"/>
        <v>46113</v>
      </c>
      <c r="C34" s="2" t="s">
        <v>95</v>
      </c>
      <c r="D34" s="2" t="s">
        <v>168</v>
      </c>
      <c r="E34" s="2">
        <v>6222</v>
      </c>
      <c r="F34" s="2">
        <v>55</v>
      </c>
      <c r="G34" s="2">
        <f t="shared" si="8"/>
        <v>20</v>
      </c>
      <c r="H34" s="2">
        <f t="shared" si="9"/>
        <v>20</v>
      </c>
      <c r="I34" s="2">
        <v>0</v>
      </c>
      <c r="J34" s="44" t="s">
        <v>48</v>
      </c>
      <c r="K34" s="2" t="s">
        <v>49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/>
      <c r="AM34" s="2" t="s">
        <v>1567</v>
      </c>
      <c r="AN34" s="2">
        <f t="shared" si="1"/>
        <v>0</v>
      </c>
      <c r="AO34" s="2">
        <f t="shared" si="2"/>
        <v>0</v>
      </c>
      <c r="AP34" s="2">
        <f t="shared" si="3"/>
        <v>0</v>
      </c>
      <c r="AQ34" s="2">
        <f t="shared" si="4"/>
        <v>0</v>
      </c>
      <c r="AR34" s="2">
        <f t="shared" si="5"/>
        <v>0</v>
      </c>
      <c r="AS34" s="2">
        <f t="shared" si="6"/>
        <v>0</v>
      </c>
      <c r="AT34" s="25">
        <f t="shared" si="7"/>
        <v>0</v>
      </c>
    </row>
    <row r="35" spans="1:46">
      <c r="A35" s="24">
        <v>46114</v>
      </c>
      <c r="B35" s="23">
        <f t="shared" si="0"/>
        <v>46113</v>
      </c>
      <c r="C35" s="2" t="s">
        <v>46</v>
      </c>
      <c r="D35" s="2" t="s">
        <v>1310</v>
      </c>
      <c r="E35" s="2">
        <v>8190</v>
      </c>
      <c r="F35" s="2">
        <v>380</v>
      </c>
      <c r="G35" s="2">
        <f t="shared" si="8"/>
        <v>50</v>
      </c>
      <c r="H35" s="2">
        <f t="shared" si="9"/>
        <v>42</v>
      </c>
      <c r="I35" s="2">
        <v>8</v>
      </c>
      <c r="J35" s="44" t="s">
        <v>67</v>
      </c>
      <c r="K35" s="2" t="s">
        <v>49</v>
      </c>
      <c r="L35" s="2">
        <v>0</v>
      </c>
      <c r="M35" s="2">
        <v>2</v>
      </c>
      <c r="N35" s="2">
        <v>0</v>
      </c>
      <c r="O35" s="2">
        <v>5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/>
      <c r="AM35" s="2" t="s">
        <v>1567</v>
      </c>
      <c r="AN35" s="2">
        <f t="shared" si="1"/>
        <v>0</v>
      </c>
      <c r="AO35" s="2">
        <f t="shared" si="2"/>
        <v>7</v>
      </c>
      <c r="AP35" s="2">
        <f t="shared" si="3"/>
        <v>1</v>
      </c>
      <c r="AQ35" s="2">
        <f t="shared" si="4"/>
        <v>0</v>
      </c>
      <c r="AR35" s="2">
        <f t="shared" si="5"/>
        <v>0</v>
      </c>
      <c r="AS35" s="2">
        <f t="shared" si="6"/>
        <v>0</v>
      </c>
      <c r="AT35" s="25">
        <f t="shared" si="7"/>
        <v>0</v>
      </c>
    </row>
    <row r="36" spans="1:46">
      <c r="A36" s="24">
        <v>46114</v>
      </c>
      <c r="B36" s="23">
        <f t="shared" si="0"/>
        <v>46113</v>
      </c>
      <c r="C36" s="2" t="s">
        <v>95</v>
      </c>
      <c r="D36" s="2" t="s">
        <v>320</v>
      </c>
      <c r="E36" s="2">
        <v>2781</v>
      </c>
      <c r="F36" s="2">
        <v>154</v>
      </c>
      <c r="G36" s="2">
        <f t="shared" si="8"/>
        <v>32</v>
      </c>
      <c r="H36" s="2">
        <f t="shared" si="9"/>
        <v>32</v>
      </c>
      <c r="I36" s="2">
        <v>0</v>
      </c>
      <c r="J36" s="44" t="s">
        <v>48</v>
      </c>
      <c r="K36" s="2" t="s">
        <v>49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/>
      <c r="AM36" s="2" t="s">
        <v>1567</v>
      </c>
      <c r="AN36" s="2">
        <f t="shared" si="1"/>
        <v>0</v>
      </c>
      <c r="AO36" s="2">
        <f t="shared" si="2"/>
        <v>0</v>
      </c>
      <c r="AP36" s="2">
        <f t="shared" si="3"/>
        <v>0</v>
      </c>
      <c r="AQ36" s="2">
        <f t="shared" si="4"/>
        <v>0</v>
      </c>
      <c r="AR36" s="2">
        <f t="shared" si="5"/>
        <v>0</v>
      </c>
      <c r="AS36" s="2">
        <f t="shared" si="6"/>
        <v>0</v>
      </c>
      <c r="AT36" s="25">
        <f t="shared" si="7"/>
        <v>0</v>
      </c>
    </row>
    <row r="37" spans="1:46">
      <c r="A37" s="24">
        <v>46114</v>
      </c>
      <c r="B37" s="23">
        <f t="shared" si="0"/>
        <v>46113</v>
      </c>
      <c r="C37" s="2" t="s">
        <v>46</v>
      </c>
      <c r="D37" s="2" t="s">
        <v>320</v>
      </c>
      <c r="E37" s="2">
        <v>2781</v>
      </c>
      <c r="F37" s="2">
        <v>100</v>
      </c>
      <c r="G37" s="2">
        <f t="shared" si="8"/>
        <v>20</v>
      </c>
      <c r="H37" s="2">
        <f t="shared" si="9"/>
        <v>20</v>
      </c>
      <c r="I37" s="2">
        <v>0</v>
      </c>
      <c r="J37" s="44" t="s">
        <v>48</v>
      </c>
      <c r="K37" s="2" t="s">
        <v>49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/>
      <c r="AM37" s="2" t="s">
        <v>1567</v>
      </c>
      <c r="AN37" s="2">
        <f t="shared" si="1"/>
        <v>0</v>
      </c>
      <c r="AO37" s="2">
        <f t="shared" si="2"/>
        <v>0</v>
      </c>
      <c r="AP37" s="2">
        <f t="shared" si="3"/>
        <v>0</v>
      </c>
      <c r="AQ37" s="2">
        <f t="shared" si="4"/>
        <v>0</v>
      </c>
      <c r="AR37" s="2">
        <f t="shared" si="5"/>
        <v>0</v>
      </c>
      <c r="AS37" s="2">
        <f t="shared" si="6"/>
        <v>0</v>
      </c>
      <c r="AT37" s="25">
        <f t="shared" si="7"/>
        <v>0</v>
      </c>
    </row>
    <row r="38" spans="1:46">
      <c r="A38" s="24">
        <v>46114</v>
      </c>
      <c r="B38" s="23">
        <f t="shared" si="0"/>
        <v>46113</v>
      </c>
      <c r="C38" s="2" t="s">
        <v>46</v>
      </c>
      <c r="D38" s="2" t="s">
        <v>52</v>
      </c>
      <c r="E38" s="2">
        <v>6269</v>
      </c>
      <c r="F38" s="2">
        <v>124</v>
      </c>
      <c r="G38" s="2">
        <f t="shared" si="8"/>
        <v>20</v>
      </c>
      <c r="H38" s="2">
        <f t="shared" si="9"/>
        <v>19</v>
      </c>
      <c r="I38" s="2">
        <v>1</v>
      </c>
      <c r="J38" s="44" t="s">
        <v>48</v>
      </c>
      <c r="K38" s="2" t="s">
        <v>49</v>
      </c>
      <c r="L38" s="2">
        <v>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/>
      <c r="AM38" s="2" t="s">
        <v>1567</v>
      </c>
      <c r="AN38" s="2">
        <f t="shared" si="1"/>
        <v>1</v>
      </c>
      <c r="AO38" s="2">
        <f t="shared" si="2"/>
        <v>0</v>
      </c>
      <c r="AP38" s="2">
        <f t="shared" si="3"/>
        <v>0</v>
      </c>
      <c r="AQ38" s="2">
        <f t="shared" si="4"/>
        <v>0</v>
      </c>
      <c r="AR38" s="2">
        <f t="shared" si="5"/>
        <v>0</v>
      </c>
      <c r="AS38" s="2">
        <f t="shared" si="6"/>
        <v>0</v>
      </c>
      <c r="AT38" s="25">
        <f t="shared" si="7"/>
        <v>0</v>
      </c>
    </row>
    <row r="39" spans="1:46">
      <c r="A39" s="24">
        <v>46114</v>
      </c>
      <c r="B39" s="23">
        <f t="shared" si="0"/>
        <v>46113</v>
      </c>
      <c r="C39" s="2" t="s">
        <v>95</v>
      </c>
      <c r="D39" s="2" t="s">
        <v>150</v>
      </c>
      <c r="E39" s="2">
        <v>1584</v>
      </c>
      <c r="F39" s="2">
        <v>710</v>
      </c>
      <c r="G39" s="2">
        <f t="shared" si="8"/>
        <v>80</v>
      </c>
      <c r="H39" s="2">
        <f t="shared" si="9"/>
        <v>76</v>
      </c>
      <c r="I39" s="2">
        <v>4</v>
      </c>
      <c r="J39" s="44" t="s">
        <v>48</v>
      </c>
      <c r="K39" s="2" t="s">
        <v>49</v>
      </c>
      <c r="L39" s="2">
        <v>4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/>
      <c r="AM39" s="2" t="s">
        <v>1567</v>
      </c>
      <c r="AN39" s="2">
        <f t="shared" si="1"/>
        <v>4</v>
      </c>
      <c r="AO39" s="2">
        <f t="shared" si="2"/>
        <v>0</v>
      </c>
      <c r="AP39" s="2">
        <f t="shared" si="3"/>
        <v>0</v>
      </c>
      <c r="AQ39" s="2">
        <f t="shared" si="4"/>
        <v>0</v>
      </c>
      <c r="AR39" s="2">
        <f t="shared" si="5"/>
        <v>0</v>
      </c>
      <c r="AS39" s="2">
        <f t="shared" si="6"/>
        <v>0</v>
      </c>
      <c r="AT39" s="25">
        <f t="shared" si="7"/>
        <v>0</v>
      </c>
    </row>
    <row r="40" spans="1:46">
      <c r="A40" s="24">
        <v>46114</v>
      </c>
      <c r="B40" s="23">
        <f t="shared" si="0"/>
        <v>46113</v>
      </c>
      <c r="C40" s="2" t="s">
        <v>46</v>
      </c>
      <c r="D40" s="2" t="s">
        <v>183</v>
      </c>
      <c r="E40" s="2">
        <v>1729</v>
      </c>
      <c r="F40" s="2">
        <v>437</v>
      </c>
      <c r="G40" s="2">
        <f t="shared" si="8"/>
        <v>50</v>
      </c>
      <c r="H40" s="2">
        <f t="shared" si="9"/>
        <v>50</v>
      </c>
      <c r="I40" s="2">
        <v>0</v>
      </c>
      <c r="J40" s="44" t="s">
        <v>48</v>
      </c>
      <c r="K40" s="2" t="s">
        <v>49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/>
      <c r="AM40" s="2" t="s">
        <v>1567</v>
      </c>
      <c r="AN40" s="2">
        <f t="shared" si="1"/>
        <v>0</v>
      </c>
      <c r="AO40" s="2">
        <f t="shared" si="2"/>
        <v>0</v>
      </c>
      <c r="AP40" s="2">
        <f t="shared" si="3"/>
        <v>0</v>
      </c>
      <c r="AQ40" s="2">
        <f t="shared" si="4"/>
        <v>0</v>
      </c>
      <c r="AR40" s="2">
        <f t="shared" si="5"/>
        <v>0</v>
      </c>
      <c r="AS40" s="2">
        <f t="shared" si="6"/>
        <v>0</v>
      </c>
      <c r="AT40" s="25">
        <f t="shared" si="7"/>
        <v>0</v>
      </c>
    </row>
    <row r="41" spans="1:46">
      <c r="A41" s="24">
        <v>46114</v>
      </c>
      <c r="B41" s="23">
        <f t="shared" si="0"/>
        <v>46113</v>
      </c>
      <c r="C41" s="2" t="s">
        <v>95</v>
      </c>
      <c r="D41" s="2" t="s">
        <v>414</v>
      </c>
      <c r="E41" s="2">
        <v>2679</v>
      </c>
      <c r="F41" s="2">
        <v>219</v>
      </c>
      <c r="G41" s="2">
        <f t="shared" si="8"/>
        <v>32</v>
      </c>
      <c r="H41" s="2">
        <f t="shared" si="9"/>
        <v>32</v>
      </c>
      <c r="I41" s="2">
        <v>0</v>
      </c>
      <c r="J41" s="44" t="s">
        <v>48</v>
      </c>
      <c r="K41" s="2" t="s">
        <v>49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/>
      <c r="AM41" s="2" t="s">
        <v>1567</v>
      </c>
      <c r="AN41" s="2">
        <f t="shared" si="1"/>
        <v>0</v>
      </c>
      <c r="AO41" s="2">
        <f t="shared" si="2"/>
        <v>0</v>
      </c>
      <c r="AP41" s="2">
        <f t="shared" si="3"/>
        <v>0</v>
      </c>
      <c r="AQ41" s="2">
        <f t="shared" si="4"/>
        <v>0</v>
      </c>
      <c r="AR41" s="2">
        <f t="shared" si="5"/>
        <v>0</v>
      </c>
      <c r="AS41" s="2">
        <f t="shared" si="6"/>
        <v>0</v>
      </c>
      <c r="AT41" s="25">
        <f t="shared" si="7"/>
        <v>0</v>
      </c>
    </row>
    <row r="42" spans="1:46">
      <c r="A42" s="24">
        <v>46114</v>
      </c>
      <c r="B42" s="23">
        <f t="shared" si="0"/>
        <v>46113</v>
      </c>
      <c r="C42" s="2" t="s">
        <v>95</v>
      </c>
      <c r="D42" s="2" t="s">
        <v>214</v>
      </c>
      <c r="E42" s="2">
        <v>2679</v>
      </c>
      <c r="F42" s="2">
        <v>119</v>
      </c>
      <c r="G42" s="2">
        <f t="shared" si="8"/>
        <v>20</v>
      </c>
      <c r="H42" s="2">
        <f t="shared" si="9"/>
        <v>18</v>
      </c>
      <c r="I42" s="2">
        <v>2</v>
      </c>
      <c r="J42" s="44" t="s">
        <v>67</v>
      </c>
      <c r="K42" s="2" t="s">
        <v>49</v>
      </c>
      <c r="L42" s="2">
        <v>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/>
      <c r="AM42" s="2" t="s">
        <v>1567</v>
      </c>
      <c r="AN42" s="2">
        <f t="shared" si="1"/>
        <v>2</v>
      </c>
      <c r="AO42" s="2">
        <f t="shared" si="2"/>
        <v>0</v>
      </c>
      <c r="AP42" s="2">
        <f t="shared" si="3"/>
        <v>0</v>
      </c>
      <c r="AQ42" s="2">
        <f t="shared" si="4"/>
        <v>0</v>
      </c>
      <c r="AR42" s="2">
        <f t="shared" si="5"/>
        <v>0</v>
      </c>
      <c r="AS42" s="2">
        <f t="shared" si="6"/>
        <v>0</v>
      </c>
      <c r="AT42" s="25">
        <f t="shared" si="7"/>
        <v>0</v>
      </c>
    </row>
    <row r="43" spans="1:46">
      <c r="A43" s="24">
        <v>46114</v>
      </c>
      <c r="B43" s="23">
        <f t="shared" si="0"/>
        <v>46113</v>
      </c>
      <c r="C43" s="2" t="s">
        <v>95</v>
      </c>
      <c r="D43" s="2" t="s">
        <v>159</v>
      </c>
      <c r="E43" s="2">
        <v>6296</v>
      </c>
      <c r="F43" s="2">
        <v>144</v>
      </c>
      <c r="G43" s="2">
        <f t="shared" si="8"/>
        <v>20</v>
      </c>
      <c r="H43" s="2">
        <f t="shared" si="9"/>
        <v>19</v>
      </c>
      <c r="I43" s="2">
        <v>1</v>
      </c>
      <c r="J43" s="44" t="s">
        <v>48</v>
      </c>
      <c r="K43" s="2" t="s">
        <v>49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/>
      <c r="AM43" s="2" t="s">
        <v>1567</v>
      </c>
      <c r="AN43" s="2">
        <f t="shared" si="1"/>
        <v>0</v>
      </c>
      <c r="AO43" s="2">
        <f t="shared" si="2"/>
        <v>1</v>
      </c>
      <c r="AP43" s="2">
        <f t="shared" si="3"/>
        <v>0</v>
      </c>
      <c r="AQ43" s="2">
        <f t="shared" si="4"/>
        <v>0</v>
      </c>
      <c r="AR43" s="2">
        <f t="shared" si="5"/>
        <v>0</v>
      </c>
      <c r="AS43" s="2">
        <f t="shared" si="6"/>
        <v>0</v>
      </c>
      <c r="AT43" s="25">
        <f t="shared" si="7"/>
        <v>0</v>
      </c>
    </row>
    <row r="44" spans="1:46">
      <c r="A44" s="24">
        <v>46114</v>
      </c>
      <c r="B44" s="23">
        <f t="shared" si="0"/>
        <v>46113</v>
      </c>
      <c r="C44" s="2" t="s">
        <v>95</v>
      </c>
      <c r="D44" s="2" t="s">
        <v>227</v>
      </c>
      <c r="E44" s="2">
        <v>2679</v>
      </c>
      <c r="F44" s="2">
        <v>389</v>
      </c>
      <c r="G44" s="2">
        <f t="shared" si="8"/>
        <v>50</v>
      </c>
      <c r="H44" s="2">
        <f t="shared" si="9"/>
        <v>47</v>
      </c>
      <c r="I44" s="2">
        <v>3</v>
      </c>
      <c r="J44" s="44" t="s">
        <v>48</v>
      </c>
      <c r="K44" s="2" t="s">
        <v>49</v>
      </c>
      <c r="L44" s="2">
        <v>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/>
      <c r="AM44" s="2" t="s">
        <v>1567</v>
      </c>
      <c r="AN44" s="2">
        <f t="shared" si="1"/>
        <v>2</v>
      </c>
      <c r="AO44" s="2">
        <f t="shared" si="2"/>
        <v>1</v>
      </c>
      <c r="AP44" s="2">
        <f t="shared" si="3"/>
        <v>0</v>
      </c>
      <c r="AQ44" s="2">
        <f t="shared" si="4"/>
        <v>0</v>
      </c>
      <c r="AR44" s="2">
        <f t="shared" si="5"/>
        <v>0</v>
      </c>
      <c r="AS44" s="2">
        <f t="shared" si="6"/>
        <v>0</v>
      </c>
      <c r="AT44" s="25">
        <f t="shared" si="7"/>
        <v>0</v>
      </c>
    </row>
    <row r="45" spans="1:46">
      <c r="A45" s="24">
        <v>46114</v>
      </c>
      <c r="B45" s="23">
        <f t="shared" si="0"/>
        <v>46113</v>
      </c>
      <c r="C45" s="2" t="s">
        <v>95</v>
      </c>
      <c r="D45" s="2" t="s">
        <v>326</v>
      </c>
      <c r="E45" s="2">
        <v>3322</v>
      </c>
      <c r="F45" s="2">
        <v>135</v>
      </c>
      <c r="G45" s="2">
        <f t="shared" si="8"/>
        <v>20</v>
      </c>
      <c r="H45" s="2">
        <f t="shared" si="9"/>
        <v>20</v>
      </c>
      <c r="I45" s="2">
        <v>0</v>
      </c>
      <c r="J45" s="44" t="s">
        <v>48</v>
      </c>
      <c r="K45" s="2" t="s">
        <v>49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/>
      <c r="AM45" s="2" t="s">
        <v>1567</v>
      </c>
      <c r="AN45" s="2">
        <f t="shared" si="1"/>
        <v>0</v>
      </c>
      <c r="AO45" s="2">
        <f t="shared" si="2"/>
        <v>0</v>
      </c>
      <c r="AP45" s="2">
        <f t="shared" si="3"/>
        <v>0</v>
      </c>
      <c r="AQ45" s="2">
        <f t="shared" si="4"/>
        <v>0</v>
      </c>
      <c r="AR45" s="2">
        <f t="shared" si="5"/>
        <v>0</v>
      </c>
      <c r="AS45" s="2">
        <f t="shared" si="6"/>
        <v>0</v>
      </c>
      <c r="AT45" s="25">
        <f t="shared" si="7"/>
        <v>0</v>
      </c>
    </row>
    <row r="46" spans="1:46">
      <c r="A46" s="24">
        <v>46114</v>
      </c>
      <c r="B46" s="23">
        <f t="shared" si="0"/>
        <v>46113</v>
      </c>
      <c r="C46" s="2" t="s">
        <v>46</v>
      </c>
      <c r="D46" s="2" t="s">
        <v>1212</v>
      </c>
      <c r="E46" s="2">
        <v>2572</v>
      </c>
      <c r="F46" s="2">
        <v>95</v>
      </c>
      <c r="G46" s="2">
        <f t="shared" si="8"/>
        <v>20</v>
      </c>
      <c r="H46" s="2">
        <f t="shared" si="9"/>
        <v>20</v>
      </c>
      <c r="I46" s="2">
        <v>0</v>
      </c>
      <c r="J46" s="44" t="s">
        <v>48</v>
      </c>
      <c r="K46" s="2" t="s">
        <v>49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/>
      <c r="AM46" s="2" t="s">
        <v>1567</v>
      </c>
      <c r="AN46" s="2">
        <f t="shared" si="1"/>
        <v>0</v>
      </c>
      <c r="AO46" s="2">
        <f t="shared" si="2"/>
        <v>0</v>
      </c>
      <c r="AP46" s="2">
        <f t="shared" si="3"/>
        <v>0</v>
      </c>
      <c r="AQ46" s="2">
        <f t="shared" si="4"/>
        <v>0</v>
      </c>
      <c r="AR46" s="2">
        <f t="shared" si="5"/>
        <v>0</v>
      </c>
      <c r="AS46" s="2">
        <f t="shared" si="6"/>
        <v>0</v>
      </c>
      <c r="AT46" s="25">
        <f t="shared" si="7"/>
        <v>0</v>
      </c>
    </row>
    <row r="47" spans="1:46">
      <c r="A47" s="24">
        <v>46114</v>
      </c>
      <c r="B47" s="23">
        <f t="shared" si="0"/>
        <v>46113</v>
      </c>
      <c r="C47" s="2" t="s">
        <v>62</v>
      </c>
      <c r="D47" s="2" t="s">
        <v>287</v>
      </c>
      <c r="E47" s="2">
        <v>6282</v>
      </c>
      <c r="F47" s="2">
        <v>197</v>
      </c>
      <c r="G47" s="2">
        <f t="shared" si="8"/>
        <v>32</v>
      </c>
      <c r="H47" s="2">
        <f t="shared" si="9"/>
        <v>32</v>
      </c>
      <c r="I47" s="2">
        <v>0</v>
      </c>
      <c r="J47" s="44" t="s">
        <v>48</v>
      </c>
      <c r="K47" s="2" t="s">
        <v>49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/>
      <c r="AM47" s="2" t="s">
        <v>1568</v>
      </c>
      <c r="AN47" s="2">
        <f t="shared" si="1"/>
        <v>0</v>
      </c>
      <c r="AO47" s="2">
        <f t="shared" si="2"/>
        <v>0</v>
      </c>
      <c r="AP47" s="2">
        <f t="shared" si="3"/>
        <v>0</v>
      </c>
      <c r="AQ47" s="2">
        <f t="shared" si="4"/>
        <v>0</v>
      </c>
      <c r="AR47" s="2">
        <f t="shared" si="5"/>
        <v>0</v>
      </c>
      <c r="AS47" s="2">
        <f t="shared" si="6"/>
        <v>0</v>
      </c>
      <c r="AT47" s="25">
        <f t="shared" si="7"/>
        <v>0</v>
      </c>
    </row>
    <row r="48" spans="1:46">
      <c r="A48" s="24">
        <v>46114</v>
      </c>
      <c r="B48" s="23">
        <f t="shared" si="0"/>
        <v>46113</v>
      </c>
      <c r="C48" s="2" t="s">
        <v>62</v>
      </c>
      <c r="D48" s="2" t="s">
        <v>394</v>
      </c>
      <c r="E48" s="2">
        <v>6259</v>
      </c>
      <c r="F48" s="2">
        <v>109</v>
      </c>
      <c r="G48" s="2">
        <f t="shared" si="8"/>
        <v>20</v>
      </c>
      <c r="H48" s="2">
        <f t="shared" si="9"/>
        <v>20</v>
      </c>
      <c r="I48" s="2">
        <v>0</v>
      </c>
      <c r="J48" s="44" t="s">
        <v>48</v>
      </c>
      <c r="K48" s="2" t="s">
        <v>49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/>
      <c r="AM48" s="2" t="s">
        <v>1568</v>
      </c>
      <c r="AN48" s="2">
        <f t="shared" si="1"/>
        <v>0</v>
      </c>
      <c r="AO48" s="2">
        <f t="shared" si="2"/>
        <v>0</v>
      </c>
      <c r="AP48" s="2">
        <f t="shared" si="3"/>
        <v>0</v>
      </c>
      <c r="AQ48" s="2">
        <f t="shared" si="4"/>
        <v>0</v>
      </c>
      <c r="AR48" s="2">
        <f t="shared" si="5"/>
        <v>0</v>
      </c>
      <c r="AS48" s="2">
        <f t="shared" si="6"/>
        <v>0</v>
      </c>
      <c r="AT48" s="25">
        <f t="shared" si="7"/>
        <v>0</v>
      </c>
    </row>
    <row r="49" spans="1:46">
      <c r="A49" s="24">
        <v>46114</v>
      </c>
      <c r="B49" s="23">
        <f t="shared" si="0"/>
        <v>46113</v>
      </c>
      <c r="C49" s="2" t="s">
        <v>63</v>
      </c>
      <c r="D49" s="2" t="s">
        <v>113</v>
      </c>
      <c r="E49" s="2">
        <v>2598</v>
      </c>
      <c r="F49" s="2">
        <v>843</v>
      </c>
      <c r="G49" s="2">
        <f t="shared" si="8"/>
        <v>80</v>
      </c>
      <c r="H49" s="2">
        <f t="shared" si="9"/>
        <v>78</v>
      </c>
      <c r="I49" s="2">
        <v>2</v>
      </c>
      <c r="J49" s="44" t="s">
        <v>48</v>
      </c>
      <c r="K49" s="2" t="s">
        <v>49</v>
      </c>
      <c r="L49" s="2">
        <v>2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/>
      <c r="AM49" s="2" t="s">
        <v>1568</v>
      </c>
      <c r="AN49" s="2">
        <f t="shared" si="1"/>
        <v>2</v>
      </c>
      <c r="AO49" s="2">
        <f t="shared" si="2"/>
        <v>0</v>
      </c>
      <c r="AP49" s="2">
        <f t="shared" si="3"/>
        <v>0</v>
      </c>
      <c r="AQ49" s="2">
        <f t="shared" si="4"/>
        <v>0</v>
      </c>
      <c r="AR49" s="2">
        <f t="shared" si="5"/>
        <v>0</v>
      </c>
      <c r="AS49" s="2">
        <f t="shared" si="6"/>
        <v>0</v>
      </c>
      <c r="AT49" s="25">
        <f t="shared" si="7"/>
        <v>0</v>
      </c>
    </row>
    <row r="50" spans="1:46">
      <c r="A50" s="24">
        <v>46114</v>
      </c>
      <c r="B50" s="23">
        <f t="shared" si="0"/>
        <v>46113</v>
      </c>
      <c r="C50" s="2" t="s">
        <v>63</v>
      </c>
      <c r="D50" s="2" t="s">
        <v>257</v>
      </c>
      <c r="E50" s="2">
        <v>2574</v>
      </c>
      <c r="F50" s="2">
        <v>119</v>
      </c>
      <c r="G50" s="2">
        <f t="shared" si="8"/>
        <v>20</v>
      </c>
      <c r="H50" s="2">
        <f t="shared" si="9"/>
        <v>19</v>
      </c>
      <c r="I50" s="2">
        <v>1</v>
      </c>
      <c r="J50" s="44" t="s">
        <v>48</v>
      </c>
      <c r="K50" s="2" t="s">
        <v>49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/>
      <c r="AM50" s="2" t="s">
        <v>1568</v>
      </c>
      <c r="AN50" s="2">
        <f t="shared" si="1"/>
        <v>1</v>
      </c>
      <c r="AO50" s="2">
        <f t="shared" si="2"/>
        <v>0</v>
      </c>
      <c r="AP50" s="2">
        <f t="shared" si="3"/>
        <v>0</v>
      </c>
      <c r="AQ50" s="2">
        <f t="shared" si="4"/>
        <v>0</v>
      </c>
      <c r="AR50" s="2">
        <f t="shared" si="5"/>
        <v>0</v>
      </c>
      <c r="AS50" s="2">
        <f t="shared" si="6"/>
        <v>0</v>
      </c>
      <c r="AT50" s="25">
        <f t="shared" si="7"/>
        <v>0</v>
      </c>
    </row>
    <row r="51" spans="1:46">
      <c r="A51" s="24">
        <v>46114</v>
      </c>
      <c r="B51" s="23">
        <f t="shared" si="0"/>
        <v>46113</v>
      </c>
      <c r="C51" s="2" t="s">
        <v>62</v>
      </c>
      <c r="D51" s="2" t="s">
        <v>1408</v>
      </c>
      <c r="E51" s="2">
        <v>3330</v>
      </c>
      <c r="F51" s="2">
        <v>93</v>
      </c>
      <c r="G51" s="2">
        <f t="shared" si="8"/>
        <v>20</v>
      </c>
      <c r="H51" s="2">
        <f t="shared" si="9"/>
        <v>19</v>
      </c>
      <c r="I51" s="2">
        <v>1</v>
      </c>
      <c r="J51" s="44" t="s">
        <v>48</v>
      </c>
      <c r="K51" s="2" t="s">
        <v>49</v>
      </c>
      <c r="L51" s="2">
        <v>1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/>
      <c r="AM51" s="2" t="s">
        <v>1568</v>
      </c>
      <c r="AN51" s="2">
        <f t="shared" si="1"/>
        <v>1</v>
      </c>
      <c r="AO51" s="2">
        <f t="shared" si="2"/>
        <v>0</v>
      </c>
      <c r="AP51" s="2">
        <f t="shared" si="3"/>
        <v>0</v>
      </c>
      <c r="AQ51" s="2">
        <f t="shared" si="4"/>
        <v>0</v>
      </c>
      <c r="AR51" s="2">
        <f t="shared" si="5"/>
        <v>0</v>
      </c>
      <c r="AS51" s="2">
        <f t="shared" si="6"/>
        <v>0</v>
      </c>
      <c r="AT51" s="25">
        <f t="shared" si="7"/>
        <v>0</v>
      </c>
    </row>
    <row r="52" spans="1:46">
      <c r="A52" s="24">
        <v>46114</v>
      </c>
      <c r="B52" s="23">
        <f t="shared" si="0"/>
        <v>46113</v>
      </c>
      <c r="C52" s="2" t="s">
        <v>62</v>
      </c>
      <c r="D52" s="2" t="s">
        <v>144</v>
      </c>
      <c r="E52" s="2">
        <v>3305</v>
      </c>
      <c r="F52" s="2">
        <v>145</v>
      </c>
      <c r="G52" s="2">
        <f t="shared" si="8"/>
        <v>20</v>
      </c>
      <c r="H52" s="2">
        <f t="shared" si="9"/>
        <v>20</v>
      </c>
      <c r="I52" s="2">
        <v>0</v>
      </c>
      <c r="J52" s="44" t="s">
        <v>48</v>
      </c>
      <c r="K52" s="2" t="s">
        <v>49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/>
      <c r="AM52" s="2" t="s">
        <v>1568</v>
      </c>
      <c r="AN52" s="2">
        <f t="shared" si="1"/>
        <v>0</v>
      </c>
      <c r="AO52" s="2">
        <f t="shared" si="2"/>
        <v>0</v>
      </c>
      <c r="AP52" s="2">
        <f t="shared" si="3"/>
        <v>0</v>
      </c>
      <c r="AQ52" s="2">
        <f t="shared" si="4"/>
        <v>0</v>
      </c>
      <c r="AR52" s="2">
        <f t="shared" si="5"/>
        <v>0</v>
      </c>
      <c r="AS52" s="2">
        <f t="shared" si="6"/>
        <v>0</v>
      </c>
      <c r="AT52" s="25">
        <f t="shared" si="7"/>
        <v>0</v>
      </c>
    </row>
    <row r="53" spans="1:46">
      <c r="A53" s="24">
        <v>46114</v>
      </c>
      <c r="B53" s="23">
        <f t="shared" si="0"/>
        <v>46113</v>
      </c>
      <c r="C53" s="2" t="s">
        <v>62</v>
      </c>
      <c r="D53" s="2" t="s">
        <v>151</v>
      </c>
      <c r="E53" s="2">
        <v>3290</v>
      </c>
      <c r="F53" s="2">
        <v>178</v>
      </c>
      <c r="G53" s="2">
        <f t="shared" si="8"/>
        <v>32</v>
      </c>
      <c r="H53" s="2">
        <f t="shared" si="9"/>
        <v>31</v>
      </c>
      <c r="I53" s="2">
        <v>1</v>
      </c>
      <c r="J53" s="44" t="s">
        <v>48</v>
      </c>
      <c r="K53" s="2" t="s">
        <v>49</v>
      </c>
      <c r="L53" s="2">
        <v>1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/>
      <c r="AM53" s="2" t="s">
        <v>1568</v>
      </c>
      <c r="AN53" s="2">
        <f t="shared" si="1"/>
        <v>1</v>
      </c>
      <c r="AO53" s="2">
        <f t="shared" si="2"/>
        <v>0</v>
      </c>
      <c r="AP53" s="2">
        <f t="shared" si="3"/>
        <v>0</v>
      </c>
      <c r="AQ53" s="2">
        <f t="shared" si="4"/>
        <v>0</v>
      </c>
      <c r="AR53" s="2">
        <f t="shared" si="5"/>
        <v>0</v>
      </c>
      <c r="AS53" s="2">
        <f t="shared" si="6"/>
        <v>0</v>
      </c>
      <c r="AT53" s="25">
        <f t="shared" si="7"/>
        <v>0</v>
      </c>
    </row>
    <row r="54" spans="1:46">
      <c r="A54" s="24">
        <v>46114</v>
      </c>
      <c r="B54" s="23">
        <f t="shared" si="0"/>
        <v>46113</v>
      </c>
      <c r="C54" s="2" t="s">
        <v>62</v>
      </c>
      <c r="D54" s="2" t="s">
        <v>78</v>
      </c>
      <c r="E54" s="2">
        <v>3305</v>
      </c>
      <c r="F54" s="2">
        <v>116</v>
      </c>
      <c r="G54" s="2">
        <f t="shared" si="8"/>
        <v>20</v>
      </c>
      <c r="H54" s="2">
        <f t="shared" si="9"/>
        <v>20</v>
      </c>
      <c r="I54" s="2">
        <v>0</v>
      </c>
      <c r="J54" s="44" t="s">
        <v>48</v>
      </c>
      <c r="K54" s="2" t="s">
        <v>49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/>
      <c r="AM54" s="2" t="s">
        <v>1568</v>
      </c>
      <c r="AN54" s="2">
        <f t="shared" si="1"/>
        <v>0</v>
      </c>
      <c r="AO54" s="2">
        <f t="shared" si="2"/>
        <v>0</v>
      </c>
      <c r="AP54" s="2">
        <f t="shared" si="3"/>
        <v>0</v>
      </c>
      <c r="AQ54" s="2">
        <f t="shared" si="4"/>
        <v>0</v>
      </c>
      <c r="AR54" s="2">
        <f t="shared" si="5"/>
        <v>0</v>
      </c>
      <c r="AS54" s="2">
        <f t="shared" si="6"/>
        <v>0</v>
      </c>
      <c r="AT54" s="25">
        <f t="shared" si="7"/>
        <v>0</v>
      </c>
    </row>
    <row r="55" spans="1:46">
      <c r="A55" s="24">
        <v>46114</v>
      </c>
      <c r="B55" s="23">
        <f t="shared" si="0"/>
        <v>46113</v>
      </c>
      <c r="C55" s="2" t="s">
        <v>62</v>
      </c>
      <c r="D55" s="2" t="s">
        <v>1205</v>
      </c>
      <c r="E55" s="2">
        <v>3313</v>
      </c>
      <c r="F55" s="2">
        <v>117</v>
      </c>
      <c r="G55" s="2">
        <f t="shared" si="8"/>
        <v>20</v>
      </c>
      <c r="H55" s="2">
        <f t="shared" si="9"/>
        <v>20</v>
      </c>
      <c r="I55" s="2">
        <v>0</v>
      </c>
      <c r="J55" s="44" t="s">
        <v>48</v>
      </c>
      <c r="K55" s="2" t="s">
        <v>49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/>
      <c r="AM55" s="2" t="s">
        <v>1568</v>
      </c>
      <c r="AN55" s="2">
        <f t="shared" si="1"/>
        <v>0</v>
      </c>
      <c r="AO55" s="2">
        <f t="shared" si="2"/>
        <v>0</v>
      </c>
      <c r="AP55" s="2">
        <f t="shared" si="3"/>
        <v>0</v>
      </c>
      <c r="AQ55" s="2">
        <f t="shared" si="4"/>
        <v>0</v>
      </c>
      <c r="AR55" s="2">
        <f t="shared" si="5"/>
        <v>0</v>
      </c>
      <c r="AS55" s="2">
        <f t="shared" si="6"/>
        <v>0</v>
      </c>
      <c r="AT55" s="25">
        <f t="shared" si="7"/>
        <v>0</v>
      </c>
    </row>
    <row r="56" spans="1:46">
      <c r="A56" s="24">
        <v>46114</v>
      </c>
      <c r="B56" s="23">
        <f t="shared" si="0"/>
        <v>46113</v>
      </c>
      <c r="C56" s="2" t="s">
        <v>63</v>
      </c>
      <c r="D56" s="2" t="s">
        <v>138</v>
      </c>
      <c r="E56" s="2">
        <v>2598</v>
      </c>
      <c r="F56" s="2">
        <v>54</v>
      </c>
      <c r="G56" s="2">
        <f t="shared" si="8"/>
        <v>20</v>
      </c>
      <c r="H56" s="2">
        <f t="shared" si="9"/>
        <v>20</v>
      </c>
      <c r="I56" s="2">
        <v>0</v>
      </c>
      <c r="J56" s="44" t="s">
        <v>48</v>
      </c>
      <c r="K56" s="2" t="s">
        <v>49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/>
      <c r="AM56" s="2" t="s">
        <v>1568</v>
      </c>
      <c r="AN56" s="2">
        <f t="shared" si="1"/>
        <v>0</v>
      </c>
      <c r="AO56" s="2">
        <f t="shared" si="2"/>
        <v>0</v>
      </c>
      <c r="AP56" s="2">
        <f t="shared" si="3"/>
        <v>0</v>
      </c>
      <c r="AQ56" s="2">
        <f t="shared" si="4"/>
        <v>0</v>
      </c>
      <c r="AR56" s="2">
        <f t="shared" si="5"/>
        <v>0</v>
      </c>
      <c r="AS56" s="2">
        <f t="shared" si="6"/>
        <v>0</v>
      </c>
      <c r="AT56" s="25">
        <f t="shared" si="7"/>
        <v>0</v>
      </c>
    </row>
    <row r="57" spans="1:46">
      <c r="A57" s="24">
        <v>46114</v>
      </c>
      <c r="B57" s="23">
        <f t="shared" si="0"/>
        <v>46113</v>
      </c>
      <c r="C57" s="2" t="s">
        <v>63</v>
      </c>
      <c r="D57" s="2" t="s">
        <v>142</v>
      </c>
      <c r="E57" s="2">
        <v>8060</v>
      </c>
      <c r="F57" s="2">
        <v>150</v>
      </c>
      <c r="G57" s="2">
        <f t="shared" si="8"/>
        <v>20</v>
      </c>
      <c r="H57" s="2">
        <f t="shared" si="9"/>
        <v>20</v>
      </c>
      <c r="I57" s="2">
        <v>0</v>
      </c>
      <c r="J57" s="44" t="s">
        <v>48</v>
      </c>
      <c r="K57" s="2" t="s">
        <v>49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/>
      <c r="AM57" s="2" t="s">
        <v>1568</v>
      </c>
      <c r="AN57" s="2">
        <f t="shared" si="1"/>
        <v>0</v>
      </c>
      <c r="AO57" s="2">
        <f t="shared" si="2"/>
        <v>0</v>
      </c>
      <c r="AP57" s="2">
        <f t="shared" si="3"/>
        <v>0</v>
      </c>
      <c r="AQ57" s="2">
        <f t="shared" si="4"/>
        <v>0</v>
      </c>
      <c r="AR57" s="2">
        <f t="shared" si="5"/>
        <v>0</v>
      </c>
      <c r="AS57" s="2">
        <f t="shared" si="6"/>
        <v>0</v>
      </c>
      <c r="AT57" s="25">
        <f t="shared" si="7"/>
        <v>0</v>
      </c>
    </row>
    <row r="58" spans="1:46">
      <c r="A58" s="24">
        <v>46114</v>
      </c>
      <c r="B58" s="23">
        <f t="shared" si="0"/>
        <v>46113</v>
      </c>
      <c r="C58" s="2" t="s">
        <v>63</v>
      </c>
      <c r="D58" s="2" t="s">
        <v>64</v>
      </c>
      <c r="E58" s="2">
        <v>6247</v>
      </c>
      <c r="F58" s="2">
        <v>150</v>
      </c>
      <c r="G58" s="2">
        <f t="shared" si="8"/>
        <v>20</v>
      </c>
      <c r="H58" s="2">
        <f t="shared" si="9"/>
        <v>20</v>
      </c>
      <c r="I58" s="2">
        <v>0</v>
      </c>
      <c r="J58" s="44" t="s">
        <v>48</v>
      </c>
      <c r="K58" s="2" t="s">
        <v>49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/>
      <c r="AM58" s="2" t="s">
        <v>1568</v>
      </c>
      <c r="AN58" s="2">
        <f t="shared" si="1"/>
        <v>0</v>
      </c>
      <c r="AO58" s="2">
        <f t="shared" si="2"/>
        <v>0</v>
      </c>
      <c r="AP58" s="2">
        <f t="shared" si="3"/>
        <v>0</v>
      </c>
      <c r="AQ58" s="2">
        <f t="shared" si="4"/>
        <v>0</v>
      </c>
      <c r="AR58" s="2">
        <f t="shared" si="5"/>
        <v>0</v>
      </c>
      <c r="AS58" s="2">
        <f t="shared" si="6"/>
        <v>0</v>
      </c>
      <c r="AT58" s="25">
        <f t="shared" si="7"/>
        <v>0</v>
      </c>
    </row>
    <row r="59" spans="1:46">
      <c r="A59" s="24">
        <v>46115</v>
      </c>
      <c r="B59" s="23">
        <f t="shared" si="0"/>
        <v>46113</v>
      </c>
      <c r="C59" s="2" t="s">
        <v>160</v>
      </c>
      <c r="D59" s="2" t="s">
        <v>267</v>
      </c>
      <c r="E59" s="2">
        <v>3227</v>
      </c>
      <c r="F59" s="2">
        <v>77</v>
      </c>
      <c r="G59" s="2">
        <f t="shared" si="8"/>
        <v>20</v>
      </c>
      <c r="H59" s="2">
        <f t="shared" si="9"/>
        <v>19</v>
      </c>
      <c r="I59" s="2">
        <v>1</v>
      </c>
      <c r="J59" s="44" t="s">
        <v>48</v>
      </c>
      <c r="K59" s="2" t="s">
        <v>49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/>
      <c r="AM59" s="2" t="s">
        <v>103</v>
      </c>
      <c r="AN59" s="2">
        <f t="shared" si="1"/>
        <v>1</v>
      </c>
      <c r="AO59" s="2">
        <f t="shared" si="2"/>
        <v>0</v>
      </c>
      <c r="AP59" s="2">
        <f t="shared" si="3"/>
        <v>0</v>
      </c>
      <c r="AQ59" s="2">
        <f t="shared" si="4"/>
        <v>0</v>
      </c>
      <c r="AR59" s="2">
        <f t="shared" si="5"/>
        <v>0</v>
      </c>
      <c r="AS59" s="2">
        <f t="shared" si="6"/>
        <v>0</v>
      </c>
      <c r="AT59" s="25">
        <f t="shared" si="7"/>
        <v>0</v>
      </c>
    </row>
    <row r="60" spans="1:46">
      <c r="A60" s="24">
        <v>46115</v>
      </c>
      <c r="B60" s="23">
        <f t="shared" si="0"/>
        <v>46113</v>
      </c>
      <c r="C60" s="2" t="s">
        <v>72</v>
      </c>
      <c r="D60" s="2" t="s">
        <v>85</v>
      </c>
      <c r="E60" s="2">
        <v>1580</v>
      </c>
      <c r="F60" s="2">
        <v>100</v>
      </c>
      <c r="G60" s="2">
        <f t="shared" si="8"/>
        <v>20</v>
      </c>
      <c r="H60" s="2">
        <f t="shared" si="9"/>
        <v>20</v>
      </c>
      <c r="I60" s="2">
        <v>0</v>
      </c>
      <c r="J60" s="44" t="s">
        <v>48</v>
      </c>
      <c r="K60" s="2" t="s">
        <v>49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/>
      <c r="AM60" s="2" t="s">
        <v>103</v>
      </c>
      <c r="AN60" s="2">
        <f t="shared" si="1"/>
        <v>0</v>
      </c>
      <c r="AO60" s="2">
        <f t="shared" si="2"/>
        <v>0</v>
      </c>
      <c r="AP60" s="2">
        <f t="shared" si="3"/>
        <v>0</v>
      </c>
      <c r="AQ60" s="2">
        <f t="shared" si="4"/>
        <v>0</v>
      </c>
      <c r="AR60" s="2">
        <f t="shared" si="5"/>
        <v>0</v>
      </c>
      <c r="AS60" s="2">
        <f t="shared" si="6"/>
        <v>0</v>
      </c>
      <c r="AT60" s="25">
        <f t="shared" si="7"/>
        <v>0</v>
      </c>
    </row>
    <row r="61" spans="1:46">
      <c r="A61" s="24">
        <v>46115</v>
      </c>
      <c r="B61" s="23">
        <f t="shared" si="0"/>
        <v>46113</v>
      </c>
      <c r="C61" s="2" t="s">
        <v>97</v>
      </c>
      <c r="D61" s="2" t="s">
        <v>1507</v>
      </c>
      <c r="E61" s="2">
        <v>3337</v>
      </c>
      <c r="F61" s="2">
        <v>280</v>
      </c>
      <c r="G61" s="2">
        <f t="shared" si="8"/>
        <v>32</v>
      </c>
      <c r="H61" s="2">
        <f t="shared" si="9"/>
        <v>32</v>
      </c>
      <c r="I61" s="2">
        <v>0</v>
      </c>
      <c r="J61" s="44" t="s">
        <v>48</v>
      </c>
      <c r="K61" s="2" t="s">
        <v>49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/>
      <c r="AM61" s="2" t="s">
        <v>103</v>
      </c>
      <c r="AN61" s="2">
        <f t="shared" si="1"/>
        <v>0</v>
      </c>
      <c r="AO61" s="2">
        <f t="shared" si="2"/>
        <v>0</v>
      </c>
      <c r="AP61" s="2">
        <f t="shared" si="3"/>
        <v>0</v>
      </c>
      <c r="AQ61" s="2">
        <f t="shared" si="4"/>
        <v>0</v>
      </c>
      <c r="AR61" s="2">
        <f t="shared" si="5"/>
        <v>0</v>
      </c>
      <c r="AS61" s="2">
        <f t="shared" si="6"/>
        <v>0</v>
      </c>
      <c r="AT61" s="25">
        <f t="shared" si="7"/>
        <v>0</v>
      </c>
    </row>
    <row r="62" spans="1:46">
      <c r="A62" s="24">
        <v>46115</v>
      </c>
      <c r="B62" s="23">
        <f t="shared" si="0"/>
        <v>46113</v>
      </c>
      <c r="C62" s="2" t="s">
        <v>72</v>
      </c>
      <c r="D62" s="2" t="s">
        <v>199</v>
      </c>
      <c r="E62" s="2">
        <v>1825</v>
      </c>
      <c r="F62" s="2">
        <v>388</v>
      </c>
      <c r="G62" s="2">
        <f t="shared" si="8"/>
        <v>50</v>
      </c>
      <c r="H62" s="2">
        <f t="shared" si="9"/>
        <v>50</v>
      </c>
      <c r="I62" s="2">
        <v>0</v>
      </c>
      <c r="J62" s="44" t="s">
        <v>48</v>
      </c>
      <c r="K62" s="2" t="s">
        <v>49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/>
      <c r="AM62" s="2" t="s">
        <v>103</v>
      </c>
      <c r="AN62" s="2">
        <f t="shared" si="1"/>
        <v>0</v>
      </c>
      <c r="AO62" s="2">
        <f t="shared" si="2"/>
        <v>0</v>
      </c>
      <c r="AP62" s="2">
        <f t="shared" si="3"/>
        <v>0</v>
      </c>
      <c r="AQ62" s="2">
        <f t="shared" si="4"/>
        <v>0</v>
      </c>
      <c r="AR62" s="2">
        <f t="shared" si="5"/>
        <v>0</v>
      </c>
      <c r="AS62" s="2">
        <f t="shared" si="6"/>
        <v>0</v>
      </c>
      <c r="AT62" s="25">
        <f t="shared" si="7"/>
        <v>0</v>
      </c>
    </row>
    <row r="63" spans="1:46">
      <c r="A63" s="24">
        <v>46115</v>
      </c>
      <c r="B63" s="23">
        <f t="shared" si="0"/>
        <v>46113</v>
      </c>
      <c r="C63" s="2" t="s">
        <v>72</v>
      </c>
      <c r="D63" s="2" t="s">
        <v>84</v>
      </c>
      <c r="E63" s="2">
        <v>1825</v>
      </c>
      <c r="F63" s="2">
        <v>588</v>
      </c>
      <c r="G63" s="2">
        <f t="shared" si="8"/>
        <v>80</v>
      </c>
      <c r="H63" s="2">
        <f t="shared" si="9"/>
        <v>80</v>
      </c>
      <c r="I63" s="2">
        <v>0</v>
      </c>
      <c r="J63" s="44" t="s">
        <v>48</v>
      </c>
      <c r="K63" s="2" t="s">
        <v>49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/>
      <c r="AM63" s="2" t="s">
        <v>103</v>
      </c>
      <c r="AN63" s="2">
        <f t="shared" si="1"/>
        <v>0</v>
      </c>
      <c r="AO63" s="2">
        <f t="shared" si="2"/>
        <v>0</v>
      </c>
      <c r="AP63" s="2">
        <f t="shared" si="3"/>
        <v>0</v>
      </c>
      <c r="AQ63" s="2">
        <f t="shared" si="4"/>
        <v>0</v>
      </c>
      <c r="AR63" s="2">
        <f t="shared" si="5"/>
        <v>0</v>
      </c>
      <c r="AS63" s="2">
        <f t="shared" si="6"/>
        <v>0</v>
      </c>
      <c r="AT63" s="25">
        <f t="shared" si="7"/>
        <v>0</v>
      </c>
    </row>
    <row r="64" spans="1:46">
      <c r="A64" s="24">
        <v>46115</v>
      </c>
      <c r="B64" s="23">
        <f t="shared" si="0"/>
        <v>46113</v>
      </c>
      <c r="C64" s="2" t="s">
        <v>114</v>
      </c>
      <c r="D64" s="2" t="s">
        <v>220</v>
      </c>
      <c r="E64" s="2">
        <v>6109</v>
      </c>
      <c r="F64" s="2">
        <v>65</v>
      </c>
      <c r="G64" s="2">
        <f t="shared" si="8"/>
        <v>20</v>
      </c>
      <c r="H64" s="2">
        <f t="shared" si="9"/>
        <v>20</v>
      </c>
      <c r="I64" s="2">
        <v>0</v>
      </c>
      <c r="J64" s="44" t="s">
        <v>48</v>
      </c>
      <c r="K64" s="2" t="s">
        <v>49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/>
      <c r="AM64" s="2" t="s">
        <v>103</v>
      </c>
      <c r="AN64" s="2">
        <f t="shared" si="1"/>
        <v>0</v>
      </c>
      <c r="AO64" s="2">
        <f t="shared" si="2"/>
        <v>0</v>
      </c>
      <c r="AP64" s="2">
        <f t="shared" si="3"/>
        <v>0</v>
      </c>
      <c r="AQ64" s="2">
        <f t="shared" si="4"/>
        <v>0</v>
      </c>
      <c r="AR64" s="2">
        <f t="shared" si="5"/>
        <v>0</v>
      </c>
      <c r="AS64" s="2">
        <f t="shared" si="6"/>
        <v>0</v>
      </c>
      <c r="AT64" s="25">
        <f t="shared" si="7"/>
        <v>0</v>
      </c>
    </row>
    <row r="65" spans="1:46">
      <c r="A65" s="24">
        <v>46115</v>
      </c>
      <c r="B65" s="23">
        <f t="shared" si="0"/>
        <v>46113</v>
      </c>
      <c r="C65" s="2" t="s">
        <v>72</v>
      </c>
      <c r="D65" s="2" t="s">
        <v>306</v>
      </c>
      <c r="E65" s="2">
        <v>6225</v>
      </c>
      <c r="F65" s="2">
        <v>194</v>
      </c>
      <c r="G65" s="2">
        <f t="shared" si="8"/>
        <v>32</v>
      </c>
      <c r="H65" s="2">
        <f t="shared" si="9"/>
        <v>32</v>
      </c>
      <c r="I65" s="2">
        <v>0</v>
      </c>
      <c r="J65" s="44" t="s">
        <v>48</v>
      </c>
      <c r="K65" s="2" t="s">
        <v>49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/>
      <c r="AM65" s="2" t="s">
        <v>103</v>
      </c>
      <c r="AN65" s="2">
        <f t="shared" si="1"/>
        <v>0</v>
      </c>
      <c r="AO65" s="2">
        <f t="shared" si="2"/>
        <v>0</v>
      </c>
      <c r="AP65" s="2">
        <f t="shared" si="3"/>
        <v>0</v>
      </c>
      <c r="AQ65" s="2">
        <f t="shared" si="4"/>
        <v>0</v>
      </c>
      <c r="AR65" s="2">
        <f t="shared" si="5"/>
        <v>0</v>
      </c>
      <c r="AS65" s="2">
        <f t="shared" si="6"/>
        <v>0</v>
      </c>
      <c r="AT65" s="25">
        <f t="shared" si="7"/>
        <v>0</v>
      </c>
    </row>
    <row r="66" spans="1:46">
      <c r="A66" s="24">
        <v>46115</v>
      </c>
      <c r="B66" s="23">
        <f t="shared" ref="B66:B129" si="10">EOMONTH(A66,-1)+1</f>
        <v>46113</v>
      </c>
      <c r="C66" s="2" t="s">
        <v>114</v>
      </c>
      <c r="D66" s="2" t="s">
        <v>310</v>
      </c>
      <c r="E66" s="2">
        <v>3286</v>
      </c>
      <c r="F66" s="2">
        <v>250</v>
      </c>
      <c r="G66" s="2">
        <f t="shared" si="8"/>
        <v>32</v>
      </c>
      <c r="H66" s="2">
        <f t="shared" si="9"/>
        <v>32</v>
      </c>
      <c r="I66" s="2">
        <v>0</v>
      </c>
      <c r="J66" s="44" t="s">
        <v>48</v>
      </c>
      <c r="K66" s="2" t="s">
        <v>49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/>
      <c r="AM66" s="2" t="s">
        <v>103</v>
      </c>
      <c r="AN66" s="2">
        <f t="shared" ref="AN66:AN129" si="11">+L66+AI66</f>
        <v>0</v>
      </c>
      <c r="AO66" s="2">
        <f t="shared" ref="AO66:AO129" si="12">+M66+N66+O66+P66+Q66+R66+S66+T66+U66+V66</f>
        <v>0</v>
      </c>
      <c r="AP66" s="2">
        <f t="shared" ref="AP66:AP129" si="13">+AE66+AF66</f>
        <v>0</v>
      </c>
      <c r="AQ66" s="2">
        <f t="shared" ref="AQ66:AQ129" si="14">+AK66+AD66+AC66+AJ66</f>
        <v>0</v>
      </c>
      <c r="AR66" s="2">
        <f t="shared" ref="AR66:AR129" si="15">+W66+X66+Y66+Z66+AA66+AB66</f>
        <v>0</v>
      </c>
      <c r="AS66" s="2">
        <f t="shared" ref="AS66:AS129" si="16">+AG66</f>
        <v>0</v>
      </c>
      <c r="AT66" s="25">
        <f t="shared" ref="AT66:AT129" si="17">+AH66</f>
        <v>0</v>
      </c>
    </row>
    <row r="67" spans="1:46">
      <c r="A67" s="24">
        <v>46115</v>
      </c>
      <c r="B67" s="23">
        <f t="shared" si="10"/>
        <v>46113</v>
      </c>
      <c r="C67" s="2" t="s">
        <v>114</v>
      </c>
      <c r="D67" s="2" t="s">
        <v>1468</v>
      </c>
      <c r="E67" s="2">
        <v>3303</v>
      </c>
      <c r="F67" s="2">
        <v>81</v>
      </c>
      <c r="G67" s="2">
        <f t="shared" ref="G67:G130" si="18">IF(F67&lt;1001,IF(F67&gt;500,80,IF(F67&gt;280,50,IF(F67&gt;150,32,IF(F67&lt;51,F67,20)))),125)</f>
        <v>20</v>
      </c>
      <c r="H67" s="2">
        <f t="shared" ref="H67:H130" si="19">G67-I67</f>
        <v>11</v>
      </c>
      <c r="I67" s="2">
        <v>9</v>
      </c>
      <c r="J67" s="44" t="s">
        <v>67</v>
      </c>
      <c r="K67" s="2" t="s">
        <v>49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9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/>
      <c r="AM67" s="2" t="s">
        <v>103</v>
      </c>
      <c r="AN67" s="2">
        <f t="shared" si="11"/>
        <v>0</v>
      </c>
      <c r="AO67" s="2">
        <f t="shared" si="12"/>
        <v>9</v>
      </c>
      <c r="AP67" s="2">
        <f t="shared" si="13"/>
        <v>0</v>
      </c>
      <c r="AQ67" s="2">
        <f t="shared" si="14"/>
        <v>0</v>
      </c>
      <c r="AR67" s="2">
        <f t="shared" si="15"/>
        <v>0</v>
      </c>
      <c r="AS67" s="2">
        <f t="shared" si="16"/>
        <v>0</v>
      </c>
      <c r="AT67" s="25">
        <f t="shared" si="17"/>
        <v>0</v>
      </c>
    </row>
    <row r="68" spans="1:46">
      <c r="A68" s="24">
        <v>46115</v>
      </c>
      <c r="B68" s="23">
        <f t="shared" si="10"/>
        <v>46113</v>
      </c>
      <c r="C68" s="2" t="s">
        <v>66</v>
      </c>
      <c r="D68" s="2" t="s">
        <v>287</v>
      </c>
      <c r="E68" s="2">
        <v>6282</v>
      </c>
      <c r="F68" s="2">
        <v>299</v>
      </c>
      <c r="G68" s="2">
        <f t="shared" si="18"/>
        <v>50</v>
      </c>
      <c r="H68" s="2">
        <f t="shared" si="19"/>
        <v>48</v>
      </c>
      <c r="I68" s="2">
        <v>2</v>
      </c>
      <c r="J68" s="44" t="s">
        <v>48</v>
      </c>
      <c r="K68" s="2" t="s">
        <v>49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2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/>
      <c r="AM68" s="2" t="s">
        <v>99</v>
      </c>
      <c r="AN68" s="2">
        <f t="shared" si="11"/>
        <v>0</v>
      </c>
      <c r="AO68" s="2">
        <f t="shared" si="12"/>
        <v>2</v>
      </c>
      <c r="AP68" s="2">
        <f t="shared" si="13"/>
        <v>0</v>
      </c>
      <c r="AQ68" s="2">
        <f t="shared" si="14"/>
        <v>0</v>
      </c>
      <c r="AR68" s="2">
        <f t="shared" si="15"/>
        <v>0</v>
      </c>
      <c r="AS68" s="2">
        <f t="shared" si="16"/>
        <v>0</v>
      </c>
      <c r="AT68" s="25">
        <f t="shared" si="17"/>
        <v>0</v>
      </c>
    </row>
    <row r="69" spans="1:46">
      <c r="A69" s="24">
        <v>46115</v>
      </c>
      <c r="B69" s="23">
        <f t="shared" si="10"/>
        <v>46113</v>
      </c>
      <c r="C69" s="2" t="s">
        <v>82</v>
      </c>
      <c r="D69" s="3" t="s">
        <v>79</v>
      </c>
      <c r="E69" s="2">
        <v>6265</v>
      </c>
      <c r="F69" s="2">
        <v>284</v>
      </c>
      <c r="G69" s="2">
        <f t="shared" si="18"/>
        <v>50</v>
      </c>
      <c r="H69" s="2">
        <f t="shared" si="19"/>
        <v>49</v>
      </c>
      <c r="I69" s="2">
        <v>1</v>
      </c>
      <c r="J69" s="44" t="s">
        <v>48</v>
      </c>
      <c r="K69" s="2" t="s">
        <v>49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</v>
      </c>
      <c r="AL69" s="2"/>
      <c r="AM69" s="2" t="s">
        <v>99</v>
      </c>
      <c r="AN69" s="2">
        <f t="shared" si="11"/>
        <v>0</v>
      </c>
      <c r="AO69" s="2">
        <f t="shared" si="12"/>
        <v>0</v>
      </c>
      <c r="AP69" s="2">
        <f t="shared" si="13"/>
        <v>0</v>
      </c>
      <c r="AQ69" s="2">
        <f t="shared" si="14"/>
        <v>1</v>
      </c>
      <c r="AR69" s="2">
        <f t="shared" si="15"/>
        <v>0</v>
      </c>
      <c r="AS69" s="2">
        <f t="shared" si="16"/>
        <v>0</v>
      </c>
      <c r="AT69" s="25">
        <f t="shared" si="17"/>
        <v>0</v>
      </c>
    </row>
    <row r="70" spans="1:46">
      <c r="A70" s="24">
        <v>46115</v>
      </c>
      <c r="B70" s="23">
        <f t="shared" si="10"/>
        <v>46113</v>
      </c>
      <c r="C70" s="2" t="s">
        <v>160</v>
      </c>
      <c r="D70" s="2" t="s">
        <v>51</v>
      </c>
      <c r="E70" s="2">
        <v>6221</v>
      </c>
      <c r="F70" s="2">
        <v>436</v>
      </c>
      <c r="G70" s="2">
        <f t="shared" si="18"/>
        <v>50</v>
      </c>
      <c r="H70" s="2">
        <f t="shared" si="19"/>
        <v>39</v>
      </c>
      <c r="I70" s="2">
        <v>11</v>
      </c>
      <c r="J70" s="44" t="s">
        <v>67</v>
      </c>
      <c r="K70" s="2" t="s">
        <v>49</v>
      </c>
      <c r="L70" s="2">
        <v>0</v>
      </c>
      <c r="M70" s="2">
        <v>2</v>
      </c>
      <c r="N70" s="2">
        <v>9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/>
      <c r="AM70" s="2" t="s">
        <v>99</v>
      </c>
      <c r="AN70" s="2">
        <f t="shared" si="11"/>
        <v>0</v>
      </c>
      <c r="AO70" s="2">
        <f t="shared" si="12"/>
        <v>11</v>
      </c>
      <c r="AP70" s="2">
        <f t="shared" si="13"/>
        <v>0</v>
      </c>
      <c r="AQ70" s="2">
        <f t="shared" si="14"/>
        <v>0</v>
      </c>
      <c r="AR70" s="2">
        <f t="shared" si="15"/>
        <v>0</v>
      </c>
      <c r="AS70" s="2">
        <f t="shared" si="16"/>
        <v>0</v>
      </c>
      <c r="AT70" s="25">
        <f t="shared" si="17"/>
        <v>0</v>
      </c>
    </row>
    <row r="71" spans="1:46">
      <c r="A71" s="24">
        <v>46115</v>
      </c>
      <c r="B71" s="23">
        <f t="shared" si="10"/>
        <v>46113</v>
      </c>
      <c r="C71" s="2" t="s">
        <v>66</v>
      </c>
      <c r="D71" s="2" t="s">
        <v>188</v>
      </c>
      <c r="E71" s="2">
        <v>6210</v>
      </c>
      <c r="F71" s="2">
        <v>61</v>
      </c>
      <c r="G71" s="2">
        <f t="shared" si="18"/>
        <v>20</v>
      </c>
      <c r="H71" s="2">
        <f t="shared" si="19"/>
        <v>16</v>
      </c>
      <c r="I71" s="2">
        <v>4</v>
      </c>
      <c r="J71" s="44" t="s">
        <v>67</v>
      </c>
      <c r="K71" s="2" t="s">
        <v>49</v>
      </c>
      <c r="L71" s="2">
        <v>4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/>
      <c r="AM71" s="2" t="s">
        <v>99</v>
      </c>
      <c r="AN71" s="2">
        <f t="shared" si="11"/>
        <v>4</v>
      </c>
      <c r="AO71" s="2">
        <f t="shared" si="12"/>
        <v>0</v>
      </c>
      <c r="AP71" s="2">
        <f t="shared" si="13"/>
        <v>0</v>
      </c>
      <c r="AQ71" s="2">
        <f t="shared" si="14"/>
        <v>0</v>
      </c>
      <c r="AR71" s="2">
        <f t="shared" si="15"/>
        <v>0</v>
      </c>
      <c r="AS71" s="2">
        <f t="shared" si="16"/>
        <v>0</v>
      </c>
      <c r="AT71" s="25">
        <f t="shared" si="17"/>
        <v>0</v>
      </c>
    </row>
    <row r="72" spans="1:46">
      <c r="A72" s="24">
        <v>46115</v>
      </c>
      <c r="B72" s="23">
        <f t="shared" si="10"/>
        <v>46113</v>
      </c>
      <c r="C72" s="2" t="s">
        <v>66</v>
      </c>
      <c r="D72" s="2" t="s">
        <v>377</v>
      </c>
      <c r="E72" s="2">
        <v>1585</v>
      </c>
      <c r="F72" s="2">
        <v>157</v>
      </c>
      <c r="G72" s="2">
        <f t="shared" si="18"/>
        <v>32</v>
      </c>
      <c r="H72" s="2">
        <f t="shared" si="19"/>
        <v>30</v>
      </c>
      <c r="I72" s="2">
        <v>2</v>
      </c>
      <c r="J72" s="44" t="s">
        <v>48</v>
      </c>
      <c r="K72" s="2" t="s">
        <v>49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/>
      <c r="AM72" s="2" t="s">
        <v>99</v>
      </c>
      <c r="AN72" s="2">
        <f t="shared" si="11"/>
        <v>1</v>
      </c>
      <c r="AO72" s="2">
        <f t="shared" si="12"/>
        <v>1</v>
      </c>
      <c r="AP72" s="2">
        <f t="shared" si="13"/>
        <v>0</v>
      </c>
      <c r="AQ72" s="2">
        <f t="shared" si="14"/>
        <v>0</v>
      </c>
      <c r="AR72" s="2">
        <f t="shared" si="15"/>
        <v>0</v>
      </c>
      <c r="AS72" s="2">
        <f t="shared" si="16"/>
        <v>0</v>
      </c>
      <c r="AT72" s="25">
        <f t="shared" si="17"/>
        <v>0</v>
      </c>
    </row>
    <row r="73" spans="1:46">
      <c r="A73" s="24">
        <v>46115</v>
      </c>
      <c r="B73" s="23">
        <f t="shared" si="10"/>
        <v>46113</v>
      </c>
      <c r="C73" s="2" t="s">
        <v>66</v>
      </c>
      <c r="D73" s="2" t="s">
        <v>146</v>
      </c>
      <c r="E73" s="2">
        <v>2638</v>
      </c>
      <c r="F73" s="2">
        <v>253</v>
      </c>
      <c r="G73" s="2">
        <f t="shared" si="18"/>
        <v>32</v>
      </c>
      <c r="H73" s="2">
        <f t="shared" si="19"/>
        <v>32</v>
      </c>
      <c r="I73" s="2">
        <v>0</v>
      </c>
      <c r="J73" s="44" t="s">
        <v>48</v>
      </c>
      <c r="K73" s="2" t="s">
        <v>49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/>
      <c r="AM73" s="2" t="s">
        <v>99</v>
      </c>
      <c r="AN73" s="2">
        <f t="shared" si="11"/>
        <v>0</v>
      </c>
      <c r="AO73" s="2">
        <f t="shared" si="12"/>
        <v>0</v>
      </c>
      <c r="AP73" s="2">
        <f t="shared" si="13"/>
        <v>0</v>
      </c>
      <c r="AQ73" s="2">
        <f t="shared" si="14"/>
        <v>0</v>
      </c>
      <c r="AR73" s="2">
        <f t="shared" si="15"/>
        <v>0</v>
      </c>
      <c r="AS73" s="2">
        <f t="shared" si="16"/>
        <v>0</v>
      </c>
      <c r="AT73" s="25">
        <f t="shared" si="17"/>
        <v>0</v>
      </c>
    </row>
    <row r="74" spans="1:46">
      <c r="A74" s="24">
        <v>46115</v>
      </c>
      <c r="B74" s="23">
        <f t="shared" si="10"/>
        <v>46113</v>
      </c>
      <c r="C74" s="2" t="s">
        <v>66</v>
      </c>
      <c r="D74" s="2" t="s">
        <v>1403</v>
      </c>
      <c r="E74" s="2">
        <v>10060</v>
      </c>
      <c r="F74" s="2">
        <v>79</v>
      </c>
      <c r="G74" s="2">
        <f t="shared" si="18"/>
        <v>20</v>
      </c>
      <c r="H74" s="2">
        <f t="shared" si="19"/>
        <v>20</v>
      </c>
      <c r="I74" s="2">
        <v>0</v>
      </c>
      <c r="J74" s="44" t="s">
        <v>48</v>
      </c>
      <c r="K74" s="2" t="s">
        <v>49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/>
      <c r="AM74" s="2" t="s">
        <v>99</v>
      </c>
      <c r="AN74" s="2">
        <f t="shared" si="11"/>
        <v>0</v>
      </c>
      <c r="AO74" s="2">
        <f t="shared" si="12"/>
        <v>0</v>
      </c>
      <c r="AP74" s="2">
        <f t="shared" si="13"/>
        <v>0</v>
      </c>
      <c r="AQ74" s="2">
        <f t="shared" si="14"/>
        <v>0</v>
      </c>
      <c r="AR74" s="2">
        <f t="shared" si="15"/>
        <v>0</v>
      </c>
      <c r="AS74" s="2">
        <f t="shared" si="16"/>
        <v>0</v>
      </c>
      <c r="AT74" s="25">
        <f t="shared" si="17"/>
        <v>0</v>
      </c>
    </row>
    <row r="75" spans="1:46">
      <c r="A75" s="24">
        <v>46115</v>
      </c>
      <c r="B75" s="23">
        <f t="shared" si="10"/>
        <v>46113</v>
      </c>
      <c r="C75" s="2" t="s">
        <v>82</v>
      </c>
      <c r="D75" s="2" t="s">
        <v>189</v>
      </c>
      <c r="E75" s="2">
        <v>1770</v>
      </c>
      <c r="F75" s="2">
        <v>900</v>
      </c>
      <c r="G75" s="2">
        <f t="shared" si="18"/>
        <v>80</v>
      </c>
      <c r="H75" s="2">
        <f t="shared" si="19"/>
        <v>77</v>
      </c>
      <c r="I75" s="2">
        <v>3</v>
      </c>
      <c r="J75" s="44" t="s">
        <v>48</v>
      </c>
      <c r="K75" s="2" t="s">
        <v>49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2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/>
      <c r="AM75" s="2" t="s">
        <v>99</v>
      </c>
      <c r="AN75" s="2">
        <f t="shared" si="11"/>
        <v>1</v>
      </c>
      <c r="AO75" s="2">
        <f t="shared" si="12"/>
        <v>0</v>
      </c>
      <c r="AP75" s="2">
        <f t="shared" si="13"/>
        <v>2</v>
      </c>
      <c r="AQ75" s="2">
        <f t="shared" si="14"/>
        <v>0</v>
      </c>
      <c r="AR75" s="2">
        <f t="shared" si="15"/>
        <v>0</v>
      </c>
      <c r="AS75" s="2">
        <f t="shared" si="16"/>
        <v>0</v>
      </c>
      <c r="AT75" s="25">
        <f t="shared" si="17"/>
        <v>0</v>
      </c>
    </row>
    <row r="76" spans="1:46">
      <c r="A76" s="24">
        <v>46115</v>
      </c>
      <c r="B76" s="23">
        <f t="shared" si="10"/>
        <v>46113</v>
      </c>
      <c r="C76" s="2" t="s">
        <v>160</v>
      </c>
      <c r="D76" s="2" t="s">
        <v>51</v>
      </c>
      <c r="E76" s="2">
        <v>6221</v>
      </c>
      <c r="F76" s="2">
        <v>410</v>
      </c>
      <c r="G76" s="2">
        <f t="shared" si="18"/>
        <v>50</v>
      </c>
      <c r="H76" s="2">
        <f t="shared" si="19"/>
        <v>49</v>
      </c>
      <c r="I76" s="2">
        <v>1</v>
      </c>
      <c r="J76" s="44" t="s">
        <v>48</v>
      </c>
      <c r="K76" s="2" t="s">
        <v>49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/>
      <c r="AM76" s="2" t="s">
        <v>99</v>
      </c>
      <c r="AN76" s="2">
        <f t="shared" si="11"/>
        <v>0</v>
      </c>
      <c r="AO76" s="2">
        <f t="shared" si="12"/>
        <v>1</v>
      </c>
      <c r="AP76" s="2">
        <f t="shared" si="13"/>
        <v>0</v>
      </c>
      <c r="AQ76" s="2">
        <f t="shared" si="14"/>
        <v>0</v>
      </c>
      <c r="AR76" s="2">
        <f t="shared" si="15"/>
        <v>0</v>
      </c>
      <c r="AS76" s="2">
        <f t="shared" si="16"/>
        <v>0</v>
      </c>
      <c r="AT76" s="25">
        <f t="shared" si="17"/>
        <v>0</v>
      </c>
    </row>
    <row r="77" spans="1:46">
      <c r="A77" s="24">
        <v>46115</v>
      </c>
      <c r="B77" s="23">
        <f t="shared" si="10"/>
        <v>46113</v>
      </c>
      <c r="C77" s="2" t="s">
        <v>160</v>
      </c>
      <c r="D77" s="2" t="s">
        <v>51</v>
      </c>
      <c r="E77" s="2">
        <v>6221</v>
      </c>
      <c r="F77" s="2">
        <v>500</v>
      </c>
      <c r="G77" s="2">
        <f t="shared" si="18"/>
        <v>50</v>
      </c>
      <c r="H77" s="2">
        <f t="shared" si="19"/>
        <v>50</v>
      </c>
      <c r="I77" s="2">
        <v>0</v>
      </c>
      <c r="J77" s="44" t="s">
        <v>48</v>
      </c>
      <c r="K77" s="2" t="s">
        <v>49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/>
      <c r="AM77" s="2" t="s">
        <v>99</v>
      </c>
      <c r="AN77" s="2">
        <f t="shared" si="11"/>
        <v>0</v>
      </c>
      <c r="AO77" s="2">
        <f t="shared" si="12"/>
        <v>0</v>
      </c>
      <c r="AP77" s="2">
        <f t="shared" si="13"/>
        <v>0</v>
      </c>
      <c r="AQ77" s="2">
        <f t="shared" si="14"/>
        <v>0</v>
      </c>
      <c r="AR77" s="2">
        <f t="shared" si="15"/>
        <v>0</v>
      </c>
      <c r="AS77" s="2">
        <f t="shared" si="16"/>
        <v>0</v>
      </c>
      <c r="AT77" s="25">
        <f t="shared" si="17"/>
        <v>0</v>
      </c>
    </row>
    <row r="78" spans="1:46">
      <c r="A78" s="24">
        <v>46115</v>
      </c>
      <c r="B78" s="23">
        <f t="shared" si="10"/>
        <v>46113</v>
      </c>
      <c r="C78" s="2" t="s">
        <v>66</v>
      </c>
      <c r="D78" s="2" t="s">
        <v>123</v>
      </c>
      <c r="E78" s="2">
        <v>1866</v>
      </c>
      <c r="F78" s="2">
        <v>60</v>
      </c>
      <c r="G78" s="2">
        <f t="shared" si="18"/>
        <v>20</v>
      </c>
      <c r="H78" s="2">
        <f t="shared" si="19"/>
        <v>19</v>
      </c>
      <c r="I78" s="2">
        <v>1</v>
      </c>
      <c r="J78" s="44" t="s">
        <v>48</v>
      </c>
      <c r="K78" s="2" t="s">
        <v>49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/>
      <c r="AM78" s="2" t="s">
        <v>99</v>
      </c>
      <c r="AN78" s="2">
        <f t="shared" si="11"/>
        <v>1</v>
      </c>
      <c r="AO78" s="2">
        <f t="shared" si="12"/>
        <v>0</v>
      </c>
      <c r="AP78" s="2">
        <f t="shared" si="13"/>
        <v>0</v>
      </c>
      <c r="AQ78" s="2">
        <f t="shared" si="14"/>
        <v>0</v>
      </c>
      <c r="AR78" s="2">
        <f t="shared" si="15"/>
        <v>0</v>
      </c>
      <c r="AS78" s="2">
        <f t="shared" si="16"/>
        <v>0</v>
      </c>
      <c r="AT78" s="25">
        <f t="shared" si="17"/>
        <v>0</v>
      </c>
    </row>
    <row r="79" spans="1:46">
      <c r="A79" s="24">
        <v>46115</v>
      </c>
      <c r="B79" s="23">
        <f t="shared" si="10"/>
        <v>46113</v>
      </c>
      <c r="C79" s="2" t="s">
        <v>66</v>
      </c>
      <c r="D79" s="2" t="s">
        <v>397</v>
      </c>
      <c r="E79" s="2">
        <v>6283</v>
      </c>
      <c r="F79" s="2">
        <v>125</v>
      </c>
      <c r="G79" s="2">
        <f t="shared" si="18"/>
        <v>20</v>
      </c>
      <c r="H79" s="2">
        <f t="shared" si="19"/>
        <v>19</v>
      </c>
      <c r="I79" s="2">
        <v>1</v>
      </c>
      <c r="J79" s="44" t="s">
        <v>48</v>
      </c>
      <c r="K79" s="2" t="s">
        <v>49</v>
      </c>
      <c r="L79" s="2">
        <v>0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/>
      <c r="AM79" s="2" t="s">
        <v>99</v>
      </c>
      <c r="AN79" s="2">
        <f t="shared" si="11"/>
        <v>0</v>
      </c>
      <c r="AO79" s="2">
        <f t="shared" si="12"/>
        <v>1</v>
      </c>
      <c r="AP79" s="2">
        <f t="shared" si="13"/>
        <v>0</v>
      </c>
      <c r="AQ79" s="2">
        <f t="shared" si="14"/>
        <v>0</v>
      </c>
      <c r="AR79" s="2">
        <f t="shared" si="15"/>
        <v>0</v>
      </c>
      <c r="AS79" s="2">
        <f t="shared" si="16"/>
        <v>0</v>
      </c>
      <c r="AT79" s="25">
        <f t="shared" si="17"/>
        <v>0</v>
      </c>
    </row>
    <row r="80" spans="1:46">
      <c r="A80" s="24">
        <v>46115</v>
      </c>
      <c r="B80" s="23">
        <f t="shared" si="10"/>
        <v>46113</v>
      </c>
      <c r="C80" s="2" t="s">
        <v>46</v>
      </c>
      <c r="D80" s="2" t="s">
        <v>1214</v>
      </c>
      <c r="E80" s="2">
        <v>6274</v>
      </c>
      <c r="F80" s="2">
        <v>168</v>
      </c>
      <c r="G80" s="2">
        <f t="shared" si="18"/>
        <v>32</v>
      </c>
      <c r="H80" s="2">
        <f t="shared" si="19"/>
        <v>32</v>
      </c>
      <c r="I80" s="2">
        <v>0</v>
      </c>
      <c r="J80" s="44" t="s">
        <v>48</v>
      </c>
      <c r="K80" s="2" t="s">
        <v>49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/>
      <c r="AM80" s="2" t="s">
        <v>1567</v>
      </c>
      <c r="AN80" s="2">
        <f t="shared" si="11"/>
        <v>0</v>
      </c>
      <c r="AO80" s="2">
        <f t="shared" si="12"/>
        <v>0</v>
      </c>
      <c r="AP80" s="2">
        <f t="shared" si="13"/>
        <v>0</v>
      </c>
      <c r="AQ80" s="2">
        <f t="shared" si="14"/>
        <v>0</v>
      </c>
      <c r="AR80" s="2">
        <f t="shared" si="15"/>
        <v>0</v>
      </c>
      <c r="AS80" s="2">
        <f t="shared" si="16"/>
        <v>0</v>
      </c>
      <c r="AT80" s="25">
        <f t="shared" si="17"/>
        <v>0</v>
      </c>
    </row>
    <row r="81" spans="1:46">
      <c r="A81" s="24">
        <v>46115</v>
      </c>
      <c r="B81" s="23">
        <f t="shared" si="10"/>
        <v>46113</v>
      </c>
      <c r="C81" s="2" t="s">
        <v>46</v>
      </c>
      <c r="D81" s="2" t="s">
        <v>1212</v>
      </c>
      <c r="E81" s="2">
        <v>2572</v>
      </c>
      <c r="F81" s="2">
        <v>96</v>
      </c>
      <c r="G81" s="2">
        <f t="shared" si="18"/>
        <v>20</v>
      </c>
      <c r="H81" s="2">
        <f t="shared" si="19"/>
        <v>19</v>
      </c>
      <c r="I81" s="2">
        <v>1</v>
      </c>
      <c r="J81" s="44" t="s">
        <v>48</v>
      </c>
      <c r="K81" s="2" t="s">
        <v>49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/>
      <c r="AM81" s="2" t="s">
        <v>1567</v>
      </c>
      <c r="AN81" s="2">
        <f t="shared" si="11"/>
        <v>0</v>
      </c>
      <c r="AO81" s="2">
        <f t="shared" si="12"/>
        <v>1</v>
      </c>
      <c r="AP81" s="2">
        <f t="shared" si="13"/>
        <v>0</v>
      </c>
      <c r="AQ81" s="2">
        <f t="shared" si="14"/>
        <v>0</v>
      </c>
      <c r="AR81" s="2">
        <f t="shared" si="15"/>
        <v>0</v>
      </c>
      <c r="AS81" s="2">
        <f t="shared" si="16"/>
        <v>0</v>
      </c>
      <c r="AT81" s="25">
        <f t="shared" si="17"/>
        <v>0</v>
      </c>
    </row>
    <row r="82" spans="1:46">
      <c r="A82" s="24">
        <v>46115</v>
      </c>
      <c r="B82" s="23">
        <f t="shared" si="10"/>
        <v>46113</v>
      </c>
      <c r="C82" s="2" t="s">
        <v>46</v>
      </c>
      <c r="D82" s="2" t="s">
        <v>52</v>
      </c>
      <c r="E82" s="2">
        <v>6269</v>
      </c>
      <c r="F82" s="2">
        <v>112</v>
      </c>
      <c r="G82" s="2">
        <f t="shared" si="18"/>
        <v>20</v>
      </c>
      <c r="H82" s="2">
        <f t="shared" si="19"/>
        <v>19</v>
      </c>
      <c r="I82" s="2">
        <v>1</v>
      </c>
      <c r="J82" s="44" t="s">
        <v>48</v>
      </c>
      <c r="K82" s="2" t="s">
        <v>49</v>
      </c>
      <c r="L82" s="2">
        <v>1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/>
      <c r="AM82" s="2" t="s">
        <v>1567</v>
      </c>
      <c r="AN82" s="2">
        <f t="shared" si="11"/>
        <v>1</v>
      </c>
      <c r="AO82" s="2">
        <f t="shared" si="12"/>
        <v>0</v>
      </c>
      <c r="AP82" s="2">
        <f t="shared" si="13"/>
        <v>0</v>
      </c>
      <c r="AQ82" s="2">
        <f t="shared" si="14"/>
        <v>0</v>
      </c>
      <c r="AR82" s="2">
        <f t="shared" si="15"/>
        <v>0</v>
      </c>
      <c r="AS82" s="2">
        <f t="shared" si="16"/>
        <v>0</v>
      </c>
      <c r="AT82" s="25">
        <f t="shared" si="17"/>
        <v>0</v>
      </c>
    </row>
    <row r="83" spans="1:46">
      <c r="A83" s="24">
        <v>46115</v>
      </c>
      <c r="B83" s="23">
        <f t="shared" si="10"/>
        <v>46113</v>
      </c>
      <c r="C83" s="2" t="s">
        <v>95</v>
      </c>
      <c r="D83" s="2" t="s">
        <v>214</v>
      </c>
      <c r="E83" s="2">
        <v>2679</v>
      </c>
      <c r="F83" s="2">
        <v>115</v>
      </c>
      <c r="G83" s="2">
        <f t="shared" si="18"/>
        <v>20</v>
      </c>
      <c r="H83" s="2">
        <f t="shared" si="19"/>
        <v>20</v>
      </c>
      <c r="I83" s="2">
        <v>0</v>
      </c>
      <c r="J83" s="44" t="s">
        <v>48</v>
      </c>
      <c r="K83" s="2" t="s">
        <v>49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/>
      <c r="AM83" s="2" t="s">
        <v>1567</v>
      </c>
      <c r="AN83" s="2">
        <f t="shared" si="11"/>
        <v>0</v>
      </c>
      <c r="AO83" s="2">
        <f t="shared" si="12"/>
        <v>0</v>
      </c>
      <c r="AP83" s="2">
        <f t="shared" si="13"/>
        <v>0</v>
      </c>
      <c r="AQ83" s="2">
        <f t="shared" si="14"/>
        <v>0</v>
      </c>
      <c r="AR83" s="2">
        <f t="shared" si="15"/>
        <v>0</v>
      </c>
      <c r="AS83" s="2">
        <f t="shared" si="16"/>
        <v>0</v>
      </c>
      <c r="AT83" s="25">
        <f t="shared" si="17"/>
        <v>0</v>
      </c>
    </row>
    <row r="84" spans="1:46">
      <c r="A84" s="24">
        <v>46115</v>
      </c>
      <c r="B84" s="23">
        <f t="shared" si="10"/>
        <v>46113</v>
      </c>
      <c r="C84" s="2" t="s">
        <v>46</v>
      </c>
      <c r="D84" s="2" t="s">
        <v>1303</v>
      </c>
      <c r="E84" s="2">
        <v>6307</v>
      </c>
      <c r="F84" s="2">
        <v>79</v>
      </c>
      <c r="G84" s="2">
        <f t="shared" si="18"/>
        <v>20</v>
      </c>
      <c r="H84" s="2">
        <f t="shared" si="19"/>
        <v>20</v>
      </c>
      <c r="I84" s="2">
        <v>0</v>
      </c>
      <c r="J84" s="44" t="s">
        <v>48</v>
      </c>
      <c r="K84" s="2" t="s">
        <v>49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/>
      <c r="AM84" s="2" t="s">
        <v>1567</v>
      </c>
      <c r="AN84" s="2">
        <f t="shared" si="11"/>
        <v>0</v>
      </c>
      <c r="AO84" s="2">
        <f t="shared" si="12"/>
        <v>0</v>
      </c>
      <c r="AP84" s="2">
        <f t="shared" si="13"/>
        <v>0</v>
      </c>
      <c r="AQ84" s="2">
        <f t="shared" si="14"/>
        <v>0</v>
      </c>
      <c r="AR84" s="2">
        <f t="shared" si="15"/>
        <v>0</v>
      </c>
      <c r="AS84" s="2">
        <f t="shared" si="16"/>
        <v>0</v>
      </c>
      <c r="AT84" s="25">
        <f t="shared" si="17"/>
        <v>0</v>
      </c>
    </row>
    <row r="85" spans="1:46">
      <c r="A85" s="24">
        <v>46115</v>
      </c>
      <c r="B85" s="23">
        <f t="shared" si="10"/>
        <v>46113</v>
      </c>
      <c r="C85" s="2" t="s">
        <v>46</v>
      </c>
      <c r="D85" s="2" t="s">
        <v>1310</v>
      </c>
      <c r="E85" s="2">
        <v>8190</v>
      </c>
      <c r="F85" s="2">
        <v>339</v>
      </c>
      <c r="G85" s="2">
        <f t="shared" si="18"/>
        <v>50</v>
      </c>
      <c r="H85" s="2">
        <f t="shared" si="19"/>
        <v>49</v>
      </c>
      <c r="I85" s="2">
        <v>1</v>
      </c>
      <c r="J85" s="44" t="s">
        <v>48</v>
      </c>
      <c r="K85" s="2" t="s">
        <v>49</v>
      </c>
      <c r="L85" s="2">
        <v>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/>
      <c r="AM85" s="2" t="s">
        <v>1567</v>
      </c>
      <c r="AN85" s="2">
        <f t="shared" si="11"/>
        <v>1</v>
      </c>
      <c r="AO85" s="2">
        <f t="shared" si="12"/>
        <v>0</v>
      </c>
      <c r="AP85" s="2">
        <f t="shared" si="13"/>
        <v>0</v>
      </c>
      <c r="AQ85" s="2">
        <f t="shared" si="14"/>
        <v>0</v>
      </c>
      <c r="AR85" s="2">
        <f t="shared" si="15"/>
        <v>0</v>
      </c>
      <c r="AS85" s="2">
        <f t="shared" si="16"/>
        <v>0</v>
      </c>
      <c r="AT85" s="25">
        <f t="shared" si="17"/>
        <v>0</v>
      </c>
    </row>
    <row r="86" spans="1:46">
      <c r="A86" s="24">
        <v>46115</v>
      </c>
      <c r="B86" s="23">
        <f t="shared" si="10"/>
        <v>46113</v>
      </c>
      <c r="C86" s="2" t="s">
        <v>55</v>
      </c>
      <c r="D86" s="2" t="s">
        <v>57</v>
      </c>
      <c r="E86" s="2">
        <v>2760</v>
      </c>
      <c r="F86" s="2">
        <v>186</v>
      </c>
      <c r="G86" s="2">
        <f t="shared" si="18"/>
        <v>32</v>
      </c>
      <c r="H86" s="2">
        <f t="shared" si="19"/>
        <v>30</v>
      </c>
      <c r="I86" s="2">
        <v>2</v>
      </c>
      <c r="J86" s="44" t="s">
        <v>48</v>
      </c>
      <c r="K86" s="2" t="s">
        <v>49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1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/>
      <c r="AM86" s="2" t="s">
        <v>1566</v>
      </c>
      <c r="AN86" s="2">
        <f t="shared" si="11"/>
        <v>1</v>
      </c>
      <c r="AO86" s="2">
        <f t="shared" si="12"/>
        <v>1</v>
      </c>
      <c r="AP86" s="2">
        <f t="shared" si="13"/>
        <v>0</v>
      </c>
      <c r="AQ86" s="2">
        <f t="shared" si="14"/>
        <v>0</v>
      </c>
      <c r="AR86" s="2">
        <f t="shared" si="15"/>
        <v>0</v>
      </c>
      <c r="AS86" s="2">
        <f t="shared" si="16"/>
        <v>0</v>
      </c>
      <c r="AT86" s="25">
        <f t="shared" si="17"/>
        <v>0</v>
      </c>
    </row>
    <row r="87" spans="1:46">
      <c r="A87" s="24">
        <v>46115</v>
      </c>
      <c r="B87" s="23">
        <f t="shared" si="10"/>
        <v>46113</v>
      </c>
      <c r="C87" s="2" t="s">
        <v>55</v>
      </c>
      <c r="D87" s="2" t="s">
        <v>183</v>
      </c>
      <c r="E87" s="2">
        <v>1729</v>
      </c>
      <c r="F87" s="2">
        <v>311</v>
      </c>
      <c r="G87" s="2">
        <f t="shared" si="18"/>
        <v>50</v>
      </c>
      <c r="H87" s="2">
        <f t="shared" si="19"/>
        <v>50</v>
      </c>
      <c r="I87" s="2">
        <v>0</v>
      </c>
      <c r="J87" s="44" t="s">
        <v>48</v>
      </c>
      <c r="K87" s="2" t="s">
        <v>49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/>
      <c r="AM87" s="2" t="s">
        <v>1566</v>
      </c>
      <c r="AN87" s="2">
        <f t="shared" si="11"/>
        <v>0</v>
      </c>
      <c r="AO87" s="2">
        <f t="shared" si="12"/>
        <v>0</v>
      </c>
      <c r="AP87" s="2">
        <f t="shared" si="13"/>
        <v>0</v>
      </c>
      <c r="AQ87" s="2">
        <f t="shared" si="14"/>
        <v>0</v>
      </c>
      <c r="AR87" s="2">
        <f t="shared" si="15"/>
        <v>0</v>
      </c>
      <c r="AS87" s="2">
        <f t="shared" si="16"/>
        <v>0</v>
      </c>
      <c r="AT87" s="25">
        <f t="shared" si="17"/>
        <v>0</v>
      </c>
    </row>
    <row r="88" spans="1:46">
      <c r="A88" s="24">
        <v>46115</v>
      </c>
      <c r="B88" s="23">
        <f t="shared" si="10"/>
        <v>46113</v>
      </c>
      <c r="C88" s="2" t="s">
        <v>55</v>
      </c>
      <c r="D88" s="2" t="s">
        <v>154</v>
      </c>
      <c r="E88" s="2">
        <v>1729</v>
      </c>
      <c r="F88" s="2">
        <v>260</v>
      </c>
      <c r="G88" s="2">
        <f t="shared" si="18"/>
        <v>32</v>
      </c>
      <c r="H88" s="2">
        <f t="shared" si="19"/>
        <v>32</v>
      </c>
      <c r="I88" s="2">
        <v>0</v>
      </c>
      <c r="J88" s="44" t="s">
        <v>48</v>
      </c>
      <c r="K88" s="2" t="s">
        <v>49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/>
      <c r="AM88" s="2" t="s">
        <v>1566</v>
      </c>
      <c r="AN88" s="2">
        <f t="shared" si="11"/>
        <v>0</v>
      </c>
      <c r="AO88" s="2">
        <f t="shared" si="12"/>
        <v>0</v>
      </c>
      <c r="AP88" s="2">
        <f t="shared" si="13"/>
        <v>0</v>
      </c>
      <c r="AQ88" s="2">
        <f t="shared" si="14"/>
        <v>0</v>
      </c>
      <c r="AR88" s="2">
        <f t="shared" si="15"/>
        <v>0</v>
      </c>
      <c r="AS88" s="2">
        <f t="shared" si="16"/>
        <v>0</v>
      </c>
      <c r="AT88" s="25">
        <f t="shared" si="17"/>
        <v>0</v>
      </c>
    </row>
    <row r="89" spans="1:46">
      <c r="A89" s="24">
        <v>46115</v>
      </c>
      <c r="B89" s="23">
        <f t="shared" si="10"/>
        <v>46113</v>
      </c>
      <c r="C89" s="2" t="s">
        <v>55</v>
      </c>
      <c r="D89" s="2" t="s">
        <v>153</v>
      </c>
      <c r="E89" s="2">
        <v>1730</v>
      </c>
      <c r="F89" s="2">
        <v>87</v>
      </c>
      <c r="G89" s="2">
        <f t="shared" si="18"/>
        <v>20</v>
      </c>
      <c r="H89" s="2">
        <f t="shared" si="19"/>
        <v>19</v>
      </c>
      <c r="I89" s="2">
        <v>1</v>
      </c>
      <c r="J89" s="44" t="s">
        <v>48</v>
      </c>
      <c r="K89" s="2" t="s">
        <v>49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/>
      <c r="AM89" s="2" t="s">
        <v>1566</v>
      </c>
      <c r="AN89" s="2">
        <f t="shared" si="11"/>
        <v>1</v>
      </c>
      <c r="AO89" s="2">
        <f t="shared" si="12"/>
        <v>0</v>
      </c>
      <c r="AP89" s="2">
        <f t="shared" si="13"/>
        <v>0</v>
      </c>
      <c r="AQ89" s="2">
        <f t="shared" si="14"/>
        <v>0</v>
      </c>
      <c r="AR89" s="2">
        <f t="shared" si="15"/>
        <v>0</v>
      </c>
      <c r="AS89" s="2">
        <f t="shared" si="16"/>
        <v>0</v>
      </c>
      <c r="AT89" s="25">
        <f t="shared" si="17"/>
        <v>0</v>
      </c>
    </row>
    <row r="90" spans="1:46">
      <c r="A90" s="24">
        <v>46115</v>
      </c>
      <c r="B90" s="23">
        <f t="shared" si="10"/>
        <v>46113</v>
      </c>
      <c r="C90" s="2" t="s">
        <v>55</v>
      </c>
      <c r="D90" s="2" t="s">
        <v>314</v>
      </c>
      <c r="E90" s="2">
        <v>87001</v>
      </c>
      <c r="F90" s="2">
        <v>226</v>
      </c>
      <c r="G90" s="2">
        <f t="shared" si="18"/>
        <v>32</v>
      </c>
      <c r="H90" s="2">
        <f t="shared" si="19"/>
        <v>31</v>
      </c>
      <c r="I90" s="2">
        <v>1</v>
      </c>
      <c r="J90" s="44" t="s">
        <v>48</v>
      </c>
      <c r="K90" s="2" t="s">
        <v>49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/>
      <c r="AM90" s="2" t="s">
        <v>1566</v>
      </c>
      <c r="AN90" s="2">
        <f t="shared" si="11"/>
        <v>1</v>
      </c>
      <c r="AO90" s="2">
        <f t="shared" si="12"/>
        <v>0</v>
      </c>
      <c r="AP90" s="2">
        <f t="shared" si="13"/>
        <v>0</v>
      </c>
      <c r="AQ90" s="2">
        <f t="shared" si="14"/>
        <v>0</v>
      </c>
      <c r="AR90" s="2">
        <f t="shared" si="15"/>
        <v>0</v>
      </c>
      <c r="AS90" s="2">
        <f t="shared" si="16"/>
        <v>0</v>
      </c>
      <c r="AT90" s="25">
        <f t="shared" si="17"/>
        <v>0</v>
      </c>
    </row>
    <row r="91" spans="1:46">
      <c r="A91" s="24">
        <v>46115</v>
      </c>
      <c r="B91" s="23">
        <f t="shared" si="10"/>
        <v>46113</v>
      </c>
      <c r="C91" s="2" t="s">
        <v>55</v>
      </c>
      <c r="D91" s="2" t="s">
        <v>1412</v>
      </c>
      <c r="E91" s="2">
        <v>1578</v>
      </c>
      <c r="F91" s="2">
        <v>112</v>
      </c>
      <c r="G91" s="2">
        <f t="shared" si="18"/>
        <v>20</v>
      </c>
      <c r="H91" s="2">
        <f t="shared" si="19"/>
        <v>19</v>
      </c>
      <c r="I91" s="2">
        <v>1</v>
      </c>
      <c r="J91" s="44" t="s">
        <v>48</v>
      </c>
      <c r="K91" s="2" t="s">
        <v>49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/>
      <c r="AM91" s="2" t="s">
        <v>1566</v>
      </c>
      <c r="AN91" s="2">
        <f t="shared" si="11"/>
        <v>1</v>
      </c>
      <c r="AO91" s="2">
        <f t="shared" si="12"/>
        <v>0</v>
      </c>
      <c r="AP91" s="2">
        <f t="shared" si="13"/>
        <v>0</v>
      </c>
      <c r="AQ91" s="2">
        <f t="shared" si="14"/>
        <v>0</v>
      </c>
      <c r="AR91" s="2">
        <f t="shared" si="15"/>
        <v>0</v>
      </c>
      <c r="AS91" s="2">
        <f t="shared" si="16"/>
        <v>0</v>
      </c>
      <c r="AT91" s="25">
        <f t="shared" si="17"/>
        <v>0</v>
      </c>
    </row>
    <row r="92" spans="1:46">
      <c r="A92" s="24">
        <v>46115</v>
      </c>
      <c r="B92" s="23">
        <f t="shared" si="10"/>
        <v>46113</v>
      </c>
      <c r="C92" s="2" t="s">
        <v>63</v>
      </c>
      <c r="D92" s="2" t="s">
        <v>214</v>
      </c>
      <c r="E92" s="2">
        <v>2679</v>
      </c>
      <c r="F92" s="2">
        <v>367</v>
      </c>
      <c r="G92" s="2">
        <f t="shared" si="18"/>
        <v>50</v>
      </c>
      <c r="H92" s="2">
        <f t="shared" si="19"/>
        <v>49</v>
      </c>
      <c r="I92" s="2">
        <v>1</v>
      </c>
      <c r="J92" s="44" t="s">
        <v>48</v>
      </c>
      <c r="K92" s="2" t="s">
        <v>49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/>
      <c r="AM92" s="2" t="s">
        <v>1568</v>
      </c>
      <c r="AN92" s="2">
        <f t="shared" si="11"/>
        <v>1</v>
      </c>
      <c r="AO92" s="2">
        <f t="shared" si="12"/>
        <v>0</v>
      </c>
      <c r="AP92" s="2">
        <f t="shared" si="13"/>
        <v>0</v>
      </c>
      <c r="AQ92" s="2">
        <f t="shared" si="14"/>
        <v>0</v>
      </c>
      <c r="AR92" s="2">
        <f t="shared" si="15"/>
        <v>0</v>
      </c>
      <c r="AS92" s="2">
        <f t="shared" si="16"/>
        <v>0</v>
      </c>
      <c r="AT92" s="25">
        <f t="shared" si="17"/>
        <v>0</v>
      </c>
    </row>
    <row r="93" spans="1:46">
      <c r="A93" s="24">
        <v>46115</v>
      </c>
      <c r="B93" s="23">
        <f t="shared" si="10"/>
        <v>46113</v>
      </c>
      <c r="C93" s="2" t="s">
        <v>63</v>
      </c>
      <c r="D93" s="2" t="s">
        <v>242</v>
      </c>
      <c r="E93" s="2">
        <v>6296</v>
      </c>
      <c r="F93" s="2">
        <v>263</v>
      </c>
      <c r="G93" s="2">
        <f t="shared" si="18"/>
        <v>32</v>
      </c>
      <c r="H93" s="2">
        <f t="shared" si="19"/>
        <v>32</v>
      </c>
      <c r="I93" s="2">
        <v>0</v>
      </c>
      <c r="J93" s="44" t="s">
        <v>48</v>
      </c>
      <c r="K93" s="2" t="s">
        <v>49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/>
      <c r="AM93" s="2" t="s">
        <v>1568</v>
      </c>
      <c r="AN93" s="2">
        <f t="shared" si="11"/>
        <v>0</v>
      </c>
      <c r="AO93" s="2">
        <f t="shared" si="12"/>
        <v>0</v>
      </c>
      <c r="AP93" s="2">
        <f t="shared" si="13"/>
        <v>0</v>
      </c>
      <c r="AQ93" s="2">
        <f t="shared" si="14"/>
        <v>0</v>
      </c>
      <c r="AR93" s="2">
        <f t="shared" si="15"/>
        <v>0</v>
      </c>
      <c r="AS93" s="2">
        <f t="shared" si="16"/>
        <v>0</v>
      </c>
      <c r="AT93" s="25">
        <f t="shared" si="17"/>
        <v>0</v>
      </c>
    </row>
    <row r="94" spans="1:46">
      <c r="A94" s="24">
        <v>46115</v>
      </c>
      <c r="B94" s="23">
        <f t="shared" si="10"/>
        <v>46113</v>
      </c>
      <c r="C94" s="2" t="s">
        <v>63</v>
      </c>
      <c r="D94" s="2" t="s">
        <v>159</v>
      </c>
      <c r="E94" s="2">
        <v>6296</v>
      </c>
      <c r="F94" s="2">
        <v>64</v>
      </c>
      <c r="G94" s="2">
        <f t="shared" si="18"/>
        <v>20</v>
      </c>
      <c r="H94" s="2">
        <f t="shared" si="19"/>
        <v>20</v>
      </c>
      <c r="I94" s="2">
        <v>0</v>
      </c>
      <c r="J94" s="44" t="s">
        <v>48</v>
      </c>
      <c r="K94" s="2" t="s">
        <v>49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/>
      <c r="AM94" s="2" t="s">
        <v>1568</v>
      </c>
      <c r="AN94" s="2">
        <f t="shared" si="11"/>
        <v>0</v>
      </c>
      <c r="AO94" s="2">
        <f t="shared" si="12"/>
        <v>0</v>
      </c>
      <c r="AP94" s="2">
        <f t="shared" si="13"/>
        <v>0</v>
      </c>
      <c r="AQ94" s="2">
        <f t="shared" si="14"/>
        <v>0</v>
      </c>
      <c r="AR94" s="2">
        <f t="shared" si="15"/>
        <v>0</v>
      </c>
      <c r="AS94" s="2">
        <f t="shared" si="16"/>
        <v>0</v>
      </c>
      <c r="AT94" s="25">
        <f t="shared" si="17"/>
        <v>0</v>
      </c>
    </row>
    <row r="95" spans="1:46">
      <c r="A95" s="24">
        <v>46115</v>
      </c>
      <c r="B95" s="23">
        <f t="shared" si="10"/>
        <v>46113</v>
      </c>
      <c r="C95" s="2" t="s">
        <v>66</v>
      </c>
      <c r="D95" s="2" t="s">
        <v>288</v>
      </c>
      <c r="E95" s="2">
        <v>1639</v>
      </c>
      <c r="F95" s="2">
        <v>138</v>
      </c>
      <c r="G95" s="2">
        <f t="shared" si="18"/>
        <v>20</v>
      </c>
      <c r="H95" s="2">
        <f t="shared" si="19"/>
        <v>20</v>
      </c>
      <c r="I95" s="2">
        <v>0</v>
      </c>
      <c r="J95" s="44" t="s">
        <v>48</v>
      </c>
      <c r="K95" s="2" t="s">
        <v>49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/>
      <c r="AM95" s="2" t="s">
        <v>80</v>
      </c>
      <c r="AN95" s="2">
        <f t="shared" si="11"/>
        <v>0</v>
      </c>
      <c r="AO95" s="2">
        <f t="shared" si="12"/>
        <v>0</v>
      </c>
      <c r="AP95" s="2">
        <f t="shared" si="13"/>
        <v>0</v>
      </c>
      <c r="AQ95" s="2">
        <f t="shared" si="14"/>
        <v>0</v>
      </c>
      <c r="AR95" s="2">
        <f t="shared" si="15"/>
        <v>0</v>
      </c>
      <c r="AS95" s="2">
        <f t="shared" si="16"/>
        <v>0</v>
      </c>
      <c r="AT95" s="25">
        <f t="shared" si="17"/>
        <v>0</v>
      </c>
    </row>
    <row r="96" spans="1:46">
      <c r="A96" s="24">
        <v>46115</v>
      </c>
      <c r="B96" s="23">
        <f t="shared" si="10"/>
        <v>46113</v>
      </c>
      <c r="C96" s="2" t="s">
        <v>160</v>
      </c>
      <c r="D96" s="2" t="s">
        <v>51</v>
      </c>
      <c r="E96" s="2">
        <v>6221</v>
      </c>
      <c r="F96" s="2">
        <v>600</v>
      </c>
      <c r="G96" s="2">
        <f t="shared" si="18"/>
        <v>80</v>
      </c>
      <c r="H96" s="2">
        <f t="shared" si="19"/>
        <v>79</v>
      </c>
      <c r="I96" s="2">
        <v>1</v>
      </c>
      <c r="J96" s="44" t="s">
        <v>48</v>
      </c>
      <c r="K96" s="2" t="s">
        <v>49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/>
      <c r="AM96" s="2" t="s">
        <v>80</v>
      </c>
      <c r="AN96" s="2">
        <f t="shared" si="11"/>
        <v>1</v>
      </c>
      <c r="AO96" s="2">
        <f t="shared" si="12"/>
        <v>0</v>
      </c>
      <c r="AP96" s="2">
        <f t="shared" si="13"/>
        <v>0</v>
      </c>
      <c r="AQ96" s="2">
        <f t="shared" si="14"/>
        <v>0</v>
      </c>
      <c r="AR96" s="2">
        <f t="shared" si="15"/>
        <v>0</v>
      </c>
      <c r="AS96" s="2">
        <f t="shared" si="16"/>
        <v>0</v>
      </c>
      <c r="AT96" s="25">
        <f t="shared" si="17"/>
        <v>0</v>
      </c>
    </row>
    <row r="97" spans="1:46">
      <c r="A97" s="24">
        <v>46118</v>
      </c>
      <c r="B97" s="23">
        <f t="shared" si="10"/>
        <v>46113</v>
      </c>
      <c r="C97" s="2" t="s">
        <v>46</v>
      </c>
      <c r="D97" s="2" t="s">
        <v>50</v>
      </c>
      <c r="E97" s="2">
        <v>7153</v>
      </c>
      <c r="F97" s="2">
        <v>83</v>
      </c>
      <c r="G97" s="2">
        <f t="shared" si="18"/>
        <v>20</v>
      </c>
      <c r="H97" s="2">
        <f t="shared" si="19"/>
        <v>19</v>
      </c>
      <c r="I97" s="2">
        <v>1</v>
      </c>
      <c r="J97" s="44" t="s">
        <v>48</v>
      </c>
      <c r="K97" s="2" t="s">
        <v>49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/>
      <c r="AM97" s="2" t="s">
        <v>80</v>
      </c>
      <c r="AN97" s="2">
        <f t="shared" si="11"/>
        <v>1</v>
      </c>
      <c r="AO97" s="2">
        <f t="shared" si="12"/>
        <v>0</v>
      </c>
      <c r="AP97" s="2">
        <f t="shared" si="13"/>
        <v>0</v>
      </c>
      <c r="AQ97" s="2">
        <f t="shared" si="14"/>
        <v>0</v>
      </c>
      <c r="AR97" s="2">
        <f t="shared" si="15"/>
        <v>0</v>
      </c>
      <c r="AS97" s="2">
        <f t="shared" si="16"/>
        <v>0</v>
      </c>
      <c r="AT97" s="25">
        <f t="shared" si="17"/>
        <v>0</v>
      </c>
    </row>
    <row r="98" spans="1:46">
      <c r="A98" s="24">
        <v>46118</v>
      </c>
      <c r="B98" s="23">
        <f t="shared" si="10"/>
        <v>46113</v>
      </c>
      <c r="C98" s="2" t="s">
        <v>46</v>
      </c>
      <c r="D98" s="2" t="s">
        <v>1303</v>
      </c>
      <c r="E98" s="2">
        <v>6307</v>
      </c>
      <c r="F98" s="2">
        <v>103</v>
      </c>
      <c r="G98" s="2">
        <f t="shared" si="18"/>
        <v>20</v>
      </c>
      <c r="H98" s="2">
        <f t="shared" si="19"/>
        <v>19</v>
      </c>
      <c r="I98" s="2">
        <v>1</v>
      </c>
      <c r="J98" s="44" t="s">
        <v>48</v>
      </c>
      <c r="K98" s="2" t="s">
        <v>49</v>
      </c>
      <c r="L98" s="2">
        <v>1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/>
      <c r="AM98" s="2" t="s">
        <v>80</v>
      </c>
      <c r="AN98" s="2">
        <f t="shared" si="11"/>
        <v>1</v>
      </c>
      <c r="AO98" s="2">
        <f t="shared" si="12"/>
        <v>0</v>
      </c>
      <c r="AP98" s="2">
        <f t="shared" si="13"/>
        <v>0</v>
      </c>
      <c r="AQ98" s="2">
        <f t="shared" si="14"/>
        <v>0</v>
      </c>
      <c r="AR98" s="2">
        <f t="shared" si="15"/>
        <v>0</v>
      </c>
      <c r="AS98" s="2">
        <f t="shared" si="16"/>
        <v>0</v>
      </c>
      <c r="AT98" s="25">
        <f t="shared" si="17"/>
        <v>0</v>
      </c>
    </row>
    <row r="99" spans="1:46">
      <c r="A99" s="24">
        <v>46118</v>
      </c>
      <c r="B99" s="23">
        <f t="shared" si="10"/>
        <v>46113</v>
      </c>
      <c r="C99" s="2" t="s">
        <v>114</v>
      </c>
      <c r="D99" s="2" t="s">
        <v>1468</v>
      </c>
      <c r="E99" s="2">
        <v>3303</v>
      </c>
      <c r="F99" s="2">
        <v>81</v>
      </c>
      <c r="G99" s="2">
        <f t="shared" si="18"/>
        <v>20</v>
      </c>
      <c r="H99" s="2">
        <f t="shared" si="19"/>
        <v>19</v>
      </c>
      <c r="I99" s="2">
        <v>1</v>
      </c>
      <c r="J99" s="44" t="s">
        <v>48</v>
      </c>
      <c r="K99" s="2" t="s">
        <v>49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1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/>
      <c r="AM99" s="2" t="s">
        <v>103</v>
      </c>
      <c r="AN99" s="2">
        <f t="shared" si="11"/>
        <v>0</v>
      </c>
      <c r="AO99" s="2">
        <f t="shared" si="12"/>
        <v>1</v>
      </c>
      <c r="AP99" s="2">
        <f t="shared" si="13"/>
        <v>0</v>
      </c>
      <c r="AQ99" s="2">
        <f t="shared" si="14"/>
        <v>0</v>
      </c>
      <c r="AR99" s="2">
        <f t="shared" si="15"/>
        <v>0</v>
      </c>
      <c r="AS99" s="2">
        <f t="shared" si="16"/>
        <v>0</v>
      </c>
      <c r="AT99" s="25">
        <f t="shared" si="17"/>
        <v>0</v>
      </c>
    </row>
    <row r="100" spans="1:46">
      <c r="A100" s="24">
        <v>46118</v>
      </c>
      <c r="B100" s="23">
        <f t="shared" si="10"/>
        <v>46113</v>
      </c>
      <c r="C100" s="2" t="s">
        <v>72</v>
      </c>
      <c r="D100" s="2" t="s">
        <v>1544</v>
      </c>
      <c r="E100" s="2">
        <v>6327</v>
      </c>
      <c r="F100" s="2">
        <v>649</v>
      </c>
      <c r="G100" s="2">
        <f t="shared" si="18"/>
        <v>80</v>
      </c>
      <c r="H100" s="2">
        <f t="shared" si="19"/>
        <v>80</v>
      </c>
      <c r="I100" s="2">
        <v>0</v>
      </c>
      <c r="J100" s="44" t="s">
        <v>48</v>
      </c>
      <c r="K100" s="2" t="s">
        <v>49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/>
      <c r="AM100" s="2" t="s">
        <v>103</v>
      </c>
      <c r="AN100" s="2">
        <f t="shared" si="11"/>
        <v>0</v>
      </c>
      <c r="AO100" s="2">
        <f t="shared" si="12"/>
        <v>0</v>
      </c>
      <c r="AP100" s="2">
        <f t="shared" si="13"/>
        <v>0</v>
      </c>
      <c r="AQ100" s="2">
        <f t="shared" si="14"/>
        <v>0</v>
      </c>
      <c r="AR100" s="2">
        <f t="shared" si="15"/>
        <v>0</v>
      </c>
      <c r="AS100" s="2">
        <f t="shared" si="16"/>
        <v>0</v>
      </c>
      <c r="AT100" s="25">
        <f t="shared" si="17"/>
        <v>0</v>
      </c>
    </row>
    <row r="101" spans="1:46">
      <c r="A101" s="24">
        <v>46118</v>
      </c>
      <c r="B101" s="23">
        <f t="shared" si="10"/>
        <v>46113</v>
      </c>
      <c r="C101" s="2" t="s">
        <v>72</v>
      </c>
      <c r="D101" s="2" t="s">
        <v>79</v>
      </c>
      <c r="E101" s="2">
        <v>6265</v>
      </c>
      <c r="F101" s="2">
        <v>65</v>
      </c>
      <c r="G101" s="2">
        <f t="shared" si="18"/>
        <v>20</v>
      </c>
      <c r="H101" s="2">
        <f t="shared" si="19"/>
        <v>20</v>
      </c>
      <c r="I101" s="2">
        <v>0</v>
      </c>
      <c r="J101" s="44" t="s">
        <v>48</v>
      </c>
      <c r="K101" s="2" t="s">
        <v>49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/>
      <c r="AM101" s="2" t="s">
        <v>103</v>
      </c>
      <c r="AN101" s="2">
        <f t="shared" si="11"/>
        <v>0</v>
      </c>
      <c r="AO101" s="2">
        <f t="shared" si="12"/>
        <v>0</v>
      </c>
      <c r="AP101" s="2">
        <f t="shared" si="13"/>
        <v>0</v>
      </c>
      <c r="AQ101" s="2">
        <f t="shared" si="14"/>
        <v>0</v>
      </c>
      <c r="AR101" s="2">
        <f t="shared" si="15"/>
        <v>0</v>
      </c>
      <c r="AS101" s="2">
        <f t="shared" si="16"/>
        <v>0</v>
      </c>
      <c r="AT101" s="25">
        <f t="shared" si="17"/>
        <v>0</v>
      </c>
    </row>
    <row r="102" spans="1:46">
      <c r="A102" s="24">
        <v>46118</v>
      </c>
      <c r="B102" s="23">
        <f t="shared" si="10"/>
        <v>46113</v>
      </c>
      <c r="C102" s="2" t="s">
        <v>72</v>
      </c>
      <c r="D102" s="2" t="s">
        <v>323</v>
      </c>
      <c r="E102" s="2">
        <v>6265</v>
      </c>
      <c r="F102" s="2">
        <v>128</v>
      </c>
      <c r="G102" s="2">
        <f t="shared" si="18"/>
        <v>20</v>
      </c>
      <c r="H102" s="2">
        <f t="shared" si="19"/>
        <v>20</v>
      </c>
      <c r="I102" s="2">
        <v>0</v>
      </c>
      <c r="J102" s="44" t="s">
        <v>48</v>
      </c>
      <c r="K102" s="2" t="s">
        <v>49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/>
      <c r="AM102" s="2" t="s">
        <v>103</v>
      </c>
      <c r="AN102" s="2">
        <f t="shared" si="11"/>
        <v>0</v>
      </c>
      <c r="AO102" s="2">
        <f t="shared" si="12"/>
        <v>0</v>
      </c>
      <c r="AP102" s="2">
        <f t="shared" si="13"/>
        <v>0</v>
      </c>
      <c r="AQ102" s="2">
        <f t="shared" si="14"/>
        <v>0</v>
      </c>
      <c r="AR102" s="2">
        <f t="shared" si="15"/>
        <v>0</v>
      </c>
      <c r="AS102" s="2">
        <f t="shared" si="16"/>
        <v>0</v>
      </c>
      <c r="AT102" s="25">
        <f t="shared" si="17"/>
        <v>0</v>
      </c>
    </row>
    <row r="103" spans="1:46">
      <c r="A103" s="24">
        <v>46118</v>
      </c>
      <c r="B103" s="23">
        <f t="shared" si="10"/>
        <v>46113</v>
      </c>
      <c r="C103" s="2" t="s">
        <v>72</v>
      </c>
      <c r="D103" s="2" t="s">
        <v>211</v>
      </c>
      <c r="E103" s="2">
        <v>6265</v>
      </c>
      <c r="F103" s="2">
        <v>70</v>
      </c>
      <c r="G103" s="2">
        <f t="shared" si="18"/>
        <v>20</v>
      </c>
      <c r="H103" s="2">
        <f t="shared" si="19"/>
        <v>20</v>
      </c>
      <c r="I103" s="2">
        <v>0</v>
      </c>
      <c r="J103" s="44" t="s">
        <v>48</v>
      </c>
      <c r="K103" s="2" t="s">
        <v>49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/>
      <c r="AM103" s="2" t="s">
        <v>103</v>
      </c>
      <c r="AN103" s="2">
        <f t="shared" si="11"/>
        <v>0</v>
      </c>
      <c r="AO103" s="2">
        <f t="shared" si="12"/>
        <v>0</v>
      </c>
      <c r="AP103" s="2">
        <f t="shared" si="13"/>
        <v>0</v>
      </c>
      <c r="AQ103" s="2">
        <f t="shared" si="14"/>
        <v>0</v>
      </c>
      <c r="AR103" s="2">
        <f t="shared" si="15"/>
        <v>0</v>
      </c>
      <c r="AS103" s="2">
        <f t="shared" si="16"/>
        <v>0</v>
      </c>
      <c r="AT103" s="25">
        <f t="shared" si="17"/>
        <v>0</v>
      </c>
    </row>
    <row r="104" spans="1:46">
      <c r="A104" s="24">
        <v>46118</v>
      </c>
      <c r="B104" s="23">
        <f t="shared" si="10"/>
        <v>46113</v>
      </c>
      <c r="C104" s="2" t="s">
        <v>114</v>
      </c>
      <c r="D104" s="2" t="s">
        <v>237</v>
      </c>
      <c r="E104" s="2">
        <v>3308</v>
      </c>
      <c r="F104" s="2">
        <v>134</v>
      </c>
      <c r="G104" s="2">
        <f t="shared" si="18"/>
        <v>20</v>
      </c>
      <c r="H104" s="2">
        <f t="shared" si="19"/>
        <v>20</v>
      </c>
      <c r="I104" s="2">
        <v>0</v>
      </c>
      <c r="J104" s="44" t="s">
        <v>48</v>
      </c>
      <c r="K104" s="2" t="s">
        <v>49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/>
      <c r="AM104" s="2" t="s">
        <v>103</v>
      </c>
      <c r="AN104" s="2">
        <f t="shared" si="11"/>
        <v>0</v>
      </c>
      <c r="AO104" s="2">
        <f t="shared" si="12"/>
        <v>0</v>
      </c>
      <c r="AP104" s="2">
        <f t="shared" si="13"/>
        <v>0</v>
      </c>
      <c r="AQ104" s="2">
        <f t="shared" si="14"/>
        <v>0</v>
      </c>
      <c r="AR104" s="2">
        <f t="shared" si="15"/>
        <v>0</v>
      </c>
      <c r="AS104" s="2">
        <f t="shared" si="16"/>
        <v>0</v>
      </c>
      <c r="AT104" s="25">
        <f t="shared" si="17"/>
        <v>0</v>
      </c>
    </row>
    <row r="105" spans="1:46">
      <c r="A105" s="24">
        <v>46118</v>
      </c>
      <c r="B105" s="23">
        <f t="shared" si="10"/>
        <v>46113</v>
      </c>
      <c r="C105" s="2" t="s">
        <v>114</v>
      </c>
      <c r="D105" s="2" t="s">
        <v>310</v>
      </c>
      <c r="E105" s="2">
        <v>3286</v>
      </c>
      <c r="F105" s="2">
        <v>552</v>
      </c>
      <c r="G105" s="2">
        <f t="shared" si="18"/>
        <v>80</v>
      </c>
      <c r="H105" s="2">
        <f t="shared" si="19"/>
        <v>80</v>
      </c>
      <c r="I105" s="2">
        <v>0</v>
      </c>
      <c r="J105" s="44" t="s">
        <v>48</v>
      </c>
      <c r="K105" s="2" t="s">
        <v>49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/>
      <c r="AM105" s="2" t="s">
        <v>103</v>
      </c>
      <c r="AN105" s="2">
        <f t="shared" si="11"/>
        <v>0</v>
      </c>
      <c r="AO105" s="2">
        <f t="shared" si="12"/>
        <v>0</v>
      </c>
      <c r="AP105" s="2">
        <f t="shared" si="13"/>
        <v>0</v>
      </c>
      <c r="AQ105" s="2">
        <f t="shared" si="14"/>
        <v>0</v>
      </c>
      <c r="AR105" s="2">
        <f t="shared" si="15"/>
        <v>0</v>
      </c>
      <c r="AS105" s="2">
        <f t="shared" si="16"/>
        <v>0</v>
      </c>
      <c r="AT105" s="25">
        <f t="shared" si="17"/>
        <v>0</v>
      </c>
    </row>
    <row r="106" spans="1:46">
      <c r="A106" s="24">
        <v>46118</v>
      </c>
      <c r="B106" s="23">
        <f t="shared" si="10"/>
        <v>46113</v>
      </c>
      <c r="C106" s="2" t="s">
        <v>72</v>
      </c>
      <c r="D106" s="2" t="s">
        <v>135</v>
      </c>
      <c r="E106" s="2">
        <v>1802</v>
      </c>
      <c r="F106" s="2">
        <v>480</v>
      </c>
      <c r="G106" s="2">
        <f t="shared" si="18"/>
        <v>50</v>
      </c>
      <c r="H106" s="2">
        <f t="shared" si="19"/>
        <v>50</v>
      </c>
      <c r="I106" s="2">
        <v>0</v>
      </c>
      <c r="J106" s="44" t="s">
        <v>48</v>
      </c>
      <c r="K106" s="2" t="s">
        <v>49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/>
      <c r="AM106" s="2" t="s">
        <v>103</v>
      </c>
      <c r="AN106" s="2">
        <f t="shared" si="11"/>
        <v>0</v>
      </c>
      <c r="AO106" s="2">
        <f t="shared" si="12"/>
        <v>0</v>
      </c>
      <c r="AP106" s="2">
        <f t="shared" si="13"/>
        <v>0</v>
      </c>
      <c r="AQ106" s="2">
        <f t="shared" si="14"/>
        <v>0</v>
      </c>
      <c r="AR106" s="2">
        <f t="shared" si="15"/>
        <v>0</v>
      </c>
      <c r="AS106" s="2">
        <f t="shared" si="16"/>
        <v>0</v>
      </c>
      <c r="AT106" s="25">
        <f t="shared" si="17"/>
        <v>0</v>
      </c>
    </row>
    <row r="107" spans="1:46">
      <c r="A107" s="24">
        <v>46118</v>
      </c>
      <c r="B107" s="23">
        <f t="shared" si="10"/>
        <v>46113</v>
      </c>
      <c r="C107" s="2" t="s">
        <v>82</v>
      </c>
      <c r="D107" s="2" t="s">
        <v>83</v>
      </c>
      <c r="E107" s="2">
        <v>6248</v>
      </c>
      <c r="F107" s="2">
        <v>147</v>
      </c>
      <c r="G107" s="2">
        <f t="shared" si="18"/>
        <v>20</v>
      </c>
      <c r="H107" s="2">
        <f t="shared" si="19"/>
        <v>19</v>
      </c>
      <c r="I107" s="2">
        <v>1</v>
      </c>
      <c r="J107" s="44" t="s">
        <v>48</v>
      </c>
      <c r="K107" s="2" t="s">
        <v>49</v>
      </c>
      <c r="L107" s="2">
        <v>1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/>
      <c r="AM107" s="2" t="s">
        <v>93</v>
      </c>
      <c r="AN107" s="2">
        <f t="shared" si="11"/>
        <v>1</v>
      </c>
      <c r="AO107" s="2">
        <f t="shared" si="12"/>
        <v>0</v>
      </c>
      <c r="AP107" s="2">
        <f t="shared" si="13"/>
        <v>0</v>
      </c>
      <c r="AQ107" s="2">
        <f t="shared" si="14"/>
        <v>0</v>
      </c>
      <c r="AR107" s="2">
        <f t="shared" si="15"/>
        <v>0</v>
      </c>
      <c r="AS107" s="2">
        <f t="shared" si="16"/>
        <v>0</v>
      </c>
      <c r="AT107" s="25">
        <f t="shared" si="17"/>
        <v>0</v>
      </c>
    </row>
    <row r="108" spans="1:46">
      <c r="A108" s="24">
        <v>46118</v>
      </c>
      <c r="B108" s="23">
        <f t="shared" si="10"/>
        <v>46113</v>
      </c>
      <c r="C108" s="2" t="s">
        <v>160</v>
      </c>
      <c r="D108" s="2" t="s">
        <v>162</v>
      </c>
      <c r="E108" s="2">
        <v>3227</v>
      </c>
      <c r="F108" s="2">
        <v>61</v>
      </c>
      <c r="G108" s="2">
        <f t="shared" si="18"/>
        <v>20</v>
      </c>
      <c r="H108" s="2">
        <f t="shared" si="19"/>
        <v>20</v>
      </c>
      <c r="I108" s="2">
        <v>0</v>
      </c>
      <c r="J108" s="44" t="s">
        <v>48</v>
      </c>
      <c r="K108" s="2" t="s">
        <v>49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/>
      <c r="AM108" s="2" t="s">
        <v>93</v>
      </c>
      <c r="AN108" s="2">
        <f t="shared" si="11"/>
        <v>0</v>
      </c>
      <c r="AO108" s="2">
        <f t="shared" si="12"/>
        <v>0</v>
      </c>
      <c r="AP108" s="2">
        <f t="shared" si="13"/>
        <v>0</v>
      </c>
      <c r="AQ108" s="2">
        <f t="shared" si="14"/>
        <v>0</v>
      </c>
      <c r="AR108" s="2">
        <f t="shared" si="15"/>
        <v>0</v>
      </c>
      <c r="AS108" s="2">
        <f t="shared" si="16"/>
        <v>0</v>
      </c>
      <c r="AT108" s="25">
        <f t="shared" si="17"/>
        <v>0</v>
      </c>
    </row>
    <row r="109" spans="1:46">
      <c r="A109" s="24">
        <v>46118</v>
      </c>
      <c r="B109" s="23">
        <f t="shared" si="10"/>
        <v>46113</v>
      </c>
      <c r="C109" s="2" t="s">
        <v>160</v>
      </c>
      <c r="D109" s="2" t="s">
        <v>308</v>
      </c>
      <c r="E109" s="2">
        <v>6117</v>
      </c>
      <c r="F109" s="2">
        <v>177</v>
      </c>
      <c r="G109" s="2">
        <f t="shared" si="18"/>
        <v>32</v>
      </c>
      <c r="H109" s="2">
        <f t="shared" si="19"/>
        <v>30</v>
      </c>
      <c r="I109" s="2">
        <v>2</v>
      </c>
      <c r="J109" s="44" t="s">
        <v>48</v>
      </c>
      <c r="K109" s="2" t="s">
        <v>49</v>
      </c>
      <c r="L109" s="2">
        <v>1</v>
      </c>
      <c r="M109" s="2">
        <v>0</v>
      </c>
      <c r="N109" s="2">
        <v>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/>
      <c r="AM109" s="2" t="s">
        <v>93</v>
      </c>
      <c r="AN109" s="2">
        <f t="shared" si="11"/>
        <v>1</v>
      </c>
      <c r="AO109" s="2">
        <f t="shared" si="12"/>
        <v>1</v>
      </c>
      <c r="AP109" s="2">
        <f t="shared" si="13"/>
        <v>0</v>
      </c>
      <c r="AQ109" s="2">
        <f t="shared" si="14"/>
        <v>0</v>
      </c>
      <c r="AR109" s="2">
        <f t="shared" si="15"/>
        <v>0</v>
      </c>
      <c r="AS109" s="2">
        <f t="shared" si="16"/>
        <v>0</v>
      </c>
      <c r="AT109" s="25">
        <f t="shared" si="17"/>
        <v>0</v>
      </c>
    </row>
    <row r="110" spans="1:46">
      <c r="A110" s="24">
        <v>46118</v>
      </c>
      <c r="B110" s="23">
        <f t="shared" si="10"/>
        <v>46113</v>
      </c>
      <c r="C110" s="2" t="s">
        <v>82</v>
      </c>
      <c r="D110" s="2" t="s">
        <v>90</v>
      </c>
      <c r="E110" s="2">
        <v>8141</v>
      </c>
      <c r="F110" s="2">
        <v>546</v>
      </c>
      <c r="G110" s="2">
        <f t="shared" si="18"/>
        <v>80</v>
      </c>
      <c r="H110" s="2">
        <f t="shared" si="19"/>
        <v>80</v>
      </c>
      <c r="I110" s="2">
        <v>0</v>
      </c>
      <c r="J110" s="44" t="s">
        <v>48</v>
      </c>
      <c r="K110" s="2" t="s">
        <v>49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/>
      <c r="AM110" s="2" t="s">
        <v>93</v>
      </c>
      <c r="AN110" s="2">
        <f t="shared" si="11"/>
        <v>0</v>
      </c>
      <c r="AO110" s="2">
        <f t="shared" si="12"/>
        <v>0</v>
      </c>
      <c r="AP110" s="2">
        <f t="shared" si="13"/>
        <v>0</v>
      </c>
      <c r="AQ110" s="2">
        <f t="shared" si="14"/>
        <v>0</v>
      </c>
      <c r="AR110" s="2">
        <f t="shared" si="15"/>
        <v>0</v>
      </c>
      <c r="AS110" s="2">
        <f t="shared" si="16"/>
        <v>0</v>
      </c>
      <c r="AT110" s="25">
        <f t="shared" si="17"/>
        <v>0</v>
      </c>
    </row>
    <row r="111" spans="1:46">
      <c r="A111" s="24">
        <v>46118</v>
      </c>
      <c r="B111" s="23">
        <f t="shared" si="10"/>
        <v>46113</v>
      </c>
      <c r="C111" s="2" t="s">
        <v>63</v>
      </c>
      <c r="D111" s="2" t="s">
        <v>143</v>
      </c>
      <c r="E111" s="2">
        <v>3255</v>
      </c>
      <c r="F111" s="2">
        <v>290</v>
      </c>
      <c r="G111" s="2">
        <f t="shared" si="18"/>
        <v>50</v>
      </c>
      <c r="H111" s="2">
        <f t="shared" si="19"/>
        <v>50</v>
      </c>
      <c r="I111" s="2">
        <v>0</v>
      </c>
      <c r="J111" s="44" t="s">
        <v>48</v>
      </c>
      <c r="K111" s="2" t="s">
        <v>49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/>
      <c r="AM111" s="2" t="s">
        <v>1568</v>
      </c>
      <c r="AN111" s="2">
        <f t="shared" si="11"/>
        <v>0</v>
      </c>
      <c r="AO111" s="2">
        <f t="shared" si="12"/>
        <v>0</v>
      </c>
      <c r="AP111" s="2">
        <f t="shared" si="13"/>
        <v>0</v>
      </c>
      <c r="AQ111" s="2">
        <f t="shared" si="14"/>
        <v>0</v>
      </c>
      <c r="AR111" s="2">
        <f t="shared" si="15"/>
        <v>0</v>
      </c>
      <c r="AS111" s="2">
        <f t="shared" si="16"/>
        <v>0</v>
      </c>
      <c r="AT111" s="25">
        <f t="shared" si="17"/>
        <v>0</v>
      </c>
    </row>
    <row r="112" spans="1:46">
      <c r="A112" s="24">
        <v>46118</v>
      </c>
      <c r="B112" s="23">
        <f t="shared" si="10"/>
        <v>46113</v>
      </c>
      <c r="C112" s="2" t="s">
        <v>63</v>
      </c>
      <c r="D112" s="2" t="s">
        <v>65</v>
      </c>
      <c r="E112" s="2">
        <v>2598</v>
      </c>
      <c r="F112" s="2">
        <v>360</v>
      </c>
      <c r="G112" s="2">
        <f t="shared" si="18"/>
        <v>50</v>
      </c>
      <c r="H112" s="2">
        <f t="shared" si="19"/>
        <v>50</v>
      </c>
      <c r="I112" s="2">
        <v>0</v>
      </c>
      <c r="J112" s="44" t="s">
        <v>48</v>
      </c>
      <c r="K112" s="2" t="s">
        <v>49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/>
      <c r="AM112" s="2" t="s">
        <v>1568</v>
      </c>
      <c r="AN112" s="2">
        <f t="shared" si="11"/>
        <v>0</v>
      </c>
      <c r="AO112" s="2">
        <f t="shared" si="12"/>
        <v>0</v>
      </c>
      <c r="AP112" s="2">
        <f t="shared" si="13"/>
        <v>0</v>
      </c>
      <c r="AQ112" s="2">
        <f t="shared" si="14"/>
        <v>0</v>
      </c>
      <c r="AR112" s="2">
        <f t="shared" si="15"/>
        <v>0</v>
      </c>
      <c r="AS112" s="2">
        <f t="shared" si="16"/>
        <v>0</v>
      </c>
      <c r="AT112" s="25">
        <f t="shared" si="17"/>
        <v>0</v>
      </c>
    </row>
    <row r="113" spans="1:46">
      <c r="A113" s="24">
        <v>46118</v>
      </c>
      <c r="B113" s="23">
        <f t="shared" si="10"/>
        <v>46113</v>
      </c>
      <c r="C113" s="2" t="s">
        <v>62</v>
      </c>
      <c r="D113" s="2" t="s">
        <v>1406</v>
      </c>
      <c r="E113" s="2">
        <v>3330</v>
      </c>
      <c r="F113" s="2">
        <v>55</v>
      </c>
      <c r="G113" s="2">
        <f t="shared" si="18"/>
        <v>20</v>
      </c>
      <c r="H113" s="2">
        <f t="shared" si="19"/>
        <v>20</v>
      </c>
      <c r="I113" s="2">
        <v>0</v>
      </c>
      <c r="J113" s="44" t="s">
        <v>48</v>
      </c>
      <c r="K113" s="2" t="s">
        <v>49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/>
      <c r="AM113" s="2" t="s">
        <v>1568</v>
      </c>
      <c r="AN113" s="2">
        <f t="shared" si="11"/>
        <v>0</v>
      </c>
      <c r="AO113" s="2">
        <f t="shared" si="12"/>
        <v>0</v>
      </c>
      <c r="AP113" s="2">
        <f t="shared" si="13"/>
        <v>0</v>
      </c>
      <c r="AQ113" s="2">
        <f t="shared" si="14"/>
        <v>0</v>
      </c>
      <c r="AR113" s="2">
        <f t="shared" si="15"/>
        <v>0</v>
      </c>
      <c r="AS113" s="2">
        <f t="shared" si="16"/>
        <v>0</v>
      </c>
      <c r="AT113" s="25">
        <f t="shared" si="17"/>
        <v>0</v>
      </c>
    </row>
    <row r="114" spans="1:46">
      <c r="A114" s="24">
        <v>46118</v>
      </c>
      <c r="B114" s="23">
        <f t="shared" si="10"/>
        <v>46113</v>
      </c>
      <c r="C114" s="2" t="s">
        <v>62</v>
      </c>
      <c r="D114" s="2" t="s">
        <v>109</v>
      </c>
      <c r="E114" s="2">
        <v>7131</v>
      </c>
      <c r="F114" s="2">
        <v>82</v>
      </c>
      <c r="G114" s="2">
        <f t="shared" si="18"/>
        <v>20</v>
      </c>
      <c r="H114" s="2">
        <f t="shared" si="19"/>
        <v>20</v>
      </c>
      <c r="I114" s="2">
        <v>0</v>
      </c>
      <c r="J114" s="44" t="s">
        <v>48</v>
      </c>
      <c r="K114" s="2" t="s">
        <v>49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/>
      <c r="AM114" s="2" t="s">
        <v>1568</v>
      </c>
      <c r="AN114" s="2">
        <f t="shared" si="11"/>
        <v>0</v>
      </c>
      <c r="AO114" s="2">
        <f t="shared" si="12"/>
        <v>0</v>
      </c>
      <c r="AP114" s="2">
        <f t="shared" si="13"/>
        <v>0</v>
      </c>
      <c r="AQ114" s="2">
        <f t="shared" si="14"/>
        <v>0</v>
      </c>
      <c r="AR114" s="2">
        <f t="shared" si="15"/>
        <v>0</v>
      </c>
      <c r="AS114" s="2">
        <f t="shared" si="16"/>
        <v>0</v>
      </c>
      <c r="AT114" s="25">
        <f t="shared" si="17"/>
        <v>0</v>
      </c>
    </row>
    <row r="115" spans="1:46">
      <c r="A115" s="24">
        <v>46118</v>
      </c>
      <c r="B115" s="23">
        <f t="shared" si="10"/>
        <v>46113</v>
      </c>
      <c r="C115" s="2" t="s">
        <v>62</v>
      </c>
      <c r="D115" s="2" t="s">
        <v>1408</v>
      </c>
      <c r="E115" s="2">
        <v>3330</v>
      </c>
      <c r="F115" s="2">
        <v>55</v>
      </c>
      <c r="G115" s="2">
        <f t="shared" si="18"/>
        <v>20</v>
      </c>
      <c r="H115" s="2">
        <f t="shared" si="19"/>
        <v>18</v>
      </c>
      <c r="I115" s="2">
        <v>2</v>
      </c>
      <c r="J115" s="44" t="s">
        <v>67</v>
      </c>
      <c r="K115" s="2" t="s">
        <v>49</v>
      </c>
      <c r="L115" s="2">
        <v>2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/>
      <c r="AM115" s="2" t="s">
        <v>1568</v>
      </c>
      <c r="AN115" s="2">
        <f t="shared" si="11"/>
        <v>2</v>
      </c>
      <c r="AO115" s="2">
        <f t="shared" si="12"/>
        <v>0</v>
      </c>
      <c r="AP115" s="2">
        <f t="shared" si="13"/>
        <v>0</v>
      </c>
      <c r="AQ115" s="2">
        <f t="shared" si="14"/>
        <v>0</v>
      </c>
      <c r="AR115" s="2">
        <f t="shared" si="15"/>
        <v>0</v>
      </c>
      <c r="AS115" s="2">
        <f t="shared" si="16"/>
        <v>0</v>
      </c>
      <c r="AT115" s="25">
        <f t="shared" si="17"/>
        <v>0</v>
      </c>
    </row>
    <row r="116" spans="1:46">
      <c r="A116" s="24">
        <v>46118</v>
      </c>
      <c r="B116" s="23">
        <f t="shared" si="10"/>
        <v>46113</v>
      </c>
      <c r="C116" s="2" t="s">
        <v>62</v>
      </c>
      <c r="D116" s="2" t="s">
        <v>1408</v>
      </c>
      <c r="E116" s="2">
        <v>3330</v>
      </c>
      <c r="F116" s="2">
        <v>51</v>
      </c>
      <c r="G116" s="2">
        <f t="shared" si="18"/>
        <v>20</v>
      </c>
      <c r="H116" s="2">
        <f t="shared" si="19"/>
        <v>20</v>
      </c>
      <c r="I116" s="2">
        <v>0</v>
      </c>
      <c r="J116" s="44" t="s">
        <v>48</v>
      </c>
      <c r="K116" s="2" t="s">
        <v>49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/>
      <c r="AM116" s="2" t="s">
        <v>1568</v>
      </c>
      <c r="AN116" s="2">
        <f t="shared" si="11"/>
        <v>0</v>
      </c>
      <c r="AO116" s="2">
        <f t="shared" si="12"/>
        <v>0</v>
      </c>
      <c r="AP116" s="2">
        <f t="shared" si="13"/>
        <v>0</v>
      </c>
      <c r="AQ116" s="2">
        <f t="shared" si="14"/>
        <v>0</v>
      </c>
      <c r="AR116" s="2">
        <f t="shared" si="15"/>
        <v>0</v>
      </c>
      <c r="AS116" s="2">
        <f t="shared" si="16"/>
        <v>0</v>
      </c>
      <c r="AT116" s="25">
        <f t="shared" si="17"/>
        <v>0</v>
      </c>
    </row>
    <row r="117" spans="1:46">
      <c r="A117" s="24">
        <v>46118</v>
      </c>
      <c r="B117" s="23">
        <f t="shared" si="10"/>
        <v>46113</v>
      </c>
      <c r="C117" s="2" t="s">
        <v>63</v>
      </c>
      <c r="D117" s="2" t="s">
        <v>139</v>
      </c>
      <c r="E117" s="2">
        <v>1715</v>
      </c>
      <c r="F117" s="2">
        <v>113</v>
      </c>
      <c r="G117" s="2">
        <f t="shared" si="18"/>
        <v>20</v>
      </c>
      <c r="H117" s="2">
        <f t="shared" si="19"/>
        <v>20</v>
      </c>
      <c r="I117" s="2">
        <v>0</v>
      </c>
      <c r="J117" s="44" t="s">
        <v>48</v>
      </c>
      <c r="K117" s="2" t="s">
        <v>49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/>
      <c r="AM117" s="2" t="s">
        <v>1568</v>
      </c>
      <c r="AN117" s="2">
        <f t="shared" si="11"/>
        <v>0</v>
      </c>
      <c r="AO117" s="2">
        <f t="shared" si="12"/>
        <v>0</v>
      </c>
      <c r="AP117" s="2">
        <f t="shared" si="13"/>
        <v>0</v>
      </c>
      <c r="AQ117" s="2">
        <f t="shared" si="14"/>
        <v>0</v>
      </c>
      <c r="AR117" s="2">
        <f t="shared" si="15"/>
        <v>0</v>
      </c>
      <c r="AS117" s="2">
        <f t="shared" si="16"/>
        <v>0</v>
      </c>
      <c r="AT117" s="25">
        <f t="shared" si="17"/>
        <v>0</v>
      </c>
    </row>
    <row r="118" spans="1:46">
      <c r="A118" s="24">
        <v>46118</v>
      </c>
      <c r="B118" s="23">
        <f t="shared" si="10"/>
        <v>46113</v>
      </c>
      <c r="C118" s="2" t="s">
        <v>62</v>
      </c>
      <c r="D118" s="2" t="s">
        <v>111</v>
      </c>
      <c r="E118" s="2">
        <v>7131</v>
      </c>
      <c r="F118" s="2">
        <v>254</v>
      </c>
      <c r="G118" s="2">
        <f t="shared" si="18"/>
        <v>32</v>
      </c>
      <c r="H118" s="2">
        <f t="shared" si="19"/>
        <v>32</v>
      </c>
      <c r="I118" s="2">
        <v>0</v>
      </c>
      <c r="J118" s="44" t="s">
        <v>48</v>
      </c>
      <c r="K118" s="2" t="s">
        <v>49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/>
      <c r="AM118" s="2" t="s">
        <v>1568</v>
      </c>
      <c r="AN118" s="2">
        <f t="shared" si="11"/>
        <v>0</v>
      </c>
      <c r="AO118" s="2">
        <f t="shared" si="12"/>
        <v>0</v>
      </c>
      <c r="AP118" s="2">
        <f t="shared" si="13"/>
        <v>0</v>
      </c>
      <c r="AQ118" s="2">
        <f t="shared" si="14"/>
        <v>0</v>
      </c>
      <c r="AR118" s="2">
        <f t="shared" si="15"/>
        <v>0</v>
      </c>
      <c r="AS118" s="2">
        <f t="shared" si="16"/>
        <v>0</v>
      </c>
      <c r="AT118" s="25">
        <f t="shared" si="17"/>
        <v>0</v>
      </c>
    </row>
    <row r="119" spans="1:46">
      <c r="A119" s="24">
        <v>46118</v>
      </c>
      <c r="B119" s="23">
        <f t="shared" si="10"/>
        <v>46113</v>
      </c>
      <c r="C119" s="2" t="s">
        <v>62</v>
      </c>
      <c r="D119" s="2" t="s">
        <v>1406</v>
      </c>
      <c r="E119" s="2">
        <v>3330</v>
      </c>
      <c r="F119" s="2">
        <v>56</v>
      </c>
      <c r="G119" s="2">
        <f t="shared" si="18"/>
        <v>20</v>
      </c>
      <c r="H119" s="2">
        <f t="shared" si="19"/>
        <v>20</v>
      </c>
      <c r="I119" s="2">
        <v>0</v>
      </c>
      <c r="J119" s="44" t="s">
        <v>48</v>
      </c>
      <c r="K119" s="2" t="s">
        <v>49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/>
      <c r="AM119" s="2" t="s">
        <v>1568</v>
      </c>
      <c r="AN119" s="2">
        <f t="shared" si="11"/>
        <v>0</v>
      </c>
      <c r="AO119" s="2">
        <f t="shared" si="12"/>
        <v>0</v>
      </c>
      <c r="AP119" s="2">
        <f t="shared" si="13"/>
        <v>0</v>
      </c>
      <c r="AQ119" s="2">
        <f t="shared" si="14"/>
        <v>0</v>
      </c>
      <c r="AR119" s="2">
        <f t="shared" si="15"/>
        <v>0</v>
      </c>
      <c r="AS119" s="2">
        <f t="shared" si="16"/>
        <v>0</v>
      </c>
      <c r="AT119" s="25">
        <f t="shared" si="17"/>
        <v>0</v>
      </c>
    </row>
    <row r="120" spans="1:46">
      <c r="A120" s="24">
        <v>46118</v>
      </c>
      <c r="B120" s="23">
        <f t="shared" si="10"/>
        <v>46113</v>
      </c>
      <c r="C120" s="2" t="s">
        <v>62</v>
      </c>
      <c r="D120" s="2" t="s">
        <v>151</v>
      </c>
      <c r="E120" s="2">
        <v>3290</v>
      </c>
      <c r="F120" s="2">
        <v>53</v>
      </c>
      <c r="G120" s="2">
        <f t="shared" si="18"/>
        <v>20</v>
      </c>
      <c r="H120" s="2">
        <f t="shared" si="19"/>
        <v>0</v>
      </c>
      <c r="I120" s="2">
        <v>20</v>
      </c>
      <c r="J120" s="44" t="s">
        <v>67</v>
      </c>
      <c r="K120" s="2" t="s">
        <v>49</v>
      </c>
      <c r="L120" s="2">
        <v>0</v>
      </c>
      <c r="M120" s="2">
        <v>0</v>
      </c>
      <c r="N120" s="2">
        <v>0</v>
      </c>
      <c r="O120" s="2">
        <v>0</v>
      </c>
      <c r="P120" s="2">
        <v>20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/>
      <c r="AM120" s="2" t="s">
        <v>1568</v>
      </c>
      <c r="AN120" s="2">
        <f t="shared" si="11"/>
        <v>0</v>
      </c>
      <c r="AO120" s="2">
        <f t="shared" si="12"/>
        <v>20</v>
      </c>
      <c r="AP120" s="2">
        <f t="shared" si="13"/>
        <v>0</v>
      </c>
      <c r="AQ120" s="2">
        <f t="shared" si="14"/>
        <v>0</v>
      </c>
      <c r="AR120" s="2">
        <f t="shared" si="15"/>
        <v>0</v>
      </c>
      <c r="AS120" s="2">
        <f t="shared" si="16"/>
        <v>0</v>
      </c>
      <c r="AT120" s="25">
        <f t="shared" si="17"/>
        <v>0</v>
      </c>
    </row>
    <row r="121" spans="1:46">
      <c r="A121" s="24">
        <v>46118</v>
      </c>
      <c r="B121" s="23">
        <f t="shared" si="10"/>
        <v>46113</v>
      </c>
      <c r="C121" s="2" t="s">
        <v>62</v>
      </c>
      <c r="D121" s="2" t="s">
        <v>151</v>
      </c>
      <c r="E121" s="2">
        <v>3290</v>
      </c>
      <c r="F121" s="2">
        <v>53</v>
      </c>
      <c r="G121" s="2">
        <f t="shared" si="18"/>
        <v>20</v>
      </c>
      <c r="H121" s="2">
        <f t="shared" si="19"/>
        <v>20</v>
      </c>
      <c r="I121" s="2">
        <v>0</v>
      </c>
      <c r="J121" s="44" t="s">
        <v>48</v>
      </c>
      <c r="K121" s="2" t="s">
        <v>49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/>
      <c r="AM121" s="2" t="s">
        <v>1568</v>
      </c>
      <c r="AN121" s="2">
        <f t="shared" si="11"/>
        <v>0</v>
      </c>
      <c r="AO121" s="2">
        <f t="shared" si="12"/>
        <v>0</v>
      </c>
      <c r="AP121" s="2">
        <f t="shared" si="13"/>
        <v>0</v>
      </c>
      <c r="AQ121" s="2">
        <f t="shared" si="14"/>
        <v>0</v>
      </c>
      <c r="AR121" s="2">
        <f t="shared" si="15"/>
        <v>0</v>
      </c>
      <c r="AS121" s="2">
        <f t="shared" si="16"/>
        <v>0</v>
      </c>
      <c r="AT121" s="25">
        <f t="shared" si="17"/>
        <v>0</v>
      </c>
    </row>
    <row r="122" spans="1:46">
      <c r="A122" s="24">
        <v>46118</v>
      </c>
      <c r="B122" s="23">
        <f t="shared" si="10"/>
        <v>46113</v>
      </c>
      <c r="C122" s="2" t="s">
        <v>63</v>
      </c>
      <c r="D122" s="2" t="s">
        <v>113</v>
      </c>
      <c r="E122" s="2">
        <v>2598</v>
      </c>
      <c r="F122" s="2">
        <v>560</v>
      </c>
      <c r="G122" s="2">
        <f t="shared" si="18"/>
        <v>80</v>
      </c>
      <c r="H122" s="2">
        <f t="shared" si="19"/>
        <v>80</v>
      </c>
      <c r="I122" s="2">
        <v>0</v>
      </c>
      <c r="J122" s="44" t="s">
        <v>48</v>
      </c>
      <c r="K122" s="2" t="s">
        <v>49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/>
      <c r="AM122" s="2" t="s">
        <v>1568</v>
      </c>
      <c r="AN122" s="2">
        <f t="shared" si="11"/>
        <v>0</v>
      </c>
      <c r="AO122" s="2">
        <f t="shared" si="12"/>
        <v>0</v>
      </c>
      <c r="AP122" s="2">
        <f t="shared" si="13"/>
        <v>0</v>
      </c>
      <c r="AQ122" s="2">
        <f t="shared" si="14"/>
        <v>0</v>
      </c>
      <c r="AR122" s="2">
        <f t="shared" si="15"/>
        <v>0</v>
      </c>
      <c r="AS122" s="2">
        <f t="shared" si="16"/>
        <v>0</v>
      </c>
      <c r="AT122" s="25">
        <f t="shared" si="17"/>
        <v>0</v>
      </c>
    </row>
    <row r="123" spans="1:46">
      <c r="A123" s="24">
        <v>46118</v>
      </c>
      <c r="B123" s="23">
        <f t="shared" si="10"/>
        <v>46113</v>
      </c>
      <c r="C123" s="2" t="s">
        <v>46</v>
      </c>
      <c r="D123" s="2" t="s">
        <v>54</v>
      </c>
      <c r="E123" s="2">
        <v>1774</v>
      </c>
      <c r="F123" s="2">
        <v>311</v>
      </c>
      <c r="G123" s="2">
        <f t="shared" si="18"/>
        <v>50</v>
      </c>
      <c r="H123" s="2">
        <f t="shared" si="19"/>
        <v>50</v>
      </c>
      <c r="I123" s="2">
        <v>0</v>
      </c>
      <c r="J123" s="44" t="s">
        <v>48</v>
      </c>
      <c r="K123" s="2" t="s">
        <v>49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/>
      <c r="AM123" s="2" t="s">
        <v>1567</v>
      </c>
      <c r="AN123" s="2">
        <f t="shared" si="11"/>
        <v>0</v>
      </c>
      <c r="AO123" s="2">
        <f t="shared" si="12"/>
        <v>0</v>
      </c>
      <c r="AP123" s="2">
        <f t="shared" si="13"/>
        <v>0</v>
      </c>
      <c r="AQ123" s="2">
        <f t="shared" si="14"/>
        <v>0</v>
      </c>
      <c r="AR123" s="2">
        <f t="shared" si="15"/>
        <v>0</v>
      </c>
      <c r="AS123" s="2">
        <f t="shared" si="16"/>
        <v>0</v>
      </c>
      <c r="AT123" s="25">
        <f t="shared" si="17"/>
        <v>0</v>
      </c>
    </row>
    <row r="124" spans="1:46">
      <c r="A124" s="24">
        <v>46118</v>
      </c>
      <c r="B124" s="23">
        <f t="shared" si="10"/>
        <v>46113</v>
      </c>
      <c r="C124" s="2" t="s">
        <v>95</v>
      </c>
      <c r="D124" s="2" t="s">
        <v>1228</v>
      </c>
      <c r="E124" s="2">
        <v>3322</v>
      </c>
      <c r="F124" s="2">
        <v>57</v>
      </c>
      <c r="G124" s="2">
        <f t="shared" si="18"/>
        <v>20</v>
      </c>
      <c r="H124" s="2">
        <f t="shared" si="19"/>
        <v>19</v>
      </c>
      <c r="I124" s="2">
        <v>1</v>
      </c>
      <c r="J124" s="44" t="s">
        <v>48</v>
      </c>
      <c r="K124" s="2" t="s">
        <v>49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/>
      <c r="AM124" s="2" t="s">
        <v>1567</v>
      </c>
      <c r="AN124" s="2">
        <f t="shared" si="11"/>
        <v>1</v>
      </c>
      <c r="AO124" s="2">
        <f t="shared" si="12"/>
        <v>0</v>
      </c>
      <c r="AP124" s="2">
        <f t="shared" si="13"/>
        <v>0</v>
      </c>
      <c r="AQ124" s="2">
        <f t="shared" si="14"/>
        <v>0</v>
      </c>
      <c r="AR124" s="2">
        <f t="shared" si="15"/>
        <v>0</v>
      </c>
      <c r="AS124" s="2">
        <f t="shared" si="16"/>
        <v>0</v>
      </c>
      <c r="AT124" s="25">
        <f t="shared" si="17"/>
        <v>0</v>
      </c>
    </row>
    <row r="125" spans="1:46">
      <c r="A125" s="24">
        <v>46118</v>
      </c>
      <c r="B125" s="23">
        <f t="shared" si="10"/>
        <v>46113</v>
      </c>
      <c r="C125" s="2" t="s">
        <v>95</v>
      </c>
      <c r="D125" s="2" t="s">
        <v>326</v>
      </c>
      <c r="E125" s="2">
        <v>3322</v>
      </c>
      <c r="F125" s="2">
        <v>72</v>
      </c>
      <c r="G125" s="2">
        <f t="shared" si="18"/>
        <v>20</v>
      </c>
      <c r="H125" s="2">
        <f t="shared" si="19"/>
        <v>20</v>
      </c>
      <c r="I125" s="2">
        <v>0</v>
      </c>
      <c r="J125" s="44" t="s">
        <v>48</v>
      </c>
      <c r="K125" s="2" t="s">
        <v>49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/>
      <c r="AM125" s="2" t="s">
        <v>1567</v>
      </c>
      <c r="AN125" s="2">
        <f t="shared" si="11"/>
        <v>0</v>
      </c>
      <c r="AO125" s="2">
        <f t="shared" si="12"/>
        <v>0</v>
      </c>
      <c r="AP125" s="2">
        <f t="shared" si="13"/>
        <v>0</v>
      </c>
      <c r="AQ125" s="2">
        <f t="shared" si="14"/>
        <v>0</v>
      </c>
      <c r="AR125" s="2">
        <f t="shared" si="15"/>
        <v>0</v>
      </c>
      <c r="AS125" s="2">
        <f t="shared" si="16"/>
        <v>0</v>
      </c>
      <c r="AT125" s="25">
        <f t="shared" si="17"/>
        <v>0</v>
      </c>
    </row>
    <row r="126" spans="1:46">
      <c r="A126" s="24">
        <v>46118</v>
      </c>
      <c r="B126" s="23">
        <f t="shared" si="10"/>
        <v>46113</v>
      </c>
      <c r="C126" s="2" t="s">
        <v>46</v>
      </c>
      <c r="D126" s="3" t="s">
        <v>144</v>
      </c>
      <c r="E126" s="2">
        <v>3305</v>
      </c>
      <c r="F126" s="2">
        <v>154</v>
      </c>
      <c r="G126" s="2">
        <f t="shared" si="18"/>
        <v>32</v>
      </c>
      <c r="H126" s="2">
        <f t="shared" si="19"/>
        <v>30</v>
      </c>
      <c r="I126" s="2">
        <v>2</v>
      </c>
      <c r="J126" s="44" t="s">
        <v>67</v>
      </c>
      <c r="K126" s="2" t="s">
        <v>49</v>
      </c>
      <c r="L126" s="2">
        <v>2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/>
      <c r="AM126" s="2" t="s">
        <v>1567</v>
      </c>
      <c r="AN126" s="2">
        <f t="shared" si="11"/>
        <v>2</v>
      </c>
      <c r="AO126" s="2">
        <f t="shared" si="12"/>
        <v>0</v>
      </c>
      <c r="AP126" s="2">
        <f t="shared" si="13"/>
        <v>0</v>
      </c>
      <c r="AQ126" s="2">
        <f t="shared" si="14"/>
        <v>0</v>
      </c>
      <c r="AR126" s="2">
        <f t="shared" si="15"/>
        <v>0</v>
      </c>
      <c r="AS126" s="2">
        <f t="shared" si="16"/>
        <v>0</v>
      </c>
      <c r="AT126" s="25">
        <f t="shared" si="17"/>
        <v>0</v>
      </c>
    </row>
    <row r="127" spans="1:46">
      <c r="A127" s="24">
        <v>46118</v>
      </c>
      <c r="B127" s="23">
        <f t="shared" si="10"/>
        <v>46113</v>
      </c>
      <c r="C127" s="2" t="s">
        <v>46</v>
      </c>
      <c r="D127" s="2" t="s">
        <v>208</v>
      </c>
      <c r="E127" s="2">
        <v>3305</v>
      </c>
      <c r="F127" s="2">
        <v>238</v>
      </c>
      <c r="G127" s="2">
        <f t="shared" si="18"/>
        <v>32</v>
      </c>
      <c r="H127" s="2">
        <f t="shared" si="19"/>
        <v>32</v>
      </c>
      <c r="I127" s="2">
        <v>0</v>
      </c>
      <c r="J127" s="44" t="s">
        <v>48</v>
      </c>
      <c r="K127" s="2" t="s">
        <v>49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/>
      <c r="AM127" s="2" t="s">
        <v>1567</v>
      </c>
      <c r="AN127" s="2">
        <f t="shared" si="11"/>
        <v>0</v>
      </c>
      <c r="AO127" s="2">
        <f t="shared" si="12"/>
        <v>0</v>
      </c>
      <c r="AP127" s="2">
        <f t="shared" si="13"/>
        <v>0</v>
      </c>
      <c r="AQ127" s="2">
        <f t="shared" si="14"/>
        <v>0</v>
      </c>
      <c r="AR127" s="2">
        <f t="shared" si="15"/>
        <v>0</v>
      </c>
      <c r="AS127" s="2">
        <f t="shared" si="16"/>
        <v>0</v>
      </c>
      <c r="AT127" s="25">
        <f t="shared" si="17"/>
        <v>0</v>
      </c>
    </row>
    <row r="128" spans="1:46">
      <c r="A128" s="24">
        <v>46118</v>
      </c>
      <c r="B128" s="23">
        <f t="shared" si="10"/>
        <v>46113</v>
      </c>
      <c r="C128" s="2" t="s">
        <v>46</v>
      </c>
      <c r="D128" s="2" t="s">
        <v>192</v>
      </c>
      <c r="E128" s="2">
        <v>3305</v>
      </c>
      <c r="F128" s="2">
        <v>233</v>
      </c>
      <c r="G128" s="2">
        <f t="shared" si="18"/>
        <v>32</v>
      </c>
      <c r="H128" s="2">
        <f t="shared" si="19"/>
        <v>32</v>
      </c>
      <c r="I128" s="2">
        <v>0</v>
      </c>
      <c r="J128" s="44" t="s">
        <v>48</v>
      </c>
      <c r="K128" s="2" t="s">
        <v>49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/>
      <c r="AM128" s="2" t="s">
        <v>1567</v>
      </c>
      <c r="AN128" s="2">
        <f t="shared" si="11"/>
        <v>0</v>
      </c>
      <c r="AO128" s="2">
        <f t="shared" si="12"/>
        <v>0</v>
      </c>
      <c r="AP128" s="2">
        <f t="shared" si="13"/>
        <v>0</v>
      </c>
      <c r="AQ128" s="2">
        <f t="shared" si="14"/>
        <v>0</v>
      </c>
      <c r="AR128" s="2">
        <f t="shared" si="15"/>
        <v>0</v>
      </c>
      <c r="AS128" s="2">
        <f t="shared" si="16"/>
        <v>0</v>
      </c>
      <c r="AT128" s="25">
        <f t="shared" si="17"/>
        <v>0</v>
      </c>
    </row>
    <row r="129" spans="1:46">
      <c r="A129" s="24">
        <v>46118</v>
      </c>
      <c r="B129" s="23">
        <f t="shared" si="10"/>
        <v>46113</v>
      </c>
      <c r="C129" s="2" t="s">
        <v>95</v>
      </c>
      <c r="D129" s="2" t="s">
        <v>138</v>
      </c>
      <c r="E129" s="2">
        <v>2598</v>
      </c>
      <c r="F129" s="2">
        <v>592</v>
      </c>
      <c r="G129" s="2">
        <f t="shared" si="18"/>
        <v>80</v>
      </c>
      <c r="H129" s="2">
        <f t="shared" si="19"/>
        <v>79</v>
      </c>
      <c r="I129" s="2">
        <v>1</v>
      </c>
      <c r="J129" s="44" t="s">
        <v>48</v>
      </c>
      <c r="K129" s="2" t="s">
        <v>49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/>
      <c r="AM129" s="2" t="s">
        <v>1567</v>
      </c>
      <c r="AN129" s="2">
        <f t="shared" si="11"/>
        <v>1</v>
      </c>
      <c r="AO129" s="2">
        <f t="shared" si="12"/>
        <v>0</v>
      </c>
      <c r="AP129" s="2">
        <f t="shared" si="13"/>
        <v>0</v>
      </c>
      <c r="AQ129" s="2">
        <f t="shared" si="14"/>
        <v>0</v>
      </c>
      <c r="AR129" s="2">
        <f t="shared" si="15"/>
        <v>0</v>
      </c>
      <c r="AS129" s="2">
        <f t="shared" si="16"/>
        <v>0</v>
      </c>
      <c r="AT129" s="25">
        <f t="shared" si="17"/>
        <v>0</v>
      </c>
    </row>
    <row r="130" spans="1:46">
      <c r="A130" s="24">
        <v>46118</v>
      </c>
      <c r="B130" s="23">
        <f t="shared" ref="B130:B193" si="20">EOMONTH(A130,-1)+1</f>
        <v>46113</v>
      </c>
      <c r="C130" s="2" t="s">
        <v>46</v>
      </c>
      <c r="D130" s="2" t="s">
        <v>144</v>
      </c>
      <c r="E130" s="2">
        <v>3305</v>
      </c>
      <c r="F130" s="2">
        <v>150</v>
      </c>
      <c r="G130" s="2">
        <f t="shared" si="18"/>
        <v>20</v>
      </c>
      <c r="H130" s="2">
        <f t="shared" si="19"/>
        <v>20</v>
      </c>
      <c r="I130" s="2">
        <v>0</v>
      </c>
      <c r="J130" s="44" t="s">
        <v>48</v>
      </c>
      <c r="K130" s="2" t="s">
        <v>49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/>
      <c r="AM130" s="2" t="s">
        <v>1567</v>
      </c>
      <c r="AN130" s="2">
        <f t="shared" ref="AN130:AN193" si="21">+L130+AI130</f>
        <v>0</v>
      </c>
      <c r="AO130" s="2">
        <f t="shared" ref="AO130:AO193" si="22">+M130+N130+O130+P130+Q130+R130+S130+T130+U130+V130</f>
        <v>0</v>
      </c>
      <c r="AP130" s="2">
        <f t="shared" ref="AP130:AP193" si="23">+AE130+AF130</f>
        <v>0</v>
      </c>
      <c r="AQ130" s="2">
        <f t="shared" ref="AQ130:AQ193" si="24">+AK130+AD130+AC130+AJ130</f>
        <v>0</v>
      </c>
      <c r="AR130" s="2">
        <f t="shared" ref="AR130:AR193" si="25">+W130+X130+Y130+Z130+AA130+AB130</f>
        <v>0</v>
      </c>
      <c r="AS130" s="2">
        <f t="shared" ref="AS130:AS193" si="26">+AG130</f>
        <v>0</v>
      </c>
      <c r="AT130" s="25">
        <f t="shared" ref="AT130:AT193" si="27">+AH130</f>
        <v>0</v>
      </c>
    </row>
    <row r="131" spans="1:46">
      <c r="A131" s="24">
        <v>46118</v>
      </c>
      <c r="B131" s="23">
        <f t="shared" si="20"/>
        <v>46113</v>
      </c>
      <c r="C131" s="2" t="s">
        <v>46</v>
      </c>
      <c r="D131" s="2" t="s">
        <v>149</v>
      </c>
      <c r="E131" s="2">
        <v>3305</v>
      </c>
      <c r="F131" s="2">
        <v>118</v>
      </c>
      <c r="G131" s="2">
        <f t="shared" ref="G131:G194" si="28">IF(F131&lt;1001,IF(F131&gt;500,80,IF(F131&gt;280,50,IF(F131&gt;150,32,IF(F131&lt;51,F131,20)))),125)</f>
        <v>20</v>
      </c>
      <c r="H131" s="2">
        <f t="shared" ref="H131:H194" si="29">G131-I131</f>
        <v>19</v>
      </c>
      <c r="I131" s="2">
        <v>1</v>
      </c>
      <c r="J131" s="44" t="s">
        <v>48</v>
      </c>
      <c r="K131" s="2" t="s">
        <v>49</v>
      </c>
      <c r="L131" s="2">
        <v>1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/>
      <c r="AM131" s="2" t="s">
        <v>1567</v>
      </c>
      <c r="AN131" s="2">
        <f t="shared" si="21"/>
        <v>1</v>
      </c>
      <c r="AO131" s="2">
        <f t="shared" si="22"/>
        <v>0</v>
      </c>
      <c r="AP131" s="2">
        <f t="shared" si="23"/>
        <v>0</v>
      </c>
      <c r="AQ131" s="2">
        <f t="shared" si="24"/>
        <v>0</v>
      </c>
      <c r="AR131" s="2">
        <f t="shared" si="25"/>
        <v>0</v>
      </c>
      <c r="AS131" s="2">
        <f t="shared" si="26"/>
        <v>0</v>
      </c>
      <c r="AT131" s="25">
        <f t="shared" si="27"/>
        <v>0</v>
      </c>
    </row>
    <row r="132" spans="1:46">
      <c r="A132" s="24">
        <v>46118</v>
      </c>
      <c r="B132" s="23">
        <f t="shared" si="20"/>
        <v>46113</v>
      </c>
      <c r="C132" s="2" t="s">
        <v>46</v>
      </c>
      <c r="D132" s="2" t="s">
        <v>194</v>
      </c>
      <c r="E132" s="2">
        <v>3305</v>
      </c>
      <c r="F132" s="2">
        <v>107</v>
      </c>
      <c r="G132" s="2">
        <f t="shared" si="28"/>
        <v>20</v>
      </c>
      <c r="H132" s="2">
        <f t="shared" si="29"/>
        <v>20</v>
      </c>
      <c r="I132" s="2">
        <v>0</v>
      </c>
      <c r="J132" s="44" t="s">
        <v>48</v>
      </c>
      <c r="K132" s="2" t="s">
        <v>49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/>
      <c r="AM132" s="2" t="s">
        <v>1567</v>
      </c>
      <c r="AN132" s="2">
        <f t="shared" si="21"/>
        <v>0</v>
      </c>
      <c r="AO132" s="2">
        <f t="shared" si="22"/>
        <v>0</v>
      </c>
      <c r="AP132" s="2">
        <f t="shared" si="23"/>
        <v>0</v>
      </c>
      <c r="AQ132" s="2">
        <f t="shared" si="24"/>
        <v>0</v>
      </c>
      <c r="AR132" s="2">
        <f t="shared" si="25"/>
        <v>0</v>
      </c>
      <c r="AS132" s="2">
        <f t="shared" si="26"/>
        <v>0</v>
      </c>
      <c r="AT132" s="25">
        <f t="shared" si="27"/>
        <v>0</v>
      </c>
    </row>
    <row r="133" spans="1:46">
      <c r="A133" s="24">
        <v>46118</v>
      </c>
      <c r="B133" s="23">
        <f t="shared" si="20"/>
        <v>46113</v>
      </c>
      <c r="C133" s="2" t="s">
        <v>46</v>
      </c>
      <c r="D133" s="2" t="s">
        <v>1542</v>
      </c>
      <c r="E133" s="2">
        <v>6285</v>
      </c>
      <c r="F133" s="2">
        <v>78</v>
      </c>
      <c r="G133" s="2">
        <f t="shared" si="28"/>
        <v>20</v>
      </c>
      <c r="H133" s="2">
        <f t="shared" si="29"/>
        <v>20</v>
      </c>
      <c r="I133" s="2">
        <v>0</v>
      </c>
      <c r="J133" s="44" t="s">
        <v>48</v>
      </c>
      <c r="K133" s="2" t="s">
        <v>49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/>
      <c r="AM133" s="2" t="s">
        <v>1567</v>
      </c>
      <c r="AN133" s="2">
        <f t="shared" si="21"/>
        <v>0</v>
      </c>
      <c r="AO133" s="2">
        <f t="shared" si="22"/>
        <v>0</v>
      </c>
      <c r="AP133" s="2">
        <f t="shared" si="23"/>
        <v>0</v>
      </c>
      <c r="AQ133" s="2">
        <f t="shared" si="24"/>
        <v>0</v>
      </c>
      <c r="AR133" s="2">
        <f t="shared" si="25"/>
        <v>0</v>
      </c>
      <c r="AS133" s="2">
        <f t="shared" si="26"/>
        <v>0</v>
      </c>
      <c r="AT133" s="25">
        <f t="shared" si="27"/>
        <v>0</v>
      </c>
    </row>
    <row r="134" spans="1:46">
      <c r="A134" s="24">
        <v>46118</v>
      </c>
      <c r="B134" s="23">
        <f t="shared" si="20"/>
        <v>46113</v>
      </c>
      <c r="C134" s="2" t="s">
        <v>46</v>
      </c>
      <c r="D134" s="2" t="s">
        <v>1209</v>
      </c>
      <c r="E134" s="2">
        <v>1774</v>
      </c>
      <c r="F134" s="2">
        <v>200</v>
      </c>
      <c r="G134" s="2">
        <f t="shared" si="28"/>
        <v>32</v>
      </c>
      <c r="H134" s="2">
        <f t="shared" si="29"/>
        <v>32</v>
      </c>
      <c r="I134" s="2">
        <v>0</v>
      </c>
      <c r="J134" s="44" t="s">
        <v>48</v>
      </c>
      <c r="K134" s="2" t="s">
        <v>49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/>
      <c r="AM134" s="2" t="s">
        <v>1567</v>
      </c>
      <c r="AN134" s="2">
        <f t="shared" si="21"/>
        <v>0</v>
      </c>
      <c r="AO134" s="2">
        <f t="shared" si="22"/>
        <v>0</v>
      </c>
      <c r="AP134" s="2">
        <f t="shared" si="23"/>
        <v>0</v>
      </c>
      <c r="AQ134" s="2">
        <f t="shared" si="24"/>
        <v>0</v>
      </c>
      <c r="AR134" s="2">
        <f t="shared" si="25"/>
        <v>0</v>
      </c>
      <c r="AS134" s="2">
        <f t="shared" si="26"/>
        <v>0</v>
      </c>
      <c r="AT134" s="25">
        <f t="shared" si="27"/>
        <v>0</v>
      </c>
    </row>
    <row r="135" spans="1:46">
      <c r="A135" s="24">
        <v>46118</v>
      </c>
      <c r="B135" s="23">
        <f t="shared" si="20"/>
        <v>46113</v>
      </c>
      <c r="C135" s="2" t="s">
        <v>46</v>
      </c>
      <c r="D135" s="2" t="s">
        <v>243</v>
      </c>
      <c r="E135" s="2">
        <v>6221</v>
      </c>
      <c r="F135" s="2">
        <v>208</v>
      </c>
      <c r="G135" s="2">
        <f t="shared" si="28"/>
        <v>32</v>
      </c>
      <c r="H135" s="2">
        <f t="shared" si="29"/>
        <v>32</v>
      </c>
      <c r="I135" s="2">
        <v>0</v>
      </c>
      <c r="J135" s="44" t="s">
        <v>48</v>
      </c>
      <c r="K135" s="2" t="s">
        <v>49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/>
      <c r="AM135" s="2" t="s">
        <v>1567</v>
      </c>
      <c r="AN135" s="2">
        <f t="shared" si="21"/>
        <v>0</v>
      </c>
      <c r="AO135" s="2">
        <f t="shared" si="22"/>
        <v>0</v>
      </c>
      <c r="AP135" s="2">
        <f t="shared" si="23"/>
        <v>0</v>
      </c>
      <c r="AQ135" s="2">
        <f t="shared" si="24"/>
        <v>0</v>
      </c>
      <c r="AR135" s="2">
        <f t="shared" si="25"/>
        <v>0</v>
      </c>
      <c r="AS135" s="2">
        <f t="shared" si="26"/>
        <v>0</v>
      </c>
      <c r="AT135" s="25">
        <f t="shared" si="27"/>
        <v>0</v>
      </c>
    </row>
    <row r="136" spans="1:46">
      <c r="A136" s="24">
        <v>46118</v>
      </c>
      <c r="B136" s="23">
        <f t="shared" si="20"/>
        <v>46113</v>
      </c>
      <c r="C136" s="2" t="s">
        <v>66</v>
      </c>
      <c r="D136" s="2" t="s">
        <v>1401</v>
      </c>
      <c r="E136" s="2">
        <v>6319</v>
      </c>
      <c r="F136" s="2">
        <v>120</v>
      </c>
      <c r="G136" s="2">
        <f t="shared" si="28"/>
        <v>20</v>
      </c>
      <c r="H136" s="2">
        <f t="shared" si="29"/>
        <v>19</v>
      </c>
      <c r="I136" s="2">
        <v>1</v>
      </c>
      <c r="J136" s="44" t="s">
        <v>48</v>
      </c>
      <c r="K136" s="2" t="s">
        <v>49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/>
      <c r="AM136" s="2" t="s">
        <v>110</v>
      </c>
      <c r="AN136" s="2">
        <f t="shared" si="21"/>
        <v>1</v>
      </c>
      <c r="AO136" s="2">
        <f t="shared" si="22"/>
        <v>0</v>
      </c>
      <c r="AP136" s="2">
        <f t="shared" si="23"/>
        <v>0</v>
      </c>
      <c r="AQ136" s="2">
        <f t="shared" si="24"/>
        <v>0</v>
      </c>
      <c r="AR136" s="2">
        <f t="shared" si="25"/>
        <v>0</v>
      </c>
      <c r="AS136" s="2">
        <f t="shared" si="26"/>
        <v>0</v>
      </c>
      <c r="AT136" s="25">
        <f t="shared" si="27"/>
        <v>0</v>
      </c>
    </row>
    <row r="137" spans="1:46">
      <c r="A137" s="24">
        <v>46118</v>
      </c>
      <c r="B137" s="23">
        <f t="shared" si="20"/>
        <v>46113</v>
      </c>
      <c r="C137" s="2" t="s">
        <v>66</v>
      </c>
      <c r="D137" s="2" t="s">
        <v>225</v>
      </c>
      <c r="E137" s="2">
        <v>2598</v>
      </c>
      <c r="F137" s="2">
        <v>299</v>
      </c>
      <c r="G137" s="2">
        <f t="shared" si="28"/>
        <v>50</v>
      </c>
      <c r="H137" s="2">
        <f t="shared" si="29"/>
        <v>50</v>
      </c>
      <c r="I137" s="2">
        <v>0</v>
      </c>
      <c r="J137" s="44" t="s">
        <v>48</v>
      </c>
      <c r="K137" s="2" t="s">
        <v>49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/>
      <c r="AM137" s="2" t="s">
        <v>110</v>
      </c>
      <c r="AN137" s="2">
        <f t="shared" si="21"/>
        <v>0</v>
      </c>
      <c r="AO137" s="2">
        <f t="shared" si="22"/>
        <v>0</v>
      </c>
      <c r="AP137" s="2">
        <f t="shared" si="23"/>
        <v>0</v>
      </c>
      <c r="AQ137" s="2">
        <f t="shared" si="24"/>
        <v>0</v>
      </c>
      <c r="AR137" s="2">
        <f t="shared" si="25"/>
        <v>0</v>
      </c>
      <c r="AS137" s="2">
        <f t="shared" si="26"/>
        <v>0</v>
      </c>
      <c r="AT137" s="25">
        <f t="shared" si="27"/>
        <v>0</v>
      </c>
    </row>
    <row r="138" spans="1:46">
      <c r="A138" s="24">
        <v>46118</v>
      </c>
      <c r="B138" s="23">
        <f t="shared" si="20"/>
        <v>46113</v>
      </c>
      <c r="C138" s="2" t="s">
        <v>66</v>
      </c>
      <c r="D138" s="2" t="s">
        <v>288</v>
      </c>
      <c r="E138" s="2">
        <v>1639</v>
      </c>
      <c r="F138" s="2">
        <v>274</v>
      </c>
      <c r="G138" s="2">
        <f t="shared" si="28"/>
        <v>32</v>
      </c>
      <c r="H138" s="2">
        <f t="shared" si="29"/>
        <v>32</v>
      </c>
      <c r="I138" s="2">
        <v>0</v>
      </c>
      <c r="J138" s="44" t="s">
        <v>48</v>
      </c>
      <c r="K138" s="2" t="s">
        <v>49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/>
      <c r="AM138" s="2" t="s">
        <v>110</v>
      </c>
      <c r="AN138" s="2">
        <f t="shared" si="21"/>
        <v>0</v>
      </c>
      <c r="AO138" s="2">
        <f t="shared" si="22"/>
        <v>0</v>
      </c>
      <c r="AP138" s="2">
        <f t="shared" si="23"/>
        <v>0</v>
      </c>
      <c r="AQ138" s="2">
        <f t="shared" si="24"/>
        <v>0</v>
      </c>
      <c r="AR138" s="2">
        <f t="shared" si="25"/>
        <v>0</v>
      </c>
      <c r="AS138" s="2">
        <f t="shared" si="26"/>
        <v>0</v>
      </c>
      <c r="AT138" s="25">
        <f t="shared" si="27"/>
        <v>0</v>
      </c>
    </row>
    <row r="139" spans="1:46">
      <c r="A139" s="24">
        <v>46118</v>
      </c>
      <c r="B139" s="23">
        <f t="shared" si="20"/>
        <v>46113</v>
      </c>
      <c r="C139" s="2" t="s">
        <v>97</v>
      </c>
      <c r="D139" s="2" t="s">
        <v>1387</v>
      </c>
      <c r="E139" s="2">
        <v>3327</v>
      </c>
      <c r="F139" s="2">
        <v>198</v>
      </c>
      <c r="G139" s="2">
        <f t="shared" si="28"/>
        <v>32</v>
      </c>
      <c r="H139" s="2">
        <f t="shared" si="29"/>
        <v>30</v>
      </c>
      <c r="I139" s="2">
        <v>2</v>
      </c>
      <c r="J139" s="44" t="s">
        <v>48</v>
      </c>
      <c r="K139" s="2" t="s">
        <v>49</v>
      </c>
      <c r="L139" s="2">
        <v>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1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/>
      <c r="AM139" s="2" t="s">
        <v>110</v>
      </c>
      <c r="AN139" s="2">
        <f t="shared" si="21"/>
        <v>1</v>
      </c>
      <c r="AO139" s="2">
        <f t="shared" si="22"/>
        <v>0</v>
      </c>
      <c r="AP139" s="2">
        <f t="shared" si="23"/>
        <v>0</v>
      </c>
      <c r="AQ139" s="2">
        <f t="shared" si="24"/>
        <v>0</v>
      </c>
      <c r="AR139" s="2">
        <f t="shared" si="25"/>
        <v>1</v>
      </c>
      <c r="AS139" s="2">
        <f t="shared" si="26"/>
        <v>0</v>
      </c>
      <c r="AT139" s="25">
        <f t="shared" si="27"/>
        <v>0</v>
      </c>
    </row>
    <row r="140" spans="1:46">
      <c r="A140" s="24">
        <v>46118</v>
      </c>
      <c r="B140" s="23">
        <f t="shared" si="20"/>
        <v>46113</v>
      </c>
      <c r="C140" s="2" t="s">
        <v>97</v>
      </c>
      <c r="D140" s="3" t="s">
        <v>1318</v>
      </c>
      <c r="E140" s="2">
        <v>3327</v>
      </c>
      <c r="F140" s="2">
        <v>289</v>
      </c>
      <c r="G140" s="2">
        <f t="shared" si="28"/>
        <v>50</v>
      </c>
      <c r="H140" s="2">
        <f t="shared" si="29"/>
        <v>48</v>
      </c>
      <c r="I140" s="2">
        <v>2</v>
      </c>
      <c r="J140" s="44" t="s">
        <v>48</v>
      </c>
      <c r="K140" s="2" t="s">
        <v>49</v>
      </c>
      <c r="L140" s="2">
        <v>1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1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/>
      <c r="AM140" s="2" t="s">
        <v>110</v>
      </c>
      <c r="AN140" s="2">
        <f t="shared" si="21"/>
        <v>1</v>
      </c>
      <c r="AO140" s="2">
        <f t="shared" si="22"/>
        <v>0</v>
      </c>
      <c r="AP140" s="2">
        <f t="shared" si="23"/>
        <v>0</v>
      </c>
      <c r="AQ140" s="2">
        <f t="shared" si="24"/>
        <v>0</v>
      </c>
      <c r="AR140" s="2">
        <f t="shared" si="25"/>
        <v>1</v>
      </c>
      <c r="AS140" s="2">
        <f t="shared" si="26"/>
        <v>0</v>
      </c>
      <c r="AT140" s="25">
        <f t="shared" si="27"/>
        <v>0</v>
      </c>
    </row>
    <row r="141" spans="1:46">
      <c r="A141" s="24">
        <v>46118</v>
      </c>
      <c r="B141" s="23">
        <f t="shared" si="20"/>
        <v>46113</v>
      </c>
      <c r="C141" s="2" t="s">
        <v>97</v>
      </c>
      <c r="D141" s="2" t="s">
        <v>96</v>
      </c>
      <c r="E141" s="2">
        <v>1802</v>
      </c>
      <c r="F141" s="2">
        <v>547</v>
      </c>
      <c r="G141" s="2">
        <f t="shared" si="28"/>
        <v>80</v>
      </c>
      <c r="H141" s="2">
        <f t="shared" si="29"/>
        <v>80</v>
      </c>
      <c r="I141" s="2">
        <v>0</v>
      </c>
      <c r="J141" s="44" t="s">
        <v>48</v>
      </c>
      <c r="K141" s="2" t="s">
        <v>49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/>
      <c r="AM141" s="2" t="s">
        <v>110</v>
      </c>
      <c r="AN141" s="2">
        <f t="shared" si="21"/>
        <v>0</v>
      </c>
      <c r="AO141" s="2">
        <f t="shared" si="22"/>
        <v>0</v>
      </c>
      <c r="AP141" s="2">
        <f t="shared" si="23"/>
        <v>0</v>
      </c>
      <c r="AQ141" s="2">
        <f t="shared" si="24"/>
        <v>0</v>
      </c>
      <c r="AR141" s="2">
        <f t="shared" si="25"/>
        <v>0</v>
      </c>
      <c r="AS141" s="2">
        <f t="shared" si="26"/>
        <v>0</v>
      </c>
      <c r="AT141" s="25">
        <f t="shared" si="27"/>
        <v>0</v>
      </c>
    </row>
    <row r="142" spans="1:46">
      <c r="A142" s="24">
        <v>46118</v>
      </c>
      <c r="B142" s="23">
        <f t="shared" si="20"/>
        <v>46113</v>
      </c>
      <c r="C142" s="2" t="s">
        <v>55</v>
      </c>
      <c r="D142" s="2" t="s">
        <v>176</v>
      </c>
      <c r="E142" s="2">
        <v>7152</v>
      </c>
      <c r="F142" s="2">
        <v>327</v>
      </c>
      <c r="G142" s="2">
        <f t="shared" si="28"/>
        <v>50</v>
      </c>
      <c r="H142" s="2">
        <f t="shared" si="29"/>
        <v>49</v>
      </c>
      <c r="I142" s="2">
        <v>1</v>
      </c>
      <c r="J142" s="44" t="s">
        <v>48</v>
      </c>
      <c r="K142" s="2" t="s">
        <v>49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/>
      <c r="AM142" s="2" t="s">
        <v>1566</v>
      </c>
      <c r="AN142" s="2">
        <f t="shared" si="21"/>
        <v>1</v>
      </c>
      <c r="AO142" s="2">
        <f t="shared" si="22"/>
        <v>0</v>
      </c>
      <c r="AP142" s="2">
        <f t="shared" si="23"/>
        <v>0</v>
      </c>
      <c r="AQ142" s="2">
        <f t="shared" si="24"/>
        <v>0</v>
      </c>
      <c r="AR142" s="2">
        <f t="shared" si="25"/>
        <v>0</v>
      </c>
      <c r="AS142" s="2">
        <f t="shared" si="26"/>
        <v>0</v>
      </c>
      <c r="AT142" s="25">
        <f t="shared" si="27"/>
        <v>0</v>
      </c>
    </row>
    <row r="143" spans="1:46">
      <c r="A143" s="24">
        <v>46118</v>
      </c>
      <c r="B143" s="23">
        <f t="shared" si="20"/>
        <v>46113</v>
      </c>
      <c r="C143" s="2" t="s">
        <v>55</v>
      </c>
      <c r="D143" s="2" t="s">
        <v>1225</v>
      </c>
      <c r="E143" s="2">
        <v>6314</v>
      </c>
      <c r="F143" s="2">
        <v>100</v>
      </c>
      <c r="G143" s="2">
        <f t="shared" si="28"/>
        <v>20</v>
      </c>
      <c r="H143" s="2">
        <f t="shared" si="29"/>
        <v>19</v>
      </c>
      <c r="I143" s="2">
        <v>1</v>
      </c>
      <c r="J143" s="44" t="s">
        <v>48</v>
      </c>
      <c r="K143" s="2" t="s">
        <v>49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/>
      <c r="AM143" s="2" t="s">
        <v>1566</v>
      </c>
      <c r="AN143" s="2">
        <f t="shared" si="21"/>
        <v>1</v>
      </c>
      <c r="AO143" s="2">
        <f t="shared" si="22"/>
        <v>0</v>
      </c>
      <c r="AP143" s="2">
        <f t="shared" si="23"/>
        <v>0</v>
      </c>
      <c r="AQ143" s="2">
        <f t="shared" si="24"/>
        <v>0</v>
      </c>
      <c r="AR143" s="2">
        <f t="shared" si="25"/>
        <v>0</v>
      </c>
      <c r="AS143" s="2">
        <f t="shared" si="26"/>
        <v>0</v>
      </c>
      <c r="AT143" s="25">
        <f t="shared" si="27"/>
        <v>0</v>
      </c>
    </row>
    <row r="144" spans="1:46">
      <c r="A144" s="24">
        <v>46118</v>
      </c>
      <c r="B144" s="23">
        <f t="shared" si="20"/>
        <v>46113</v>
      </c>
      <c r="C144" s="2" t="s">
        <v>55</v>
      </c>
      <c r="D144" s="2" t="s">
        <v>58</v>
      </c>
      <c r="E144" s="2">
        <v>3323</v>
      </c>
      <c r="F144" s="2">
        <v>205</v>
      </c>
      <c r="G144" s="2">
        <f t="shared" si="28"/>
        <v>32</v>
      </c>
      <c r="H144" s="2">
        <f t="shared" si="29"/>
        <v>29</v>
      </c>
      <c r="I144" s="2">
        <v>3</v>
      </c>
      <c r="J144" s="44" t="s">
        <v>67</v>
      </c>
      <c r="K144" s="2" t="s">
        <v>49</v>
      </c>
      <c r="L144" s="2">
        <v>3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/>
      <c r="AM144" s="2" t="s">
        <v>1566</v>
      </c>
      <c r="AN144" s="2">
        <f t="shared" si="21"/>
        <v>3</v>
      </c>
      <c r="AO144" s="2">
        <f t="shared" si="22"/>
        <v>0</v>
      </c>
      <c r="AP144" s="2">
        <f t="shared" si="23"/>
        <v>0</v>
      </c>
      <c r="AQ144" s="2">
        <f t="shared" si="24"/>
        <v>0</v>
      </c>
      <c r="AR144" s="2">
        <f t="shared" si="25"/>
        <v>0</v>
      </c>
      <c r="AS144" s="2">
        <f t="shared" si="26"/>
        <v>0</v>
      </c>
      <c r="AT144" s="25">
        <f t="shared" si="27"/>
        <v>0</v>
      </c>
    </row>
    <row r="145" spans="1:46">
      <c r="A145" s="24">
        <v>46118</v>
      </c>
      <c r="B145" s="23">
        <f t="shared" si="20"/>
        <v>46113</v>
      </c>
      <c r="C145" s="2" t="s">
        <v>55</v>
      </c>
      <c r="D145" s="2" t="s">
        <v>1310</v>
      </c>
      <c r="E145" s="2">
        <v>8190</v>
      </c>
      <c r="F145" s="2">
        <v>83</v>
      </c>
      <c r="G145" s="2">
        <f t="shared" si="28"/>
        <v>20</v>
      </c>
      <c r="H145" s="2">
        <f t="shared" si="29"/>
        <v>16</v>
      </c>
      <c r="I145" s="2">
        <v>4</v>
      </c>
      <c r="J145" s="44" t="s">
        <v>67</v>
      </c>
      <c r="K145" s="2" t="s">
        <v>49</v>
      </c>
      <c r="L145" s="2">
        <v>3</v>
      </c>
      <c r="M145" s="2">
        <v>1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/>
      <c r="AM145" s="2" t="s">
        <v>1566</v>
      </c>
      <c r="AN145" s="2">
        <f t="shared" si="21"/>
        <v>3</v>
      </c>
      <c r="AO145" s="2">
        <f t="shared" si="22"/>
        <v>1</v>
      </c>
      <c r="AP145" s="2">
        <f t="shared" si="23"/>
        <v>0</v>
      </c>
      <c r="AQ145" s="2">
        <f t="shared" si="24"/>
        <v>0</v>
      </c>
      <c r="AR145" s="2">
        <f t="shared" si="25"/>
        <v>0</v>
      </c>
      <c r="AS145" s="2">
        <f t="shared" si="26"/>
        <v>0</v>
      </c>
      <c r="AT145" s="25">
        <f t="shared" si="27"/>
        <v>0</v>
      </c>
    </row>
    <row r="146" spans="1:46">
      <c r="A146" s="24">
        <v>46118</v>
      </c>
      <c r="B146" s="23">
        <f t="shared" si="20"/>
        <v>46113</v>
      </c>
      <c r="C146" s="2" t="s">
        <v>55</v>
      </c>
      <c r="D146" s="2" t="s">
        <v>58</v>
      </c>
      <c r="E146" s="2">
        <v>3323</v>
      </c>
      <c r="F146" s="2">
        <v>198</v>
      </c>
      <c r="G146" s="2">
        <f t="shared" si="28"/>
        <v>32</v>
      </c>
      <c r="H146" s="2">
        <f t="shared" si="29"/>
        <v>32</v>
      </c>
      <c r="I146" s="2">
        <v>0</v>
      </c>
      <c r="J146" s="44" t="s">
        <v>48</v>
      </c>
      <c r="K146" s="2" t="s">
        <v>49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/>
      <c r="AM146" s="2" t="s">
        <v>1566</v>
      </c>
      <c r="AN146" s="2">
        <f t="shared" si="21"/>
        <v>0</v>
      </c>
      <c r="AO146" s="2">
        <f t="shared" si="22"/>
        <v>0</v>
      </c>
      <c r="AP146" s="2">
        <f t="shared" si="23"/>
        <v>0</v>
      </c>
      <c r="AQ146" s="2">
        <f t="shared" si="24"/>
        <v>0</v>
      </c>
      <c r="AR146" s="2">
        <f t="shared" si="25"/>
        <v>0</v>
      </c>
      <c r="AS146" s="2">
        <f t="shared" si="26"/>
        <v>0</v>
      </c>
      <c r="AT146" s="25">
        <f t="shared" si="27"/>
        <v>0</v>
      </c>
    </row>
    <row r="147" spans="1:46">
      <c r="A147" s="24">
        <v>46119</v>
      </c>
      <c r="B147" s="23">
        <f t="shared" si="20"/>
        <v>46113</v>
      </c>
      <c r="C147" s="2" t="s">
        <v>46</v>
      </c>
      <c r="D147" s="3" t="s">
        <v>242</v>
      </c>
      <c r="E147" s="2">
        <v>6296</v>
      </c>
      <c r="F147" s="2">
        <v>286</v>
      </c>
      <c r="G147" s="2">
        <f t="shared" si="28"/>
        <v>50</v>
      </c>
      <c r="H147" s="2">
        <f t="shared" si="29"/>
        <v>50</v>
      </c>
      <c r="I147" s="2">
        <v>0</v>
      </c>
      <c r="J147" s="44" t="s">
        <v>48</v>
      </c>
      <c r="K147" s="2" t="s">
        <v>49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/>
      <c r="AM147" s="2" t="s">
        <v>80</v>
      </c>
      <c r="AN147" s="2">
        <f t="shared" si="21"/>
        <v>0</v>
      </c>
      <c r="AO147" s="2">
        <f t="shared" si="22"/>
        <v>0</v>
      </c>
      <c r="AP147" s="2">
        <f t="shared" si="23"/>
        <v>0</v>
      </c>
      <c r="AQ147" s="2">
        <f t="shared" si="24"/>
        <v>0</v>
      </c>
      <c r="AR147" s="2">
        <f t="shared" si="25"/>
        <v>0</v>
      </c>
      <c r="AS147" s="2">
        <f t="shared" si="26"/>
        <v>0</v>
      </c>
      <c r="AT147" s="25">
        <f t="shared" si="27"/>
        <v>0</v>
      </c>
    </row>
    <row r="148" spans="1:46">
      <c r="A148" s="24">
        <v>46119</v>
      </c>
      <c r="B148" s="23">
        <f t="shared" si="20"/>
        <v>46113</v>
      </c>
      <c r="C148" s="2" t="s">
        <v>46</v>
      </c>
      <c r="D148" s="2" t="s">
        <v>128</v>
      </c>
      <c r="E148" s="2">
        <v>6296</v>
      </c>
      <c r="F148" s="2">
        <v>159</v>
      </c>
      <c r="G148" s="2">
        <f t="shared" si="28"/>
        <v>32</v>
      </c>
      <c r="H148" s="2">
        <f t="shared" si="29"/>
        <v>31</v>
      </c>
      <c r="I148" s="2">
        <v>1</v>
      </c>
      <c r="J148" s="44" t="s">
        <v>48</v>
      </c>
      <c r="K148" s="2" t="s">
        <v>49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/>
      <c r="AM148" s="2" t="s">
        <v>80</v>
      </c>
      <c r="AN148" s="2">
        <f t="shared" si="21"/>
        <v>1</v>
      </c>
      <c r="AO148" s="2">
        <f t="shared" si="22"/>
        <v>0</v>
      </c>
      <c r="AP148" s="2">
        <f t="shared" si="23"/>
        <v>0</v>
      </c>
      <c r="AQ148" s="2">
        <f t="shared" si="24"/>
        <v>0</v>
      </c>
      <c r="AR148" s="2">
        <f t="shared" si="25"/>
        <v>0</v>
      </c>
      <c r="AS148" s="2">
        <f t="shared" si="26"/>
        <v>0</v>
      </c>
      <c r="AT148" s="25">
        <f t="shared" si="27"/>
        <v>0</v>
      </c>
    </row>
    <row r="149" spans="1:46">
      <c r="A149" s="24">
        <v>46119</v>
      </c>
      <c r="B149" s="23">
        <f t="shared" si="20"/>
        <v>46113</v>
      </c>
      <c r="C149" s="2" t="s">
        <v>46</v>
      </c>
      <c r="D149" s="2" t="s">
        <v>126</v>
      </c>
      <c r="E149" s="2">
        <v>6296</v>
      </c>
      <c r="F149" s="2">
        <v>101</v>
      </c>
      <c r="G149" s="2">
        <f t="shared" si="28"/>
        <v>20</v>
      </c>
      <c r="H149" s="2">
        <f t="shared" si="29"/>
        <v>19</v>
      </c>
      <c r="I149" s="2">
        <v>1</v>
      </c>
      <c r="J149" s="44" t="s">
        <v>48</v>
      </c>
      <c r="K149" s="2" t="s">
        <v>49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/>
      <c r="AM149" s="2" t="s">
        <v>80</v>
      </c>
      <c r="AN149" s="2">
        <f t="shared" si="21"/>
        <v>1</v>
      </c>
      <c r="AO149" s="2">
        <f t="shared" si="22"/>
        <v>0</v>
      </c>
      <c r="AP149" s="2">
        <f t="shared" si="23"/>
        <v>0</v>
      </c>
      <c r="AQ149" s="2">
        <f t="shared" si="24"/>
        <v>0</v>
      </c>
      <c r="AR149" s="2">
        <f t="shared" si="25"/>
        <v>0</v>
      </c>
      <c r="AS149" s="2">
        <f t="shared" si="26"/>
        <v>0</v>
      </c>
      <c r="AT149" s="25">
        <f t="shared" si="27"/>
        <v>0</v>
      </c>
    </row>
    <row r="150" spans="1:46">
      <c r="A150" s="24">
        <v>46119</v>
      </c>
      <c r="B150" s="23">
        <f t="shared" si="20"/>
        <v>46113</v>
      </c>
      <c r="C150" s="2" t="s">
        <v>95</v>
      </c>
      <c r="D150" s="2" t="s">
        <v>319</v>
      </c>
      <c r="E150" s="2">
        <v>8109</v>
      </c>
      <c r="F150" s="2">
        <v>112</v>
      </c>
      <c r="G150" s="2">
        <f t="shared" si="28"/>
        <v>20</v>
      </c>
      <c r="H150" s="2">
        <f t="shared" si="29"/>
        <v>20</v>
      </c>
      <c r="I150" s="2">
        <v>0</v>
      </c>
      <c r="J150" s="44" t="s">
        <v>48</v>
      </c>
      <c r="K150" s="2" t="s">
        <v>49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/>
      <c r="AM150" s="2" t="s">
        <v>80</v>
      </c>
      <c r="AN150" s="2">
        <f t="shared" si="21"/>
        <v>0</v>
      </c>
      <c r="AO150" s="2">
        <f t="shared" si="22"/>
        <v>0</v>
      </c>
      <c r="AP150" s="2">
        <f t="shared" si="23"/>
        <v>0</v>
      </c>
      <c r="AQ150" s="2">
        <f t="shared" si="24"/>
        <v>0</v>
      </c>
      <c r="AR150" s="2">
        <f t="shared" si="25"/>
        <v>0</v>
      </c>
      <c r="AS150" s="2">
        <f t="shared" si="26"/>
        <v>0</v>
      </c>
      <c r="AT150" s="25">
        <f t="shared" si="27"/>
        <v>0</v>
      </c>
    </row>
    <row r="151" spans="1:46">
      <c r="A151" s="24">
        <v>46119</v>
      </c>
      <c r="B151" s="23">
        <f t="shared" si="20"/>
        <v>46113</v>
      </c>
      <c r="C151" s="2" t="s">
        <v>95</v>
      </c>
      <c r="D151" s="2" t="s">
        <v>92</v>
      </c>
      <c r="E151" s="2">
        <v>2481</v>
      </c>
      <c r="F151" s="2">
        <v>247</v>
      </c>
      <c r="G151" s="2">
        <f t="shared" si="28"/>
        <v>32</v>
      </c>
      <c r="H151" s="2">
        <f t="shared" si="29"/>
        <v>17</v>
      </c>
      <c r="I151" s="2">
        <v>15</v>
      </c>
      <c r="J151" s="44" t="s">
        <v>67</v>
      </c>
      <c r="K151" s="2" t="s">
        <v>49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15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/>
      <c r="AM151" s="2" t="s">
        <v>80</v>
      </c>
      <c r="AN151" s="2">
        <f t="shared" si="21"/>
        <v>0</v>
      </c>
      <c r="AO151" s="2">
        <f t="shared" si="22"/>
        <v>15</v>
      </c>
      <c r="AP151" s="2">
        <f t="shared" si="23"/>
        <v>0</v>
      </c>
      <c r="AQ151" s="2">
        <f t="shared" si="24"/>
        <v>0</v>
      </c>
      <c r="AR151" s="2">
        <f t="shared" si="25"/>
        <v>0</v>
      </c>
      <c r="AS151" s="2">
        <f t="shared" si="26"/>
        <v>0</v>
      </c>
      <c r="AT151" s="25">
        <f t="shared" si="27"/>
        <v>0</v>
      </c>
    </row>
    <row r="152" spans="1:46">
      <c r="A152" s="24">
        <v>46119</v>
      </c>
      <c r="B152" s="23">
        <f t="shared" si="20"/>
        <v>46113</v>
      </c>
      <c r="C152" s="2" t="s">
        <v>55</v>
      </c>
      <c r="D152" s="2" t="s">
        <v>1297</v>
      </c>
      <c r="E152" s="2">
        <v>1773</v>
      </c>
      <c r="F152" s="2">
        <v>68</v>
      </c>
      <c r="G152" s="2">
        <f t="shared" si="28"/>
        <v>20</v>
      </c>
      <c r="H152" s="2">
        <f t="shared" si="29"/>
        <v>20</v>
      </c>
      <c r="I152" s="2">
        <v>0</v>
      </c>
      <c r="J152" s="44" t="s">
        <v>48</v>
      </c>
      <c r="K152" s="2" t="s">
        <v>49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/>
      <c r="AM152" s="2" t="s">
        <v>80</v>
      </c>
      <c r="AN152" s="2">
        <f t="shared" si="21"/>
        <v>0</v>
      </c>
      <c r="AO152" s="2">
        <f t="shared" si="22"/>
        <v>0</v>
      </c>
      <c r="AP152" s="2">
        <f t="shared" si="23"/>
        <v>0</v>
      </c>
      <c r="AQ152" s="2">
        <f t="shared" si="24"/>
        <v>0</v>
      </c>
      <c r="AR152" s="2">
        <f t="shared" si="25"/>
        <v>0</v>
      </c>
      <c r="AS152" s="2">
        <f t="shared" si="26"/>
        <v>0</v>
      </c>
      <c r="AT152" s="25">
        <f t="shared" si="27"/>
        <v>0</v>
      </c>
    </row>
    <row r="153" spans="1:46">
      <c r="A153" s="24">
        <v>46119</v>
      </c>
      <c r="B153" s="23">
        <f t="shared" si="20"/>
        <v>46113</v>
      </c>
      <c r="C153" s="2" t="s">
        <v>55</v>
      </c>
      <c r="D153" s="2" t="s">
        <v>233</v>
      </c>
      <c r="E153" s="2">
        <v>1773</v>
      </c>
      <c r="F153" s="2">
        <v>152</v>
      </c>
      <c r="G153" s="2">
        <f t="shared" si="28"/>
        <v>32</v>
      </c>
      <c r="H153" s="2">
        <f t="shared" si="29"/>
        <v>32</v>
      </c>
      <c r="I153" s="2">
        <v>0</v>
      </c>
      <c r="J153" s="44" t="s">
        <v>48</v>
      </c>
      <c r="K153" s="2" t="s">
        <v>49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/>
      <c r="AM153" s="2" t="s">
        <v>80</v>
      </c>
      <c r="AN153" s="2">
        <f t="shared" si="21"/>
        <v>0</v>
      </c>
      <c r="AO153" s="2">
        <f t="shared" si="22"/>
        <v>0</v>
      </c>
      <c r="AP153" s="2">
        <f t="shared" si="23"/>
        <v>0</v>
      </c>
      <c r="AQ153" s="2">
        <f t="shared" si="24"/>
        <v>0</v>
      </c>
      <c r="AR153" s="2">
        <f t="shared" si="25"/>
        <v>0</v>
      </c>
      <c r="AS153" s="2">
        <f t="shared" si="26"/>
        <v>0</v>
      </c>
      <c r="AT153" s="25">
        <f t="shared" si="27"/>
        <v>0</v>
      </c>
    </row>
    <row r="154" spans="1:46">
      <c r="A154" s="24">
        <v>46119</v>
      </c>
      <c r="B154" s="23">
        <f t="shared" si="20"/>
        <v>46113</v>
      </c>
      <c r="C154" s="2" t="s">
        <v>46</v>
      </c>
      <c r="D154" s="3" t="s">
        <v>1390</v>
      </c>
      <c r="E154" s="2">
        <v>3229</v>
      </c>
      <c r="F154" s="2">
        <v>171</v>
      </c>
      <c r="G154" s="2">
        <f t="shared" si="28"/>
        <v>32</v>
      </c>
      <c r="H154" s="2">
        <f t="shared" si="29"/>
        <v>31</v>
      </c>
      <c r="I154" s="2">
        <v>1</v>
      </c>
      <c r="J154" s="44" t="s">
        <v>48</v>
      </c>
      <c r="K154" s="2" t="s">
        <v>49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/>
      <c r="AM154" s="2" t="s">
        <v>80</v>
      </c>
      <c r="AN154" s="2">
        <f t="shared" si="21"/>
        <v>1</v>
      </c>
      <c r="AO154" s="2">
        <f t="shared" si="22"/>
        <v>0</v>
      </c>
      <c r="AP154" s="2">
        <f t="shared" si="23"/>
        <v>0</v>
      </c>
      <c r="AQ154" s="2">
        <f t="shared" si="24"/>
        <v>0</v>
      </c>
      <c r="AR154" s="2">
        <f t="shared" si="25"/>
        <v>0</v>
      </c>
      <c r="AS154" s="2">
        <f t="shared" si="26"/>
        <v>0</v>
      </c>
      <c r="AT154" s="25">
        <f t="shared" si="27"/>
        <v>0</v>
      </c>
    </row>
    <row r="155" spans="1:46">
      <c r="A155" s="24">
        <v>46119</v>
      </c>
      <c r="B155" s="23">
        <f t="shared" si="20"/>
        <v>46113</v>
      </c>
      <c r="C155" s="2" t="s">
        <v>46</v>
      </c>
      <c r="D155" s="3" t="s">
        <v>150</v>
      </c>
      <c r="E155" s="2">
        <v>1584</v>
      </c>
      <c r="F155" s="2">
        <v>292</v>
      </c>
      <c r="G155" s="2">
        <f t="shared" si="28"/>
        <v>50</v>
      </c>
      <c r="H155" s="2">
        <f t="shared" si="29"/>
        <v>46</v>
      </c>
      <c r="I155" s="2">
        <v>4</v>
      </c>
      <c r="J155" s="44" t="s">
        <v>48</v>
      </c>
      <c r="K155" s="2" t="s">
        <v>49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2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1</v>
      </c>
      <c r="AF155" s="2">
        <v>0</v>
      </c>
      <c r="AG155" s="2">
        <v>1</v>
      </c>
      <c r="AH155" s="2">
        <v>0</v>
      </c>
      <c r="AI155" s="2">
        <v>0</v>
      </c>
      <c r="AJ155" s="2">
        <v>0</v>
      </c>
      <c r="AK155" s="2">
        <v>0</v>
      </c>
      <c r="AL155" s="2"/>
      <c r="AM155" s="2" t="s">
        <v>80</v>
      </c>
      <c r="AN155" s="2">
        <f t="shared" si="21"/>
        <v>0</v>
      </c>
      <c r="AO155" s="2">
        <f t="shared" si="22"/>
        <v>2</v>
      </c>
      <c r="AP155" s="2">
        <f t="shared" si="23"/>
        <v>1</v>
      </c>
      <c r="AQ155" s="2">
        <f t="shared" si="24"/>
        <v>0</v>
      </c>
      <c r="AR155" s="2">
        <f t="shared" si="25"/>
        <v>0</v>
      </c>
      <c r="AS155" s="2">
        <f t="shared" si="26"/>
        <v>1</v>
      </c>
      <c r="AT155" s="25">
        <f t="shared" si="27"/>
        <v>0</v>
      </c>
    </row>
    <row r="156" spans="1:46">
      <c r="A156" s="24">
        <v>46119</v>
      </c>
      <c r="B156" s="23">
        <f t="shared" si="20"/>
        <v>46113</v>
      </c>
      <c r="C156" s="2" t="s">
        <v>82</v>
      </c>
      <c r="D156" s="2" t="s">
        <v>70</v>
      </c>
      <c r="E156" s="2">
        <v>1825</v>
      </c>
      <c r="F156" s="2">
        <v>177</v>
      </c>
      <c r="G156" s="2">
        <f t="shared" si="28"/>
        <v>32</v>
      </c>
      <c r="H156" s="2">
        <f t="shared" si="29"/>
        <v>32</v>
      </c>
      <c r="I156" s="2">
        <v>0</v>
      </c>
      <c r="J156" s="44" t="s">
        <v>48</v>
      </c>
      <c r="K156" s="2" t="s">
        <v>49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/>
      <c r="AM156" s="2" t="s">
        <v>80</v>
      </c>
      <c r="AN156" s="2">
        <f t="shared" si="21"/>
        <v>0</v>
      </c>
      <c r="AO156" s="2">
        <f t="shared" si="22"/>
        <v>0</v>
      </c>
      <c r="AP156" s="2">
        <f t="shared" si="23"/>
        <v>0</v>
      </c>
      <c r="AQ156" s="2">
        <f t="shared" si="24"/>
        <v>0</v>
      </c>
      <c r="AR156" s="2">
        <f t="shared" si="25"/>
        <v>0</v>
      </c>
      <c r="AS156" s="2">
        <f t="shared" si="26"/>
        <v>0</v>
      </c>
      <c r="AT156" s="25">
        <f t="shared" si="27"/>
        <v>0</v>
      </c>
    </row>
    <row r="157" spans="1:46">
      <c r="A157" s="24">
        <v>46119</v>
      </c>
      <c r="B157" s="23">
        <f t="shared" si="20"/>
        <v>46113</v>
      </c>
      <c r="C157" s="2" t="s">
        <v>82</v>
      </c>
      <c r="D157" s="2" t="s">
        <v>83</v>
      </c>
      <c r="E157" s="2">
        <v>6248</v>
      </c>
      <c r="F157" s="2">
        <v>129</v>
      </c>
      <c r="G157" s="2">
        <f t="shared" si="28"/>
        <v>20</v>
      </c>
      <c r="H157" s="2">
        <f t="shared" si="29"/>
        <v>20</v>
      </c>
      <c r="I157" s="2">
        <v>0</v>
      </c>
      <c r="J157" s="44" t="s">
        <v>48</v>
      </c>
      <c r="K157" s="2" t="s">
        <v>49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/>
      <c r="AM157" s="2" t="s">
        <v>93</v>
      </c>
      <c r="AN157" s="2">
        <f t="shared" si="21"/>
        <v>0</v>
      </c>
      <c r="AO157" s="2">
        <f t="shared" si="22"/>
        <v>0</v>
      </c>
      <c r="AP157" s="2">
        <f t="shared" si="23"/>
        <v>0</v>
      </c>
      <c r="AQ157" s="2">
        <f t="shared" si="24"/>
        <v>0</v>
      </c>
      <c r="AR157" s="2">
        <f t="shared" si="25"/>
        <v>0</v>
      </c>
      <c r="AS157" s="2">
        <f t="shared" si="26"/>
        <v>0</v>
      </c>
      <c r="AT157" s="25">
        <f t="shared" si="27"/>
        <v>0</v>
      </c>
    </row>
    <row r="158" spans="1:46">
      <c r="A158" s="24">
        <v>46119</v>
      </c>
      <c r="B158" s="23">
        <f t="shared" si="20"/>
        <v>46113</v>
      </c>
      <c r="C158" s="2" t="s">
        <v>160</v>
      </c>
      <c r="D158" s="2" t="s">
        <v>267</v>
      </c>
      <c r="E158" s="2">
        <v>3227</v>
      </c>
      <c r="F158" s="2">
        <v>100</v>
      </c>
      <c r="G158" s="2">
        <f t="shared" si="28"/>
        <v>20</v>
      </c>
      <c r="H158" s="2">
        <f t="shared" si="29"/>
        <v>20</v>
      </c>
      <c r="I158" s="2">
        <v>0</v>
      </c>
      <c r="J158" s="44" t="s">
        <v>48</v>
      </c>
      <c r="K158" s="2" t="s">
        <v>49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/>
      <c r="AM158" s="2" t="s">
        <v>93</v>
      </c>
      <c r="AN158" s="2">
        <f t="shared" si="21"/>
        <v>0</v>
      </c>
      <c r="AO158" s="2">
        <f t="shared" si="22"/>
        <v>0</v>
      </c>
      <c r="AP158" s="2">
        <f t="shared" si="23"/>
        <v>0</v>
      </c>
      <c r="AQ158" s="2">
        <f t="shared" si="24"/>
        <v>0</v>
      </c>
      <c r="AR158" s="2">
        <f t="shared" si="25"/>
        <v>0</v>
      </c>
      <c r="AS158" s="2">
        <f t="shared" si="26"/>
        <v>0</v>
      </c>
      <c r="AT158" s="25">
        <f t="shared" si="27"/>
        <v>0</v>
      </c>
    </row>
    <row r="159" spans="1:46">
      <c r="A159" s="24">
        <v>46119</v>
      </c>
      <c r="B159" s="23">
        <f t="shared" si="20"/>
        <v>46113</v>
      </c>
      <c r="C159" s="2" t="s">
        <v>82</v>
      </c>
      <c r="D159" s="2" t="s">
        <v>259</v>
      </c>
      <c r="E159" s="2">
        <v>3317</v>
      </c>
      <c r="F159" s="2">
        <v>69</v>
      </c>
      <c r="G159" s="2">
        <f t="shared" si="28"/>
        <v>20</v>
      </c>
      <c r="H159" s="2">
        <f t="shared" si="29"/>
        <v>19</v>
      </c>
      <c r="I159" s="2">
        <v>1</v>
      </c>
      <c r="J159" s="44" t="s">
        <v>48</v>
      </c>
      <c r="K159" s="2" t="s">
        <v>49</v>
      </c>
      <c r="L159" s="2">
        <v>1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/>
      <c r="AM159" s="2" t="s">
        <v>93</v>
      </c>
      <c r="AN159" s="2">
        <f t="shared" si="21"/>
        <v>1</v>
      </c>
      <c r="AO159" s="2">
        <f t="shared" si="22"/>
        <v>0</v>
      </c>
      <c r="AP159" s="2">
        <f t="shared" si="23"/>
        <v>0</v>
      </c>
      <c r="AQ159" s="2">
        <f t="shared" si="24"/>
        <v>0</v>
      </c>
      <c r="AR159" s="2">
        <f t="shared" si="25"/>
        <v>0</v>
      </c>
      <c r="AS159" s="2">
        <f t="shared" si="26"/>
        <v>0</v>
      </c>
      <c r="AT159" s="25">
        <f t="shared" si="27"/>
        <v>0</v>
      </c>
    </row>
    <row r="160" spans="1:46">
      <c r="A160" s="24">
        <v>46119</v>
      </c>
      <c r="B160" s="23">
        <f t="shared" si="20"/>
        <v>46113</v>
      </c>
      <c r="C160" s="2" t="s">
        <v>82</v>
      </c>
      <c r="D160" s="2" t="s">
        <v>288</v>
      </c>
      <c r="E160" s="2">
        <v>1639</v>
      </c>
      <c r="F160" s="2">
        <v>318</v>
      </c>
      <c r="G160" s="2">
        <f t="shared" si="28"/>
        <v>50</v>
      </c>
      <c r="H160" s="2">
        <f t="shared" si="29"/>
        <v>50</v>
      </c>
      <c r="I160" s="2">
        <v>0</v>
      </c>
      <c r="J160" s="44" t="s">
        <v>48</v>
      </c>
      <c r="K160" s="2" t="s">
        <v>49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/>
      <c r="AM160" s="2" t="s">
        <v>93</v>
      </c>
      <c r="AN160" s="2">
        <f t="shared" si="21"/>
        <v>0</v>
      </c>
      <c r="AO160" s="2">
        <f t="shared" si="22"/>
        <v>0</v>
      </c>
      <c r="AP160" s="2">
        <f t="shared" si="23"/>
        <v>0</v>
      </c>
      <c r="AQ160" s="2">
        <f t="shared" si="24"/>
        <v>0</v>
      </c>
      <c r="AR160" s="2">
        <f t="shared" si="25"/>
        <v>0</v>
      </c>
      <c r="AS160" s="2">
        <f t="shared" si="26"/>
        <v>0</v>
      </c>
      <c r="AT160" s="25">
        <f t="shared" si="27"/>
        <v>0</v>
      </c>
    </row>
    <row r="161" spans="1:46">
      <c r="A161" s="24">
        <v>46119</v>
      </c>
      <c r="B161" s="23">
        <f t="shared" si="20"/>
        <v>46113</v>
      </c>
      <c r="C161" s="2" t="s">
        <v>82</v>
      </c>
      <c r="D161" s="2" t="s">
        <v>118</v>
      </c>
      <c r="E161" s="2">
        <v>1650</v>
      </c>
      <c r="F161" s="2">
        <v>159</v>
      </c>
      <c r="G161" s="2">
        <f t="shared" si="28"/>
        <v>32</v>
      </c>
      <c r="H161" s="2">
        <f t="shared" si="29"/>
        <v>31</v>
      </c>
      <c r="I161" s="2">
        <v>1</v>
      </c>
      <c r="J161" s="44" t="s">
        <v>48</v>
      </c>
      <c r="K161" s="2" t="s">
        <v>49</v>
      </c>
      <c r="L161" s="2">
        <v>1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/>
      <c r="AM161" s="2" t="s">
        <v>93</v>
      </c>
      <c r="AN161" s="2">
        <f t="shared" si="21"/>
        <v>1</v>
      </c>
      <c r="AO161" s="2">
        <f t="shared" si="22"/>
        <v>0</v>
      </c>
      <c r="AP161" s="2">
        <f t="shared" si="23"/>
        <v>0</v>
      </c>
      <c r="AQ161" s="2">
        <f t="shared" si="24"/>
        <v>0</v>
      </c>
      <c r="AR161" s="2">
        <f t="shared" si="25"/>
        <v>0</v>
      </c>
      <c r="AS161" s="2">
        <f t="shared" si="26"/>
        <v>0</v>
      </c>
      <c r="AT161" s="25">
        <f t="shared" si="27"/>
        <v>0</v>
      </c>
    </row>
    <row r="162" spans="1:46">
      <c r="A162" s="24">
        <v>46119</v>
      </c>
      <c r="B162" s="23">
        <f t="shared" si="20"/>
        <v>46113</v>
      </c>
      <c r="C162" s="2" t="s">
        <v>114</v>
      </c>
      <c r="D162" s="2" t="s">
        <v>179</v>
      </c>
      <c r="E162" s="2">
        <v>3165</v>
      </c>
      <c r="F162" s="2">
        <v>61</v>
      </c>
      <c r="G162" s="2">
        <f t="shared" si="28"/>
        <v>20</v>
      </c>
      <c r="H162" s="2">
        <f t="shared" si="29"/>
        <v>20</v>
      </c>
      <c r="I162" s="2">
        <v>0</v>
      </c>
      <c r="J162" s="44" t="s">
        <v>48</v>
      </c>
      <c r="K162" s="2" t="s">
        <v>49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/>
      <c r="AM162" s="2" t="s">
        <v>103</v>
      </c>
      <c r="AN162" s="2">
        <f t="shared" si="21"/>
        <v>0</v>
      </c>
      <c r="AO162" s="2">
        <f t="shared" si="22"/>
        <v>0</v>
      </c>
      <c r="AP162" s="2">
        <f t="shared" si="23"/>
        <v>0</v>
      </c>
      <c r="AQ162" s="2">
        <f t="shared" si="24"/>
        <v>0</v>
      </c>
      <c r="AR162" s="2">
        <f t="shared" si="25"/>
        <v>0</v>
      </c>
      <c r="AS162" s="2">
        <f t="shared" si="26"/>
        <v>0</v>
      </c>
      <c r="AT162" s="25">
        <f t="shared" si="27"/>
        <v>0</v>
      </c>
    </row>
    <row r="163" spans="1:46">
      <c r="A163" s="24">
        <v>46119</v>
      </c>
      <c r="B163" s="23">
        <f t="shared" si="20"/>
        <v>46113</v>
      </c>
      <c r="C163" s="2" t="s">
        <v>114</v>
      </c>
      <c r="D163" s="2" t="s">
        <v>1543</v>
      </c>
      <c r="E163" s="2">
        <v>3015</v>
      </c>
      <c r="F163" s="2">
        <v>101</v>
      </c>
      <c r="G163" s="2">
        <f t="shared" si="28"/>
        <v>20</v>
      </c>
      <c r="H163" s="2">
        <f t="shared" si="29"/>
        <v>20</v>
      </c>
      <c r="I163" s="2">
        <v>0</v>
      </c>
      <c r="J163" s="44" t="s">
        <v>48</v>
      </c>
      <c r="K163" s="2" t="s">
        <v>49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/>
      <c r="AM163" s="2" t="s">
        <v>103</v>
      </c>
      <c r="AN163" s="2">
        <f t="shared" si="21"/>
        <v>0</v>
      </c>
      <c r="AO163" s="2">
        <f t="shared" si="22"/>
        <v>0</v>
      </c>
      <c r="AP163" s="2">
        <f t="shared" si="23"/>
        <v>0</v>
      </c>
      <c r="AQ163" s="2">
        <f t="shared" si="24"/>
        <v>0</v>
      </c>
      <c r="AR163" s="2">
        <f t="shared" si="25"/>
        <v>0</v>
      </c>
      <c r="AS163" s="2">
        <f t="shared" si="26"/>
        <v>0</v>
      </c>
      <c r="AT163" s="25">
        <f t="shared" si="27"/>
        <v>0</v>
      </c>
    </row>
    <row r="164" spans="1:46">
      <c r="A164" s="24">
        <v>46119</v>
      </c>
      <c r="B164" s="23">
        <f t="shared" si="20"/>
        <v>46113</v>
      </c>
      <c r="C164" s="2" t="s">
        <v>66</v>
      </c>
      <c r="D164" s="2" t="s">
        <v>1571</v>
      </c>
      <c r="E164" s="2">
        <v>6328</v>
      </c>
      <c r="F164" s="2">
        <v>182</v>
      </c>
      <c r="G164" s="2">
        <f t="shared" si="28"/>
        <v>32</v>
      </c>
      <c r="H164" s="2">
        <f t="shared" si="29"/>
        <v>32</v>
      </c>
      <c r="I164" s="2">
        <v>0</v>
      </c>
      <c r="J164" s="44" t="s">
        <v>48</v>
      </c>
      <c r="K164" s="2" t="s">
        <v>49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/>
      <c r="AM164" s="2" t="s">
        <v>110</v>
      </c>
      <c r="AN164" s="2">
        <f t="shared" si="21"/>
        <v>0</v>
      </c>
      <c r="AO164" s="2">
        <f t="shared" si="22"/>
        <v>0</v>
      </c>
      <c r="AP164" s="2">
        <f t="shared" si="23"/>
        <v>0</v>
      </c>
      <c r="AQ164" s="2">
        <f t="shared" si="24"/>
        <v>0</v>
      </c>
      <c r="AR164" s="2">
        <f t="shared" si="25"/>
        <v>0</v>
      </c>
      <c r="AS164" s="2">
        <f t="shared" si="26"/>
        <v>0</v>
      </c>
      <c r="AT164" s="25">
        <f t="shared" si="27"/>
        <v>0</v>
      </c>
    </row>
    <row r="165" spans="1:46">
      <c r="A165" s="24">
        <v>46119</v>
      </c>
      <c r="B165" s="23">
        <f t="shared" si="20"/>
        <v>46113</v>
      </c>
      <c r="C165" s="2" t="s">
        <v>66</v>
      </c>
      <c r="D165" s="2" t="s">
        <v>1571</v>
      </c>
      <c r="E165" s="2">
        <v>6328</v>
      </c>
      <c r="F165" s="2">
        <v>915</v>
      </c>
      <c r="G165" s="2">
        <f t="shared" si="28"/>
        <v>80</v>
      </c>
      <c r="H165" s="2">
        <f t="shared" si="29"/>
        <v>80</v>
      </c>
      <c r="I165" s="2">
        <v>0</v>
      </c>
      <c r="J165" s="44" t="s">
        <v>48</v>
      </c>
      <c r="K165" s="2" t="s">
        <v>49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/>
      <c r="AM165" s="2" t="s">
        <v>110</v>
      </c>
      <c r="AN165" s="2">
        <f t="shared" si="21"/>
        <v>0</v>
      </c>
      <c r="AO165" s="2">
        <f t="shared" si="22"/>
        <v>0</v>
      </c>
      <c r="AP165" s="2">
        <f t="shared" si="23"/>
        <v>0</v>
      </c>
      <c r="AQ165" s="2">
        <f t="shared" si="24"/>
        <v>0</v>
      </c>
      <c r="AR165" s="2">
        <f t="shared" si="25"/>
        <v>0</v>
      </c>
      <c r="AS165" s="2">
        <f t="shared" si="26"/>
        <v>0</v>
      </c>
      <c r="AT165" s="25">
        <f t="shared" si="27"/>
        <v>0</v>
      </c>
    </row>
    <row r="166" spans="1:46">
      <c r="A166" s="24">
        <v>46119</v>
      </c>
      <c r="B166" s="23">
        <f t="shared" si="20"/>
        <v>46113</v>
      </c>
      <c r="C166" s="2" t="s">
        <v>66</v>
      </c>
      <c r="D166" s="2" t="s">
        <v>123</v>
      </c>
      <c r="E166" s="2">
        <v>1866</v>
      </c>
      <c r="F166" s="2">
        <v>149</v>
      </c>
      <c r="G166" s="2">
        <f t="shared" si="28"/>
        <v>20</v>
      </c>
      <c r="H166" s="2">
        <f t="shared" si="29"/>
        <v>15</v>
      </c>
      <c r="I166" s="2">
        <v>5</v>
      </c>
      <c r="J166" s="44" t="s">
        <v>67</v>
      </c>
      <c r="K166" s="2" t="s">
        <v>49</v>
      </c>
      <c r="L166" s="2">
        <v>5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/>
      <c r="AM166" s="2" t="s">
        <v>110</v>
      </c>
      <c r="AN166" s="2">
        <f t="shared" si="21"/>
        <v>5</v>
      </c>
      <c r="AO166" s="2">
        <f t="shared" si="22"/>
        <v>0</v>
      </c>
      <c r="AP166" s="2">
        <f t="shared" si="23"/>
        <v>0</v>
      </c>
      <c r="AQ166" s="2">
        <f t="shared" si="24"/>
        <v>0</v>
      </c>
      <c r="AR166" s="2">
        <f t="shared" si="25"/>
        <v>0</v>
      </c>
      <c r="AS166" s="2">
        <f t="shared" si="26"/>
        <v>0</v>
      </c>
      <c r="AT166" s="25">
        <f t="shared" si="27"/>
        <v>0</v>
      </c>
    </row>
    <row r="167" spans="1:46">
      <c r="A167" s="24">
        <v>46119</v>
      </c>
      <c r="B167" s="23">
        <f t="shared" si="20"/>
        <v>46113</v>
      </c>
      <c r="C167" s="2" t="s">
        <v>66</v>
      </c>
      <c r="D167" s="2" t="s">
        <v>188</v>
      </c>
      <c r="E167" s="2">
        <v>6210</v>
      </c>
      <c r="F167" s="2">
        <v>102</v>
      </c>
      <c r="G167" s="2">
        <f t="shared" si="28"/>
        <v>20</v>
      </c>
      <c r="H167" s="2">
        <f t="shared" si="29"/>
        <v>19</v>
      </c>
      <c r="I167" s="2">
        <v>1</v>
      </c>
      <c r="J167" s="44" t="s">
        <v>48</v>
      </c>
      <c r="K167" s="2" t="s">
        <v>49</v>
      </c>
      <c r="L167" s="2">
        <v>1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/>
      <c r="AM167" s="2" t="s">
        <v>110</v>
      </c>
      <c r="AN167" s="2">
        <f t="shared" si="21"/>
        <v>1</v>
      </c>
      <c r="AO167" s="2">
        <f t="shared" si="22"/>
        <v>0</v>
      </c>
      <c r="AP167" s="2">
        <f t="shared" si="23"/>
        <v>0</v>
      </c>
      <c r="AQ167" s="2">
        <f t="shared" si="24"/>
        <v>0</v>
      </c>
      <c r="AR167" s="2">
        <f t="shared" si="25"/>
        <v>0</v>
      </c>
      <c r="AS167" s="2">
        <f t="shared" si="26"/>
        <v>0</v>
      </c>
      <c r="AT167" s="25">
        <f t="shared" si="27"/>
        <v>0</v>
      </c>
    </row>
    <row r="168" spans="1:46">
      <c r="A168" s="24">
        <v>46119</v>
      </c>
      <c r="B168" s="23">
        <f t="shared" si="20"/>
        <v>46113</v>
      </c>
      <c r="C168" s="2" t="s">
        <v>66</v>
      </c>
      <c r="D168" s="2" t="s">
        <v>377</v>
      </c>
      <c r="E168" s="2">
        <v>1585</v>
      </c>
      <c r="F168" s="2">
        <v>85</v>
      </c>
      <c r="G168" s="2">
        <f t="shared" si="28"/>
        <v>20</v>
      </c>
      <c r="H168" s="2">
        <f t="shared" si="29"/>
        <v>19</v>
      </c>
      <c r="I168" s="2">
        <v>1</v>
      </c>
      <c r="J168" s="44" t="s">
        <v>48</v>
      </c>
      <c r="K168" s="2" t="s">
        <v>49</v>
      </c>
      <c r="L168" s="2">
        <v>1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/>
      <c r="AM168" s="2" t="s">
        <v>110</v>
      </c>
      <c r="AN168" s="2">
        <f t="shared" si="21"/>
        <v>1</v>
      </c>
      <c r="AO168" s="2">
        <f t="shared" si="22"/>
        <v>0</v>
      </c>
      <c r="AP168" s="2">
        <f t="shared" si="23"/>
        <v>0</v>
      </c>
      <c r="AQ168" s="2">
        <f t="shared" si="24"/>
        <v>0</v>
      </c>
      <c r="AR168" s="2">
        <f t="shared" si="25"/>
        <v>0</v>
      </c>
      <c r="AS168" s="2">
        <f t="shared" si="26"/>
        <v>0</v>
      </c>
      <c r="AT168" s="25">
        <f t="shared" si="27"/>
        <v>0</v>
      </c>
    </row>
    <row r="169" spans="1:46">
      <c r="A169" s="24">
        <v>46119</v>
      </c>
      <c r="B169" s="23">
        <f t="shared" si="20"/>
        <v>46113</v>
      </c>
      <c r="C169" s="2" t="s">
        <v>66</v>
      </c>
      <c r="D169" s="2" t="s">
        <v>102</v>
      </c>
      <c r="E169" s="2">
        <v>3220</v>
      </c>
      <c r="F169" s="2">
        <v>101</v>
      </c>
      <c r="G169" s="2">
        <f t="shared" si="28"/>
        <v>20</v>
      </c>
      <c r="H169" s="2">
        <f t="shared" si="29"/>
        <v>19</v>
      </c>
      <c r="I169" s="2">
        <v>1</v>
      </c>
      <c r="J169" s="44" t="s">
        <v>48</v>
      </c>
      <c r="K169" s="2" t="s">
        <v>49</v>
      </c>
      <c r="L169" s="2">
        <v>1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/>
      <c r="AM169" s="2" t="s">
        <v>110</v>
      </c>
      <c r="AN169" s="2">
        <f t="shared" si="21"/>
        <v>1</v>
      </c>
      <c r="AO169" s="2">
        <f t="shared" si="22"/>
        <v>0</v>
      </c>
      <c r="AP169" s="2">
        <f t="shared" si="23"/>
        <v>0</v>
      </c>
      <c r="AQ169" s="2">
        <f t="shared" si="24"/>
        <v>0</v>
      </c>
      <c r="AR169" s="2">
        <f t="shared" si="25"/>
        <v>0</v>
      </c>
      <c r="AS169" s="2">
        <f t="shared" si="26"/>
        <v>0</v>
      </c>
      <c r="AT169" s="25">
        <f t="shared" si="27"/>
        <v>0</v>
      </c>
    </row>
    <row r="170" spans="1:46">
      <c r="A170" s="24">
        <v>46119</v>
      </c>
      <c r="B170" s="23">
        <f t="shared" si="20"/>
        <v>46113</v>
      </c>
      <c r="C170" s="2" t="s">
        <v>66</v>
      </c>
      <c r="D170" s="2" t="s">
        <v>123</v>
      </c>
      <c r="E170" s="2">
        <v>1866</v>
      </c>
      <c r="F170" s="2">
        <v>145</v>
      </c>
      <c r="G170" s="2">
        <f t="shared" si="28"/>
        <v>20</v>
      </c>
      <c r="H170" s="2">
        <f t="shared" si="29"/>
        <v>19</v>
      </c>
      <c r="I170" s="2">
        <v>1</v>
      </c>
      <c r="J170" s="44" t="s">
        <v>48</v>
      </c>
      <c r="K170" s="2" t="s">
        <v>49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/>
      <c r="AM170" s="2" t="s">
        <v>110</v>
      </c>
      <c r="AN170" s="2">
        <f t="shared" si="21"/>
        <v>0</v>
      </c>
      <c r="AO170" s="2">
        <f t="shared" si="22"/>
        <v>1</v>
      </c>
      <c r="AP170" s="2">
        <f t="shared" si="23"/>
        <v>0</v>
      </c>
      <c r="AQ170" s="2">
        <f t="shared" si="24"/>
        <v>0</v>
      </c>
      <c r="AR170" s="2">
        <f t="shared" si="25"/>
        <v>0</v>
      </c>
      <c r="AS170" s="2">
        <f t="shared" si="26"/>
        <v>0</v>
      </c>
      <c r="AT170" s="25">
        <f t="shared" si="27"/>
        <v>0</v>
      </c>
    </row>
    <row r="171" spans="1:46">
      <c r="A171" s="24">
        <v>46119</v>
      </c>
      <c r="B171" s="23">
        <f t="shared" si="20"/>
        <v>46113</v>
      </c>
      <c r="C171" s="2" t="s">
        <v>66</v>
      </c>
      <c r="D171" s="2" t="s">
        <v>288</v>
      </c>
      <c r="E171" s="2">
        <v>1639</v>
      </c>
      <c r="F171" s="2">
        <v>288</v>
      </c>
      <c r="G171" s="2">
        <f t="shared" si="28"/>
        <v>50</v>
      </c>
      <c r="H171" s="2">
        <f t="shared" si="29"/>
        <v>50</v>
      </c>
      <c r="I171" s="2">
        <v>0</v>
      </c>
      <c r="J171" s="44" t="s">
        <v>48</v>
      </c>
      <c r="K171" s="2" t="s">
        <v>49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/>
      <c r="AM171" s="2" t="s">
        <v>110</v>
      </c>
      <c r="AN171" s="2">
        <f t="shared" si="21"/>
        <v>0</v>
      </c>
      <c r="AO171" s="2">
        <f t="shared" si="22"/>
        <v>0</v>
      </c>
      <c r="AP171" s="2">
        <f t="shared" si="23"/>
        <v>0</v>
      </c>
      <c r="AQ171" s="2">
        <f t="shared" si="24"/>
        <v>0</v>
      </c>
      <c r="AR171" s="2">
        <f t="shared" si="25"/>
        <v>0</v>
      </c>
      <c r="AS171" s="2">
        <f t="shared" si="26"/>
        <v>0</v>
      </c>
      <c r="AT171" s="25">
        <f t="shared" si="27"/>
        <v>0</v>
      </c>
    </row>
    <row r="172" spans="1:46">
      <c r="A172" s="24">
        <v>46119</v>
      </c>
      <c r="B172" s="23">
        <f t="shared" si="20"/>
        <v>46113</v>
      </c>
      <c r="C172" s="2" t="s">
        <v>97</v>
      </c>
      <c r="D172" s="2" t="s">
        <v>108</v>
      </c>
      <c r="E172" s="2">
        <v>3147</v>
      </c>
      <c r="F172" s="2">
        <v>59</v>
      </c>
      <c r="G172" s="2">
        <f t="shared" si="28"/>
        <v>20</v>
      </c>
      <c r="H172" s="2">
        <f t="shared" si="29"/>
        <v>20</v>
      </c>
      <c r="I172" s="2">
        <v>0</v>
      </c>
      <c r="J172" s="44" t="s">
        <v>48</v>
      </c>
      <c r="K172" s="2" t="s">
        <v>49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/>
      <c r="AM172" s="2" t="s">
        <v>110</v>
      </c>
      <c r="AN172" s="2">
        <f t="shared" si="21"/>
        <v>0</v>
      </c>
      <c r="AO172" s="2">
        <f t="shared" si="22"/>
        <v>0</v>
      </c>
      <c r="AP172" s="2">
        <f t="shared" si="23"/>
        <v>0</v>
      </c>
      <c r="AQ172" s="2">
        <f t="shared" si="24"/>
        <v>0</v>
      </c>
      <c r="AR172" s="2">
        <f t="shared" si="25"/>
        <v>0</v>
      </c>
      <c r="AS172" s="2">
        <f t="shared" si="26"/>
        <v>0</v>
      </c>
      <c r="AT172" s="25">
        <f t="shared" si="27"/>
        <v>0</v>
      </c>
    </row>
    <row r="173" spans="1:46">
      <c r="A173" s="24">
        <v>46119</v>
      </c>
      <c r="B173" s="23">
        <f t="shared" si="20"/>
        <v>46113</v>
      </c>
      <c r="C173" s="2" t="s">
        <v>97</v>
      </c>
      <c r="D173" s="2" t="s">
        <v>1387</v>
      </c>
      <c r="E173" s="2">
        <v>3327</v>
      </c>
      <c r="F173" s="2">
        <v>225</v>
      </c>
      <c r="G173" s="2">
        <f t="shared" si="28"/>
        <v>32</v>
      </c>
      <c r="H173" s="2">
        <f t="shared" si="29"/>
        <v>30</v>
      </c>
      <c r="I173" s="2">
        <v>2</v>
      </c>
      <c r="J173" s="44" t="s">
        <v>48</v>
      </c>
      <c r="K173" s="2" t="s">
        <v>49</v>
      </c>
      <c r="L173" s="2">
        <v>2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/>
      <c r="AM173" s="2" t="s">
        <v>110</v>
      </c>
      <c r="AN173" s="2">
        <f t="shared" si="21"/>
        <v>2</v>
      </c>
      <c r="AO173" s="2">
        <f t="shared" si="22"/>
        <v>0</v>
      </c>
      <c r="AP173" s="2">
        <f t="shared" si="23"/>
        <v>0</v>
      </c>
      <c r="AQ173" s="2">
        <f t="shared" si="24"/>
        <v>0</v>
      </c>
      <c r="AR173" s="2">
        <f t="shared" si="25"/>
        <v>0</v>
      </c>
      <c r="AS173" s="2">
        <f t="shared" si="26"/>
        <v>0</v>
      </c>
      <c r="AT173" s="25">
        <f t="shared" si="27"/>
        <v>0</v>
      </c>
    </row>
    <row r="174" spans="1:46">
      <c r="A174" s="24">
        <v>46119</v>
      </c>
      <c r="B174" s="23">
        <f t="shared" si="20"/>
        <v>46113</v>
      </c>
      <c r="C174" s="2" t="s">
        <v>66</v>
      </c>
      <c r="D174" s="2" t="s">
        <v>1572</v>
      </c>
      <c r="E174" s="2">
        <v>6328</v>
      </c>
      <c r="F174" s="2">
        <v>950</v>
      </c>
      <c r="G174" s="2">
        <f t="shared" si="28"/>
        <v>80</v>
      </c>
      <c r="H174" s="2">
        <f t="shared" si="29"/>
        <v>80</v>
      </c>
      <c r="I174" s="2">
        <v>0</v>
      </c>
      <c r="J174" s="44" t="s">
        <v>48</v>
      </c>
      <c r="K174" s="2" t="s">
        <v>49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/>
      <c r="AM174" s="2" t="s">
        <v>110</v>
      </c>
      <c r="AN174" s="2">
        <f t="shared" si="21"/>
        <v>0</v>
      </c>
      <c r="AO174" s="2">
        <f t="shared" si="22"/>
        <v>0</v>
      </c>
      <c r="AP174" s="2">
        <f t="shared" si="23"/>
        <v>0</v>
      </c>
      <c r="AQ174" s="2">
        <f t="shared" si="24"/>
        <v>0</v>
      </c>
      <c r="AR174" s="2">
        <f t="shared" si="25"/>
        <v>0</v>
      </c>
      <c r="AS174" s="2">
        <f t="shared" si="26"/>
        <v>0</v>
      </c>
      <c r="AT174" s="25">
        <f t="shared" si="27"/>
        <v>0</v>
      </c>
    </row>
    <row r="175" spans="1:46">
      <c r="A175" s="24">
        <v>46119</v>
      </c>
      <c r="B175" s="23">
        <f t="shared" si="20"/>
        <v>46113</v>
      </c>
      <c r="C175" s="2" t="s">
        <v>55</v>
      </c>
      <c r="D175" s="2" t="s">
        <v>1310</v>
      </c>
      <c r="E175" s="2">
        <v>8190</v>
      </c>
      <c r="F175" s="2">
        <v>72</v>
      </c>
      <c r="G175" s="2">
        <f t="shared" si="28"/>
        <v>20</v>
      </c>
      <c r="H175" s="2">
        <f t="shared" si="29"/>
        <v>13</v>
      </c>
      <c r="I175" s="2">
        <v>7</v>
      </c>
      <c r="J175" s="44" t="s">
        <v>67</v>
      </c>
      <c r="K175" s="2" t="s">
        <v>49</v>
      </c>
      <c r="L175" s="2">
        <v>2</v>
      </c>
      <c r="M175" s="2">
        <v>0</v>
      </c>
      <c r="N175" s="2">
        <v>2</v>
      </c>
      <c r="O175" s="2">
        <v>0</v>
      </c>
      <c r="P175" s="2">
        <v>3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/>
      <c r="AM175" s="2" t="s">
        <v>1566</v>
      </c>
      <c r="AN175" s="2">
        <f t="shared" si="21"/>
        <v>2</v>
      </c>
      <c r="AO175" s="2">
        <f t="shared" si="22"/>
        <v>5</v>
      </c>
      <c r="AP175" s="2">
        <f t="shared" si="23"/>
        <v>0</v>
      </c>
      <c r="AQ175" s="2">
        <f t="shared" si="24"/>
        <v>0</v>
      </c>
      <c r="AR175" s="2">
        <f t="shared" si="25"/>
        <v>0</v>
      </c>
      <c r="AS175" s="2">
        <f t="shared" si="26"/>
        <v>0</v>
      </c>
      <c r="AT175" s="25">
        <f t="shared" si="27"/>
        <v>0</v>
      </c>
    </row>
    <row r="176" spans="1:46">
      <c r="A176" s="24">
        <v>46119</v>
      </c>
      <c r="B176" s="23">
        <f t="shared" si="20"/>
        <v>46113</v>
      </c>
      <c r="C176" s="2" t="s">
        <v>55</v>
      </c>
      <c r="D176" s="2" t="s">
        <v>154</v>
      </c>
      <c r="E176" s="2">
        <v>1729</v>
      </c>
      <c r="F176" s="2">
        <v>194</v>
      </c>
      <c r="G176" s="2">
        <f t="shared" si="28"/>
        <v>32</v>
      </c>
      <c r="H176" s="2">
        <f t="shared" si="29"/>
        <v>31</v>
      </c>
      <c r="I176" s="2">
        <v>1</v>
      </c>
      <c r="J176" s="44" t="s">
        <v>48</v>
      </c>
      <c r="K176" s="2" t="s">
        <v>49</v>
      </c>
      <c r="L176" s="2">
        <v>1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/>
      <c r="AM176" s="2" t="s">
        <v>1566</v>
      </c>
      <c r="AN176" s="2">
        <f t="shared" si="21"/>
        <v>1</v>
      </c>
      <c r="AO176" s="2">
        <f t="shared" si="22"/>
        <v>0</v>
      </c>
      <c r="AP176" s="2">
        <f t="shared" si="23"/>
        <v>0</v>
      </c>
      <c r="AQ176" s="2">
        <f t="shared" si="24"/>
        <v>0</v>
      </c>
      <c r="AR176" s="2">
        <f t="shared" si="25"/>
        <v>0</v>
      </c>
      <c r="AS176" s="2">
        <f t="shared" si="26"/>
        <v>0</v>
      </c>
      <c r="AT176" s="25">
        <f t="shared" si="27"/>
        <v>0</v>
      </c>
    </row>
    <row r="177" spans="1:46">
      <c r="A177" s="24">
        <v>46119</v>
      </c>
      <c r="B177" s="23">
        <f t="shared" si="20"/>
        <v>46113</v>
      </c>
      <c r="C177" s="2" t="s">
        <v>55</v>
      </c>
      <c r="D177" s="2" t="s">
        <v>1412</v>
      </c>
      <c r="E177" s="2">
        <v>1578</v>
      </c>
      <c r="F177" s="2">
        <v>52</v>
      </c>
      <c r="G177" s="2">
        <f t="shared" si="28"/>
        <v>20</v>
      </c>
      <c r="H177" s="2">
        <f t="shared" si="29"/>
        <v>19</v>
      </c>
      <c r="I177" s="2">
        <v>1</v>
      </c>
      <c r="J177" s="44" t="s">
        <v>48</v>
      </c>
      <c r="K177" s="2" t="s">
        <v>49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/>
      <c r="AM177" s="2" t="s">
        <v>1566</v>
      </c>
      <c r="AN177" s="2">
        <f t="shared" si="21"/>
        <v>1</v>
      </c>
      <c r="AO177" s="2">
        <f t="shared" si="22"/>
        <v>0</v>
      </c>
      <c r="AP177" s="2">
        <f t="shared" si="23"/>
        <v>0</v>
      </c>
      <c r="AQ177" s="2">
        <f t="shared" si="24"/>
        <v>0</v>
      </c>
      <c r="AR177" s="2">
        <f t="shared" si="25"/>
        <v>0</v>
      </c>
      <c r="AS177" s="2">
        <f t="shared" si="26"/>
        <v>0</v>
      </c>
      <c r="AT177" s="25">
        <f t="shared" si="27"/>
        <v>0</v>
      </c>
    </row>
    <row r="178" spans="1:46">
      <c r="A178" s="24">
        <v>46119</v>
      </c>
      <c r="B178" s="23">
        <f t="shared" si="20"/>
        <v>46113</v>
      </c>
      <c r="C178" s="2" t="s">
        <v>55</v>
      </c>
      <c r="D178" s="2" t="s">
        <v>183</v>
      </c>
      <c r="E178" s="2">
        <v>1729</v>
      </c>
      <c r="F178" s="2">
        <v>115</v>
      </c>
      <c r="G178" s="2">
        <f t="shared" si="28"/>
        <v>20</v>
      </c>
      <c r="H178" s="2">
        <f t="shared" si="29"/>
        <v>19</v>
      </c>
      <c r="I178" s="2">
        <v>1</v>
      </c>
      <c r="J178" s="44" t="s">
        <v>48</v>
      </c>
      <c r="K178" s="2" t="s">
        <v>49</v>
      </c>
      <c r="L178" s="2">
        <v>1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/>
      <c r="AM178" s="2" t="s">
        <v>1566</v>
      </c>
      <c r="AN178" s="2">
        <f t="shared" si="21"/>
        <v>1</v>
      </c>
      <c r="AO178" s="2">
        <f t="shared" si="22"/>
        <v>0</v>
      </c>
      <c r="AP178" s="2">
        <f t="shared" si="23"/>
        <v>0</v>
      </c>
      <c r="AQ178" s="2">
        <f t="shared" si="24"/>
        <v>0</v>
      </c>
      <c r="AR178" s="2">
        <f t="shared" si="25"/>
        <v>0</v>
      </c>
      <c r="AS178" s="2">
        <f t="shared" si="26"/>
        <v>0</v>
      </c>
      <c r="AT178" s="25">
        <f t="shared" si="27"/>
        <v>0</v>
      </c>
    </row>
    <row r="179" spans="1:46">
      <c r="A179" s="24">
        <v>46119</v>
      </c>
      <c r="B179" s="23">
        <f t="shared" si="20"/>
        <v>46113</v>
      </c>
      <c r="C179" s="2" t="s">
        <v>55</v>
      </c>
      <c r="D179" s="3" t="s">
        <v>1508</v>
      </c>
      <c r="E179" s="2">
        <v>6323</v>
      </c>
      <c r="F179" s="2">
        <v>137</v>
      </c>
      <c r="G179" s="2">
        <f t="shared" si="28"/>
        <v>20</v>
      </c>
      <c r="H179" s="2">
        <f t="shared" si="29"/>
        <v>18</v>
      </c>
      <c r="I179" s="2">
        <v>2</v>
      </c>
      <c r="J179" s="44" t="s">
        <v>48</v>
      </c>
      <c r="K179" s="2" t="s">
        <v>49</v>
      </c>
      <c r="L179" s="2">
        <v>2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/>
      <c r="AM179" s="2" t="s">
        <v>1566</v>
      </c>
      <c r="AN179" s="2">
        <f t="shared" si="21"/>
        <v>2</v>
      </c>
      <c r="AO179" s="2">
        <f t="shared" si="22"/>
        <v>0</v>
      </c>
      <c r="AP179" s="2">
        <f t="shared" si="23"/>
        <v>0</v>
      </c>
      <c r="AQ179" s="2">
        <f t="shared" si="24"/>
        <v>0</v>
      </c>
      <c r="AR179" s="2">
        <f t="shared" si="25"/>
        <v>0</v>
      </c>
      <c r="AS179" s="2">
        <f t="shared" si="26"/>
        <v>0</v>
      </c>
      <c r="AT179" s="25">
        <f t="shared" si="27"/>
        <v>0</v>
      </c>
    </row>
    <row r="180" spans="1:46">
      <c r="A180" s="24">
        <v>46119</v>
      </c>
      <c r="B180" s="23">
        <f t="shared" si="20"/>
        <v>46113</v>
      </c>
      <c r="C180" s="2" t="s">
        <v>62</v>
      </c>
      <c r="D180" s="2" t="s">
        <v>131</v>
      </c>
      <c r="E180" s="2">
        <v>6280</v>
      </c>
      <c r="F180" s="2">
        <v>125</v>
      </c>
      <c r="G180" s="2">
        <f t="shared" si="28"/>
        <v>20</v>
      </c>
      <c r="H180" s="2">
        <f t="shared" si="29"/>
        <v>20</v>
      </c>
      <c r="I180" s="2">
        <v>0</v>
      </c>
      <c r="J180" s="44" t="s">
        <v>48</v>
      </c>
      <c r="K180" s="2" t="s">
        <v>49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/>
      <c r="AM180" s="2" t="s">
        <v>1568</v>
      </c>
      <c r="AN180" s="2">
        <f t="shared" si="21"/>
        <v>0</v>
      </c>
      <c r="AO180" s="2">
        <f t="shared" si="22"/>
        <v>0</v>
      </c>
      <c r="AP180" s="2">
        <f t="shared" si="23"/>
        <v>0</v>
      </c>
      <c r="AQ180" s="2">
        <f t="shared" si="24"/>
        <v>0</v>
      </c>
      <c r="AR180" s="2">
        <f t="shared" si="25"/>
        <v>0</v>
      </c>
      <c r="AS180" s="2">
        <f t="shared" si="26"/>
        <v>0</v>
      </c>
      <c r="AT180" s="25">
        <f t="shared" si="27"/>
        <v>0</v>
      </c>
    </row>
    <row r="181" spans="1:46">
      <c r="A181" s="24">
        <v>46119</v>
      </c>
      <c r="B181" s="23">
        <f t="shared" si="20"/>
        <v>46113</v>
      </c>
      <c r="C181" s="2" t="s">
        <v>63</v>
      </c>
      <c r="D181" s="2" t="s">
        <v>416</v>
      </c>
      <c r="E181" s="2">
        <v>2758</v>
      </c>
      <c r="F181" s="2">
        <v>167</v>
      </c>
      <c r="G181" s="2">
        <f t="shared" si="28"/>
        <v>32</v>
      </c>
      <c r="H181" s="2">
        <f t="shared" si="29"/>
        <v>31</v>
      </c>
      <c r="I181" s="2">
        <v>1</v>
      </c>
      <c r="J181" s="44" t="s">
        <v>48</v>
      </c>
      <c r="K181" s="2" t="s">
        <v>49</v>
      </c>
      <c r="L181" s="2">
        <v>1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/>
      <c r="AM181" s="2" t="s">
        <v>1568</v>
      </c>
      <c r="AN181" s="2">
        <f t="shared" si="21"/>
        <v>1</v>
      </c>
      <c r="AO181" s="2">
        <f t="shared" si="22"/>
        <v>0</v>
      </c>
      <c r="AP181" s="2">
        <f t="shared" si="23"/>
        <v>0</v>
      </c>
      <c r="AQ181" s="2">
        <f t="shared" si="24"/>
        <v>0</v>
      </c>
      <c r="AR181" s="2">
        <f t="shared" si="25"/>
        <v>0</v>
      </c>
      <c r="AS181" s="2">
        <f t="shared" si="26"/>
        <v>0</v>
      </c>
      <c r="AT181" s="25">
        <f t="shared" si="27"/>
        <v>0</v>
      </c>
    </row>
    <row r="182" spans="1:46">
      <c r="A182" s="24">
        <v>46119</v>
      </c>
      <c r="B182" s="23">
        <f t="shared" si="20"/>
        <v>46113</v>
      </c>
      <c r="C182" s="2" t="s">
        <v>63</v>
      </c>
      <c r="D182" s="2" t="s">
        <v>143</v>
      </c>
      <c r="E182" s="2">
        <v>3255</v>
      </c>
      <c r="F182" s="2">
        <v>264</v>
      </c>
      <c r="G182" s="2">
        <f t="shared" si="28"/>
        <v>32</v>
      </c>
      <c r="H182" s="2">
        <f t="shared" si="29"/>
        <v>32</v>
      </c>
      <c r="I182" s="2">
        <v>0</v>
      </c>
      <c r="J182" s="44" t="s">
        <v>48</v>
      </c>
      <c r="K182" s="2" t="s">
        <v>49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/>
      <c r="AM182" s="2" t="s">
        <v>1568</v>
      </c>
      <c r="AN182" s="2">
        <f t="shared" si="21"/>
        <v>0</v>
      </c>
      <c r="AO182" s="2">
        <f t="shared" si="22"/>
        <v>0</v>
      </c>
      <c r="AP182" s="2">
        <f t="shared" si="23"/>
        <v>0</v>
      </c>
      <c r="AQ182" s="2">
        <f t="shared" si="24"/>
        <v>0</v>
      </c>
      <c r="AR182" s="2">
        <f t="shared" si="25"/>
        <v>0</v>
      </c>
      <c r="AS182" s="2">
        <f t="shared" si="26"/>
        <v>0</v>
      </c>
      <c r="AT182" s="25">
        <f t="shared" si="27"/>
        <v>0</v>
      </c>
    </row>
    <row r="183" spans="1:46">
      <c r="A183" s="24">
        <v>46119</v>
      </c>
      <c r="B183" s="23">
        <f t="shared" si="20"/>
        <v>46113</v>
      </c>
      <c r="C183" s="2" t="s">
        <v>46</v>
      </c>
      <c r="D183" s="2" t="s">
        <v>1222</v>
      </c>
      <c r="E183" s="2">
        <v>6307</v>
      </c>
      <c r="F183" s="2">
        <v>214</v>
      </c>
      <c r="G183" s="2">
        <f t="shared" si="28"/>
        <v>32</v>
      </c>
      <c r="H183" s="2">
        <f t="shared" si="29"/>
        <v>31</v>
      </c>
      <c r="I183" s="2">
        <v>1</v>
      </c>
      <c r="J183" s="44" t="s">
        <v>48</v>
      </c>
      <c r="K183" s="2" t="s">
        <v>49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1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/>
      <c r="AM183" s="2" t="s">
        <v>1568</v>
      </c>
      <c r="AN183" s="2">
        <f t="shared" si="21"/>
        <v>0</v>
      </c>
      <c r="AO183" s="2">
        <f t="shared" si="22"/>
        <v>1</v>
      </c>
      <c r="AP183" s="2">
        <f t="shared" si="23"/>
        <v>0</v>
      </c>
      <c r="AQ183" s="2">
        <f t="shared" si="24"/>
        <v>0</v>
      </c>
      <c r="AR183" s="2">
        <f t="shared" si="25"/>
        <v>0</v>
      </c>
      <c r="AS183" s="2">
        <f t="shared" si="26"/>
        <v>0</v>
      </c>
      <c r="AT183" s="25">
        <f t="shared" si="27"/>
        <v>0</v>
      </c>
    </row>
    <row r="184" spans="1:46">
      <c r="A184" s="24">
        <v>46119</v>
      </c>
      <c r="B184" s="23">
        <f t="shared" si="20"/>
        <v>46113</v>
      </c>
      <c r="C184" s="2" t="s">
        <v>63</v>
      </c>
      <c r="D184" s="2" t="s">
        <v>113</v>
      </c>
      <c r="E184" s="2">
        <v>2598</v>
      </c>
      <c r="F184" s="2">
        <v>900</v>
      </c>
      <c r="G184" s="2">
        <f t="shared" si="28"/>
        <v>80</v>
      </c>
      <c r="H184" s="2">
        <f t="shared" si="29"/>
        <v>80</v>
      </c>
      <c r="I184" s="2">
        <v>0</v>
      </c>
      <c r="J184" s="44" t="s">
        <v>48</v>
      </c>
      <c r="K184" s="2" t="s">
        <v>49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/>
      <c r="AM184" s="2" t="s">
        <v>1568</v>
      </c>
      <c r="AN184" s="2">
        <f t="shared" si="21"/>
        <v>0</v>
      </c>
      <c r="AO184" s="2">
        <f t="shared" si="22"/>
        <v>0</v>
      </c>
      <c r="AP184" s="2">
        <f t="shared" si="23"/>
        <v>0</v>
      </c>
      <c r="AQ184" s="2">
        <f t="shared" si="24"/>
        <v>0</v>
      </c>
      <c r="AR184" s="2">
        <f t="shared" si="25"/>
        <v>0</v>
      </c>
      <c r="AS184" s="2">
        <f t="shared" si="26"/>
        <v>0</v>
      </c>
      <c r="AT184" s="25">
        <f t="shared" si="27"/>
        <v>0</v>
      </c>
    </row>
    <row r="185" spans="1:46">
      <c r="A185" s="24">
        <v>46119</v>
      </c>
      <c r="B185" s="23">
        <f t="shared" si="20"/>
        <v>46113</v>
      </c>
      <c r="C185" s="2" t="s">
        <v>63</v>
      </c>
      <c r="D185" s="2" t="s">
        <v>156</v>
      </c>
      <c r="E185" s="2">
        <v>6247</v>
      </c>
      <c r="F185" s="2">
        <v>135</v>
      </c>
      <c r="G185" s="2">
        <f t="shared" si="28"/>
        <v>20</v>
      </c>
      <c r="H185" s="2">
        <f t="shared" si="29"/>
        <v>20</v>
      </c>
      <c r="I185" s="2">
        <v>0</v>
      </c>
      <c r="J185" s="44" t="s">
        <v>48</v>
      </c>
      <c r="K185" s="2" t="s">
        <v>49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/>
      <c r="AM185" s="2" t="s">
        <v>1568</v>
      </c>
      <c r="AN185" s="2">
        <f t="shared" si="21"/>
        <v>0</v>
      </c>
      <c r="AO185" s="2">
        <f t="shared" si="22"/>
        <v>0</v>
      </c>
      <c r="AP185" s="2">
        <f t="shared" si="23"/>
        <v>0</v>
      </c>
      <c r="AQ185" s="2">
        <f t="shared" si="24"/>
        <v>0</v>
      </c>
      <c r="AR185" s="2">
        <f t="shared" si="25"/>
        <v>0</v>
      </c>
      <c r="AS185" s="2">
        <f t="shared" si="26"/>
        <v>0</v>
      </c>
      <c r="AT185" s="25">
        <f t="shared" si="27"/>
        <v>0</v>
      </c>
    </row>
    <row r="186" spans="1:46">
      <c r="A186" s="24">
        <v>46119</v>
      </c>
      <c r="B186" s="23">
        <f t="shared" si="20"/>
        <v>46113</v>
      </c>
      <c r="C186" s="2" t="s">
        <v>63</v>
      </c>
      <c r="D186" s="2" t="s">
        <v>64</v>
      </c>
      <c r="E186" s="2">
        <v>6247</v>
      </c>
      <c r="F186" s="2">
        <v>270</v>
      </c>
      <c r="G186" s="2">
        <f t="shared" si="28"/>
        <v>32</v>
      </c>
      <c r="H186" s="2">
        <f t="shared" si="29"/>
        <v>32</v>
      </c>
      <c r="I186" s="2">
        <v>0</v>
      </c>
      <c r="J186" s="44" t="s">
        <v>48</v>
      </c>
      <c r="K186" s="2" t="s">
        <v>49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/>
      <c r="AM186" s="2" t="s">
        <v>1568</v>
      </c>
      <c r="AN186" s="2">
        <f t="shared" si="21"/>
        <v>0</v>
      </c>
      <c r="AO186" s="2">
        <f t="shared" si="22"/>
        <v>0</v>
      </c>
      <c r="AP186" s="2">
        <f t="shared" si="23"/>
        <v>0</v>
      </c>
      <c r="AQ186" s="2">
        <f t="shared" si="24"/>
        <v>0</v>
      </c>
      <c r="AR186" s="2">
        <f t="shared" si="25"/>
        <v>0</v>
      </c>
      <c r="AS186" s="2">
        <f t="shared" si="26"/>
        <v>0</v>
      </c>
      <c r="AT186" s="25">
        <f t="shared" si="27"/>
        <v>0</v>
      </c>
    </row>
    <row r="187" spans="1:46">
      <c r="A187" s="24">
        <v>46119</v>
      </c>
      <c r="B187" s="23">
        <f t="shared" si="20"/>
        <v>46113</v>
      </c>
      <c r="C187" s="2" t="s">
        <v>63</v>
      </c>
      <c r="D187" s="2" t="s">
        <v>202</v>
      </c>
      <c r="E187" s="2">
        <v>6247</v>
      </c>
      <c r="F187" s="2">
        <v>193</v>
      </c>
      <c r="G187" s="2">
        <f t="shared" si="28"/>
        <v>32</v>
      </c>
      <c r="H187" s="2">
        <f t="shared" si="29"/>
        <v>32</v>
      </c>
      <c r="I187" s="2">
        <v>0</v>
      </c>
      <c r="J187" s="44" t="s">
        <v>48</v>
      </c>
      <c r="K187" s="2" t="s">
        <v>49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/>
      <c r="AM187" s="2" t="s">
        <v>1568</v>
      </c>
      <c r="AN187" s="2">
        <f t="shared" si="21"/>
        <v>0</v>
      </c>
      <c r="AO187" s="2">
        <f t="shared" si="22"/>
        <v>0</v>
      </c>
      <c r="AP187" s="2">
        <f t="shared" si="23"/>
        <v>0</v>
      </c>
      <c r="AQ187" s="2">
        <f t="shared" si="24"/>
        <v>0</v>
      </c>
      <c r="AR187" s="2">
        <f t="shared" si="25"/>
        <v>0</v>
      </c>
      <c r="AS187" s="2">
        <f t="shared" si="26"/>
        <v>0</v>
      </c>
      <c r="AT187" s="25">
        <f t="shared" si="27"/>
        <v>0</v>
      </c>
    </row>
    <row r="188" spans="1:46">
      <c r="A188" s="24">
        <v>46119</v>
      </c>
      <c r="B188" s="23">
        <f t="shared" si="20"/>
        <v>46113</v>
      </c>
      <c r="C188" s="2" t="s">
        <v>95</v>
      </c>
      <c r="D188" s="2" t="s">
        <v>92</v>
      </c>
      <c r="E188" s="2">
        <v>2481</v>
      </c>
      <c r="F188" s="2">
        <v>247</v>
      </c>
      <c r="G188" s="2">
        <f t="shared" si="28"/>
        <v>32</v>
      </c>
      <c r="H188" s="2">
        <f t="shared" si="29"/>
        <v>31</v>
      </c>
      <c r="I188" s="2">
        <v>1</v>
      </c>
      <c r="J188" s="44" t="s">
        <v>48</v>
      </c>
      <c r="K188" s="2" t="s">
        <v>49</v>
      </c>
      <c r="L188" s="2">
        <v>0</v>
      </c>
      <c r="M188" s="2">
        <v>0</v>
      </c>
      <c r="N188" s="2">
        <v>0</v>
      </c>
      <c r="O188" s="2">
        <v>0</v>
      </c>
      <c r="P188" s="2">
        <v>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/>
      <c r="AM188" s="2" t="s">
        <v>1568</v>
      </c>
      <c r="AN188" s="2">
        <f t="shared" si="21"/>
        <v>0</v>
      </c>
      <c r="AO188" s="2">
        <f t="shared" si="22"/>
        <v>1</v>
      </c>
      <c r="AP188" s="2">
        <f t="shared" si="23"/>
        <v>0</v>
      </c>
      <c r="AQ188" s="2">
        <f t="shared" si="24"/>
        <v>0</v>
      </c>
      <c r="AR188" s="2">
        <f t="shared" si="25"/>
        <v>0</v>
      </c>
      <c r="AS188" s="2">
        <f t="shared" si="26"/>
        <v>0</v>
      </c>
      <c r="AT188" s="25">
        <f t="shared" si="27"/>
        <v>0</v>
      </c>
    </row>
    <row r="189" spans="1:46">
      <c r="A189" s="24">
        <v>46119</v>
      </c>
      <c r="B189" s="23">
        <f t="shared" si="20"/>
        <v>46113</v>
      </c>
      <c r="C189" s="2" t="s">
        <v>63</v>
      </c>
      <c r="D189" s="2" t="s">
        <v>277</v>
      </c>
      <c r="E189" s="2">
        <v>3250</v>
      </c>
      <c r="F189" s="2">
        <v>123</v>
      </c>
      <c r="G189" s="2">
        <f t="shared" si="28"/>
        <v>20</v>
      </c>
      <c r="H189" s="2">
        <f t="shared" si="29"/>
        <v>20</v>
      </c>
      <c r="I189" s="2">
        <v>0</v>
      </c>
      <c r="J189" s="44" t="s">
        <v>48</v>
      </c>
      <c r="K189" s="2" t="s">
        <v>49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/>
      <c r="AM189" s="2" t="s">
        <v>1568</v>
      </c>
      <c r="AN189" s="2">
        <f t="shared" si="21"/>
        <v>0</v>
      </c>
      <c r="AO189" s="2">
        <f t="shared" si="22"/>
        <v>0</v>
      </c>
      <c r="AP189" s="2">
        <f t="shared" si="23"/>
        <v>0</v>
      </c>
      <c r="AQ189" s="2">
        <f t="shared" si="24"/>
        <v>0</v>
      </c>
      <c r="AR189" s="2">
        <f t="shared" si="25"/>
        <v>0</v>
      </c>
      <c r="AS189" s="2">
        <f t="shared" si="26"/>
        <v>0</v>
      </c>
      <c r="AT189" s="25">
        <f t="shared" si="27"/>
        <v>0</v>
      </c>
    </row>
    <row r="190" spans="1:46">
      <c r="A190" s="24">
        <v>46120</v>
      </c>
      <c r="B190" s="23">
        <f t="shared" si="20"/>
        <v>46113</v>
      </c>
      <c r="C190" s="2" t="s">
        <v>72</v>
      </c>
      <c r="D190" s="2" t="s">
        <v>1516</v>
      </c>
      <c r="E190" s="2">
        <v>3341</v>
      </c>
      <c r="F190" s="2">
        <v>68</v>
      </c>
      <c r="G190" s="2">
        <f t="shared" si="28"/>
        <v>20</v>
      </c>
      <c r="H190" s="2">
        <f t="shared" si="29"/>
        <v>20</v>
      </c>
      <c r="I190" s="2">
        <v>0</v>
      </c>
      <c r="J190" s="44" t="s">
        <v>48</v>
      </c>
      <c r="K190" s="2" t="s">
        <v>49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/>
      <c r="AM190" s="2" t="s">
        <v>103</v>
      </c>
      <c r="AN190" s="2">
        <f t="shared" si="21"/>
        <v>0</v>
      </c>
      <c r="AO190" s="2">
        <f t="shared" si="22"/>
        <v>0</v>
      </c>
      <c r="AP190" s="2">
        <f t="shared" si="23"/>
        <v>0</v>
      </c>
      <c r="AQ190" s="2">
        <f t="shared" si="24"/>
        <v>0</v>
      </c>
      <c r="AR190" s="2">
        <f t="shared" si="25"/>
        <v>0</v>
      </c>
      <c r="AS190" s="2">
        <f t="shared" si="26"/>
        <v>0</v>
      </c>
      <c r="AT190" s="25">
        <f t="shared" si="27"/>
        <v>0</v>
      </c>
    </row>
    <row r="191" spans="1:46">
      <c r="A191" s="24">
        <v>46120</v>
      </c>
      <c r="B191" s="23">
        <f t="shared" si="20"/>
        <v>46113</v>
      </c>
      <c r="C191" s="2" t="s">
        <v>72</v>
      </c>
      <c r="D191" s="2" t="s">
        <v>84</v>
      </c>
      <c r="E191" s="2">
        <v>1825</v>
      </c>
      <c r="F191" s="2">
        <v>69</v>
      </c>
      <c r="G191" s="2">
        <f t="shared" si="28"/>
        <v>20</v>
      </c>
      <c r="H191" s="2">
        <f t="shared" si="29"/>
        <v>20</v>
      </c>
      <c r="I191" s="2">
        <v>0</v>
      </c>
      <c r="J191" s="44" t="s">
        <v>48</v>
      </c>
      <c r="K191" s="2" t="s">
        <v>49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/>
      <c r="AM191" s="2" t="s">
        <v>103</v>
      </c>
      <c r="AN191" s="2">
        <f t="shared" si="21"/>
        <v>0</v>
      </c>
      <c r="AO191" s="2">
        <f t="shared" si="22"/>
        <v>0</v>
      </c>
      <c r="AP191" s="2">
        <f t="shared" si="23"/>
        <v>0</v>
      </c>
      <c r="AQ191" s="2">
        <f t="shared" si="24"/>
        <v>0</v>
      </c>
      <c r="AR191" s="2">
        <f t="shared" si="25"/>
        <v>0</v>
      </c>
      <c r="AS191" s="2">
        <f t="shared" si="26"/>
        <v>0</v>
      </c>
      <c r="AT191" s="25">
        <f t="shared" si="27"/>
        <v>0</v>
      </c>
    </row>
    <row r="192" spans="1:46">
      <c r="A192" s="24">
        <v>46120</v>
      </c>
      <c r="B192" s="23">
        <f t="shared" si="20"/>
        <v>46113</v>
      </c>
      <c r="C192" s="2" t="s">
        <v>72</v>
      </c>
      <c r="D192" s="2" t="s">
        <v>221</v>
      </c>
      <c r="E192" s="2">
        <v>6258</v>
      </c>
      <c r="F192" s="2">
        <v>128</v>
      </c>
      <c r="G192" s="2">
        <f t="shared" si="28"/>
        <v>20</v>
      </c>
      <c r="H192" s="2">
        <f t="shared" si="29"/>
        <v>20</v>
      </c>
      <c r="I192" s="2">
        <v>0</v>
      </c>
      <c r="J192" s="44" t="s">
        <v>48</v>
      </c>
      <c r="K192" s="2" t="s">
        <v>49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/>
      <c r="AM192" s="2" t="s">
        <v>103</v>
      </c>
      <c r="AN192" s="2">
        <f t="shared" si="21"/>
        <v>0</v>
      </c>
      <c r="AO192" s="2">
        <f t="shared" si="22"/>
        <v>0</v>
      </c>
      <c r="AP192" s="2">
        <f t="shared" si="23"/>
        <v>0</v>
      </c>
      <c r="AQ192" s="2">
        <f t="shared" si="24"/>
        <v>0</v>
      </c>
      <c r="AR192" s="2">
        <f t="shared" si="25"/>
        <v>0</v>
      </c>
      <c r="AS192" s="2">
        <f t="shared" si="26"/>
        <v>0</v>
      </c>
      <c r="AT192" s="25">
        <f t="shared" si="27"/>
        <v>0</v>
      </c>
    </row>
    <row r="193" spans="1:46">
      <c r="A193" s="24">
        <v>46120</v>
      </c>
      <c r="B193" s="23">
        <f t="shared" si="20"/>
        <v>46113</v>
      </c>
      <c r="C193" s="2" t="s">
        <v>114</v>
      </c>
      <c r="D193" s="2" t="s">
        <v>220</v>
      </c>
      <c r="E193" s="2">
        <v>6109</v>
      </c>
      <c r="F193" s="2">
        <v>64</v>
      </c>
      <c r="G193" s="2">
        <f t="shared" si="28"/>
        <v>20</v>
      </c>
      <c r="H193" s="2">
        <f t="shared" si="29"/>
        <v>19</v>
      </c>
      <c r="I193" s="2">
        <v>1</v>
      </c>
      <c r="J193" s="44" t="s">
        <v>48</v>
      </c>
      <c r="K193" s="2" t="s">
        <v>49</v>
      </c>
      <c r="L193" s="2">
        <v>0</v>
      </c>
      <c r="M193" s="2">
        <v>0</v>
      </c>
      <c r="N193" s="2">
        <v>1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/>
      <c r="AM193" s="2" t="s">
        <v>103</v>
      </c>
      <c r="AN193" s="2">
        <f t="shared" si="21"/>
        <v>0</v>
      </c>
      <c r="AO193" s="2">
        <f t="shared" si="22"/>
        <v>1</v>
      </c>
      <c r="AP193" s="2">
        <f t="shared" si="23"/>
        <v>0</v>
      </c>
      <c r="AQ193" s="2">
        <f t="shared" si="24"/>
        <v>0</v>
      </c>
      <c r="AR193" s="2">
        <f t="shared" si="25"/>
        <v>0</v>
      </c>
      <c r="AS193" s="2">
        <f t="shared" si="26"/>
        <v>0</v>
      </c>
      <c r="AT193" s="25">
        <f t="shared" si="27"/>
        <v>0</v>
      </c>
    </row>
    <row r="194" spans="1:46">
      <c r="A194" s="24">
        <v>46120</v>
      </c>
      <c r="B194" s="23">
        <f t="shared" ref="B194:B257" si="30">EOMONTH(A194,-1)+1</f>
        <v>46113</v>
      </c>
      <c r="C194" s="2" t="s">
        <v>72</v>
      </c>
      <c r="D194" s="2" t="s">
        <v>87</v>
      </c>
      <c r="E194" s="2">
        <v>1825</v>
      </c>
      <c r="F194" s="2">
        <v>159</v>
      </c>
      <c r="G194" s="2">
        <f t="shared" si="28"/>
        <v>32</v>
      </c>
      <c r="H194" s="2">
        <f t="shared" si="29"/>
        <v>32</v>
      </c>
      <c r="I194" s="2">
        <v>0</v>
      </c>
      <c r="J194" s="44" t="s">
        <v>48</v>
      </c>
      <c r="K194" s="2" t="s">
        <v>49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/>
      <c r="AM194" s="2" t="s">
        <v>103</v>
      </c>
      <c r="AN194" s="2">
        <f t="shared" ref="AN194:AN257" si="31">+L194+AI194</f>
        <v>0</v>
      </c>
      <c r="AO194" s="2">
        <f t="shared" ref="AO194:AO257" si="32">+M194+N194+O194+P194+Q194+R194+S194+T194+U194+V194</f>
        <v>0</v>
      </c>
      <c r="AP194" s="2">
        <f t="shared" ref="AP194:AP257" si="33">+AE194+AF194</f>
        <v>0</v>
      </c>
      <c r="AQ194" s="2">
        <f t="shared" ref="AQ194:AQ257" si="34">+AK194+AD194+AC194+AJ194</f>
        <v>0</v>
      </c>
      <c r="AR194" s="2">
        <f t="shared" ref="AR194:AR257" si="35">+W194+X194+Y194+Z194+AA194+AB194</f>
        <v>0</v>
      </c>
      <c r="AS194" s="2">
        <f t="shared" ref="AS194:AS257" si="36">+AG194</f>
        <v>0</v>
      </c>
      <c r="AT194" s="25">
        <f t="shared" ref="AT194:AT257" si="37">+AH194</f>
        <v>0</v>
      </c>
    </row>
    <row r="195" spans="1:46">
      <c r="A195" s="24">
        <v>46120</v>
      </c>
      <c r="B195" s="23">
        <f t="shared" si="30"/>
        <v>46113</v>
      </c>
      <c r="C195" s="2" t="s">
        <v>72</v>
      </c>
      <c r="D195" s="2" t="s">
        <v>288</v>
      </c>
      <c r="E195" s="2">
        <v>1639</v>
      </c>
      <c r="F195" s="2">
        <v>657</v>
      </c>
      <c r="G195" s="2">
        <f t="shared" ref="G195:G258" si="38">IF(F195&lt;1001,IF(F195&gt;500,80,IF(F195&gt;280,50,IF(F195&gt;150,32,IF(F195&lt;51,F195,20)))),125)</f>
        <v>80</v>
      </c>
      <c r="H195" s="2">
        <f t="shared" ref="H195:H258" si="39">G195-I195</f>
        <v>76</v>
      </c>
      <c r="I195" s="2">
        <v>4</v>
      </c>
      <c r="J195" s="44" t="s">
        <v>48</v>
      </c>
      <c r="K195" s="2" t="s">
        <v>49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4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/>
      <c r="AM195" s="2" t="s">
        <v>103</v>
      </c>
      <c r="AN195" s="2">
        <f t="shared" si="31"/>
        <v>0</v>
      </c>
      <c r="AO195" s="2">
        <f t="shared" si="32"/>
        <v>4</v>
      </c>
      <c r="AP195" s="2">
        <f t="shared" si="33"/>
        <v>0</v>
      </c>
      <c r="AQ195" s="2">
        <f t="shared" si="34"/>
        <v>0</v>
      </c>
      <c r="AR195" s="2">
        <f t="shared" si="35"/>
        <v>0</v>
      </c>
      <c r="AS195" s="2">
        <f t="shared" si="36"/>
        <v>0</v>
      </c>
      <c r="AT195" s="25">
        <f t="shared" si="37"/>
        <v>0</v>
      </c>
    </row>
    <row r="196" spans="1:46">
      <c r="A196" s="24">
        <v>46120</v>
      </c>
      <c r="B196" s="23">
        <f t="shared" si="30"/>
        <v>46113</v>
      </c>
      <c r="C196" s="2" t="s">
        <v>82</v>
      </c>
      <c r="D196" s="2" t="s">
        <v>88</v>
      </c>
      <c r="E196" s="2">
        <v>1825</v>
      </c>
      <c r="F196" s="2">
        <v>192</v>
      </c>
      <c r="G196" s="2">
        <f t="shared" si="38"/>
        <v>32</v>
      </c>
      <c r="H196" s="2">
        <f t="shared" si="39"/>
        <v>32</v>
      </c>
      <c r="I196" s="2">
        <v>0</v>
      </c>
      <c r="J196" s="44" t="s">
        <v>48</v>
      </c>
      <c r="K196" s="2" t="s">
        <v>49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/>
      <c r="AM196" s="2" t="s">
        <v>93</v>
      </c>
      <c r="AN196" s="2">
        <f t="shared" si="31"/>
        <v>0</v>
      </c>
      <c r="AO196" s="2">
        <f t="shared" si="32"/>
        <v>0</v>
      </c>
      <c r="AP196" s="2">
        <f t="shared" si="33"/>
        <v>0</v>
      </c>
      <c r="AQ196" s="2">
        <f t="shared" si="34"/>
        <v>0</v>
      </c>
      <c r="AR196" s="2">
        <f t="shared" si="35"/>
        <v>0</v>
      </c>
      <c r="AS196" s="2">
        <f t="shared" si="36"/>
        <v>0</v>
      </c>
      <c r="AT196" s="25">
        <f t="shared" si="37"/>
        <v>0</v>
      </c>
    </row>
    <row r="197" spans="1:46">
      <c r="A197" s="24">
        <v>46120</v>
      </c>
      <c r="B197" s="23">
        <f t="shared" si="30"/>
        <v>46113</v>
      </c>
      <c r="C197" s="2" t="s">
        <v>82</v>
      </c>
      <c r="D197" s="2" t="s">
        <v>84</v>
      </c>
      <c r="E197" s="2">
        <v>1825</v>
      </c>
      <c r="F197" s="2">
        <v>393</v>
      </c>
      <c r="G197" s="2">
        <f t="shared" si="38"/>
        <v>50</v>
      </c>
      <c r="H197" s="2">
        <f t="shared" si="39"/>
        <v>50</v>
      </c>
      <c r="I197" s="2">
        <v>0</v>
      </c>
      <c r="J197" s="44" t="s">
        <v>48</v>
      </c>
      <c r="K197" s="2" t="s">
        <v>49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/>
      <c r="AM197" s="2" t="s">
        <v>93</v>
      </c>
      <c r="AN197" s="2">
        <f t="shared" si="31"/>
        <v>0</v>
      </c>
      <c r="AO197" s="2">
        <f t="shared" si="32"/>
        <v>0</v>
      </c>
      <c r="AP197" s="2">
        <f t="shared" si="33"/>
        <v>0</v>
      </c>
      <c r="AQ197" s="2">
        <f t="shared" si="34"/>
        <v>0</v>
      </c>
      <c r="AR197" s="2">
        <f t="shared" si="35"/>
        <v>0</v>
      </c>
      <c r="AS197" s="2">
        <f t="shared" si="36"/>
        <v>0</v>
      </c>
      <c r="AT197" s="25">
        <f t="shared" si="37"/>
        <v>0</v>
      </c>
    </row>
    <row r="198" spans="1:46">
      <c r="A198" s="24">
        <v>46120</v>
      </c>
      <c r="B198" s="23">
        <f t="shared" si="30"/>
        <v>46113</v>
      </c>
      <c r="C198" s="2" t="s">
        <v>82</v>
      </c>
      <c r="D198" s="2" t="s">
        <v>169</v>
      </c>
      <c r="E198" s="2">
        <v>2593</v>
      </c>
      <c r="F198" s="2">
        <v>360</v>
      </c>
      <c r="G198" s="2">
        <f t="shared" si="38"/>
        <v>50</v>
      </c>
      <c r="H198" s="2">
        <f t="shared" si="39"/>
        <v>50</v>
      </c>
      <c r="I198" s="2">
        <v>0</v>
      </c>
      <c r="J198" s="44" t="s">
        <v>48</v>
      </c>
      <c r="K198" s="2" t="s">
        <v>49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/>
      <c r="AM198" s="2" t="s">
        <v>93</v>
      </c>
      <c r="AN198" s="2">
        <f t="shared" si="31"/>
        <v>0</v>
      </c>
      <c r="AO198" s="2">
        <f t="shared" si="32"/>
        <v>0</v>
      </c>
      <c r="AP198" s="2">
        <f t="shared" si="33"/>
        <v>0</v>
      </c>
      <c r="AQ198" s="2">
        <f t="shared" si="34"/>
        <v>0</v>
      </c>
      <c r="AR198" s="2">
        <f t="shared" si="35"/>
        <v>0</v>
      </c>
      <c r="AS198" s="2">
        <f t="shared" si="36"/>
        <v>0</v>
      </c>
      <c r="AT198" s="25">
        <f t="shared" si="37"/>
        <v>0</v>
      </c>
    </row>
    <row r="199" spans="1:46">
      <c r="A199" s="24">
        <v>46120</v>
      </c>
      <c r="B199" s="23">
        <f t="shared" si="30"/>
        <v>46113</v>
      </c>
      <c r="C199" s="2" t="s">
        <v>82</v>
      </c>
      <c r="D199" s="2" t="s">
        <v>81</v>
      </c>
      <c r="E199" s="2">
        <v>1825</v>
      </c>
      <c r="F199" s="2">
        <v>65</v>
      </c>
      <c r="G199" s="2">
        <f t="shared" si="38"/>
        <v>20</v>
      </c>
      <c r="H199" s="2">
        <f t="shared" si="39"/>
        <v>18</v>
      </c>
      <c r="I199" s="2">
        <v>2</v>
      </c>
      <c r="J199" s="44" t="s">
        <v>67</v>
      </c>
      <c r="K199" s="2" t="s">
        <v>49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1</v>
      </c>
      <c r="AF199" s="2">
        <v>0</v>
      </c>
      <c r="AG199" s="2">
        <v>1</v>
      </c>
      <c r="AH199" s="2">
        <v>0</v>
      </c>
      <c r="AI199" s="2">
        <v>0</v>
      </c>
      <c r="AJ199" s="2">
        <v>0</v>
      </c>
      <c r="AK199" s="2">
        <v>0</v>
      </c>
      <c r="AL199" s="2"/>
      <c r="AM199" s="2" t="s">
        <v>93</v>
      </c>
      <c r="AN199" s="2">
        <f t="shared" si="31"/>
        <v>0</v>
      </c>
      <c r="AO199" s="2">
        <f t="shared" si="32"/>
        <v>0</v>
      </c>
      <c r="AP199" s="2">
        <f t="shared" si="33"/>
        <v>1</v>
      </c>
      <c r="AQ199" s="2">
        <f t="shared" si="34"/>
        <v>0</v>
      </c>
      <c r="AR199" s="2">
        <f t="shared" si="35"/>
        <v>0</v>
      </c>
      <c r="AS199" s="2">
        <f t="shared" si="36"/>
        <v>1</v>
      </c>
      <c r="AT199" s="25">
        <f t="shared" si="37"/>
        <v>0</v>
      </c>
    </row>
    <row r="200" spans="1:46">
      <c r="A200" s="24">
        <v>46120</v>
      </c>
      <c r="B200" s="23">
        <f t="shared" si="30"/>
        <v>46113</v>
      </c>
      <c r="C200" s="2" t="s">
        <v>160</v>
      </c>
      <c r="D200" s="2" t="s">
        <v>162</v>
      </c>
      <c r="E200" s="2">
        <v>3227</v>
      </c>
      <c r="F200" s="2">
        <v>261</v>
      </c>
      <c r="G200" s="2">
        <f t="shared" si="38"/>
        <v>32</v>
      </c>
      <c r="H200" s="2">
        <f t="shared" si="39"/>
        <v>30</v>
      </c>
      <c r="I200" s="2">
        <v>2</v>
      </c>
      <c r="J200" s="44" t="s">
        <v>48</v>
      </c>
      <c r="K200" s="2" t="s">
        <v>49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1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1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/>
      <c r="AM200" s="2" t="s">
        <v>93</v>
      </c>
      <c r="AN200" s="2">
        <f t="shared" si="31"/>
        <v>0</v>
      </c>
      <c r="AO200" s="2">
        <f t="shared" si="32"/>
        <v>1</v>
      </c>
      <c r="AP200" s="2">
        <f t="shared" si="33"/>
        <v>0</v>
      </c>
      <c r="AQ200" s="2">
        <f t="shared" si="34"/>
        <v>0</v>
      </c>
      <c r="AR200" s="2">
        <f t="shared" si="35"/>
        <v>1</v>
      </c>
      <c r="AS200" s="2">
        <f t="shared" si="36"/>
        <v>0</v>
      </c>
      <c r="AT200" s="25">
        <f t="shared" si="37"/>
        <v>0</v>
      </c>
    </row>
    <row r="201" spans="1:46">
      <c r="A201" s="24">
        <v>46120</v>
      </c>
      <c r="B201" s="23">
        <f t="shared" si="30"/>
        <v>46113</v>
      </c>
      <c r="C201" s="2" t="s">
        <v>160</v>
      </c>
      <c r="D201" s="2" t="s">
        <v>388</v>
      </c>
      <c r="E201" s="2">
        <v>3089</v>
      </c>
      <c r="F201" s="2">
        <v>148</v>
      </c>
      <c r="G201" s="2">
        <f t="shared" si="38"/>
        <v>20</v>
      </c>
      <c r="H201" s="2">
        <f t="shared" si="39"/>
        <v>20</v>
      </c>
      <c r="I201" s="2">
        <v>0</v>
      </c>
      <c r="J201" s="44" t="s">
        <v>48</v>
      </c>
      <c r="K201" s="2" t="s">
        <v>49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/>
      <c r="AM201" s="2" t="s">
        <v>93</v>
      </c>
      <c r="AN201" s="2">
        <f t="shared" si="31"/>
        <v>0</v>
      </c>
      <c r="AO201" s="2">
        <f t="shared" si="32"/>
        <v>0</v>
      </c>
      <c r="AP201" s="2">
        <f t="shared" si="33"/>
        <v>0</v>
      </c>
      <c r="AQ201" s="2">
        <f t="shared" si="34"/>
        <v>0</v>
      </c>
      <c r="AR201" s="2">
        <f t="shared" si="35"/>
        <v>0</v>
      </c>
      <c r="AS201" s="2">
        <f t="shared" si="36"/>
        <v>0</v>
      </c>
      <c r="AT201" s="25">
        <f t="shared" si="37"/>
        <v>0</v>
      </c>
    </row>
    <row r="202" spans="1:46">
      <c r="A202" s="24">
        <v>46120</v>
      </c>
      <c r="B202" s="23">
        <f t="shared" si="30"/>
        <v>46113</v>
      </c>
      <c r="C202" s="2" t="s">
        <v>82</v>
      </c>
      <c r="D202" s="2" t="s">
        <v>81</v>
      </c>
      <c r="E202" s="2">
        <v>1825</v>
      </c>
      <c r="F202" s="2">
        <v>60</v>
      </c>
      <c r="G202" s="2">
        <f t="shared" si="38"/>
        <v>20</v>
      </c>
      <c r="H202" s="2">
        <f t="shared" si="39"/>
        <v>20</v>
      </c>
      <c r="I202" s="2">
        <v>0</v>
      </c>
      <c r="J202" s="44" t="s">
        <v>48</v>
      </c>
      <c r="K202" s="2" t="s">
        <v>49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/>
      <c r="AM202" s="2" t="s">
        <v>93</v>
      </c>
      <c r="AN202" s="2">
        <f t="shared" si="31"/>
        <v>0</v>
      </c>
      <c r="AO202" s="2">
        <f t="shared" si="32"/>
        <v>0</v>
      </c>
      <c r="AP202" s="2">
        <f t="shared" si="33"/>
        <v>0</v>
      </c>
      <c r="AQ202" s="2">
        <f t="shared" si="34"/>
        <v>0</v>
      </c>
      <c r="AR202" s="2">
        <f t="shared" si="35"/>
        <v>0</v>
      </c>
      <c r="AS202" s="2">
        <f t="shared" si="36"/>
        <v>0</v>
      </c>
      <c r="AT202" s="25">
        <f t="shared" si="37"/>
        <v>0</v>
      </c>
    </row>
    <row r="203" spans="1:46">
      <c r="A203" s="24">
        <v>46120</v>
      </c>
      <c r="B203" s="23">
        <f t="shared" si="30"/>
        <v>46113</v>
      </c>
      <c r="C203" s="2" t="s">
        <v>160</v>
      </c>
      <c r="D203" s="2" t="s">
        <v>164</v>
      </c>
      <c r="E203" s="2">
        <v>6093</v>
      </c>
      <c r="F203" s="2">
        <v>257</v>
      </c>
      <c r="G203" s="2">
        <f t="shared" si="38"/>
        <v>32</v>
      </c>
      <c r="H203" s="2">
        <f t="shared" si="39"/>
        <v>30</v>
      </c>
      <c r="I203" s="2">
        <v>2</v>
      </c>
      <c r="J203" s="44" t="s">
        <v>48</v>
      </c>
      <c r="K203" s="2" t="s">
        <v>49</v>
      </c>
      <c r="L203" s="2">
        <v>2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/>
      <c r="AM203" s="2" t="s">
        <v>93</v>
      </c>
      <c r="AN203" s="2">
        <f t="shared" si="31"/>
        <v>2</v>
      </c>
      <c r="AO203" s="2">
        <f t="shared" si="32"/>
        <v>0</v>
      </c>
      <c r="AP203" s="2">
        <f t="shared" si="33"/>
        <v>0</v>
      </c>
      <c r="AQ203" s="2">
        <f t="shared" si="34"/>
        <v>0</v>
      </c>
      <c r="AR203" s="2">
        <f t="shared" si="35"/>
        <v>0</v>
      </c>
      <c r="AS203" s="2">
        <f t="shared" si="36"/>
        <v>0</v>
      </c>
      <c r="AT203" s="25">
        <f t="shared" si="37"/>
        <v>0</v>
      </c>
    </row>
    <row r="204" spans="1:46">
      <c r="A204" s="24">
        <v>46120</v>
      </c>
      <c r="B204" s="23">
        <f t="shared" si="30"/>
        <v>46113</v>
      </c>
      <c r="C204" s="2" t="s">
        <v>160</v>
      </c>
      <c r="D204" s="3" t="s">
        <v>173</v>
      </c>
      <c r="E204" s="2">
        <v>3295</v>
      </c>
      <c r="F204" s="2">
        <v>300</v>
      </c>
      <c r="G204" s="2">
        <f t="shared" si="38"/>
        <v>50</v>
      </c>
      <c r="H204" s="2">
        <f t="shared" si="39"/>
        <v>50</v>
      </c>
      <c r="I204" s="2">
        <v>0</v>
      </c>
      <c r="J204" s="44" t="s">
        <v>48</v>
      </c>
      <c r="K204" s="2" t="s">
        <v>49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/>
      <c r="AM204" s="2" t="s">
        <v>93</v>
      </c>
      <c r="AN204" s="2">
        <f t="shared" si="31"/>
        <v>0</v>
      </c>
      <c r="AO204" s="2">
        <f t="shared" si="32"/>
        <v>0</v>
      </c>
      <c r="AP204" s="2">
        <f t="shared" si="33"/>
        <v>0</v>
      </c>
      <c r="AQ204" s="2">
        <f t="shared" si="34"/>
        <v>0</v>
      </c>
      <c r="AR204" s="2">
        <f t="shared" si="35"/>
        <v>0</v>
      </c>
      <c r="AS204" s="2">
        <f t="shared" si="36"/>
        <v>0</v>
      </c>
      <c r="AT204" s="25">
        <f t="shared" si="37"/>
        <v>0</v>
      </c>
    </row>
    <row r="205" spans="1:46">
      <c r="A205" s="24">
        <v>46120</v>
      </c>
      <c r="B205" s="23">
        <f t="shared" si="30"/>
        <v>46113</v>
      </c>
      <c r="C205" s="2" t="s">
        <v>82</v>
      </c>
      <c r="D205" s="2" t="s">
        <v>415</v>
      </c>
      <c r="E205" s="2">
        <v>9264</v>
      </c>
      <c r="F205" s="2">
        <v>434</v>
      </c>
      <c r="G205" s="2">
        <f t="shared" si="38"/>
        <v>50</v>
      </c>
      <c r="H205" s="2">
        <f t="shared" si="39"/>
        <v>49</v>
      </c>
      <c r="I205" s="2">
        <v>1</v>
      </c>
      <c r="J205" s="44" t="s">
        <v>48</v>
      </c>
      <c r="K205" s="2" t="s">
        <v>49</v>
      </c>
      <c r="L205" s="2">
        <v>1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/>
      <c r="AM205" s="2" t="s">
        <v>93</v>
      </c>
      <c r="AN205" s="2">
        <f t="shared" si="31"/>
        <v>1</v>
      </c>
      <c r="AO205" s="2">
        <f t="shared" si="32"/>
        <v>0</v>
      </c>
      <c r="AP205" s="2">
        <f t="shared" si="33"/>
        <v>0</v>
      </c>
      <c r="AQ205" s="2">
        <f t="shared" si="34"/>
        <v>0</v>
      </c>
      <c r="AR205" s="2">
        <f t="shared" si="35"/>
        <v>0</v>
      </c>
      <c r="AS205" s="2">
        <f t="shared" si="36"/>
        <v>0</v>
      </c>
      <c r="AT205" s="25">
        <f t="shared" si="37"/>
        <v>0</v>
      </c>
    </row>
    <row r="206" spans="1:46">
      <c r="A206" s="24">
        <v>46120</v>
      </c>
      <c r="B206" s="23">
        <f t="shared" si="30"/>
        <v>46113</v>
      </c>
      <c r="C206" s="2" t="s">
        <v>82</v>
      </c>
      <c r="D206" s="2" t="s">
        <v>118</v>
      </c>
      <c r="E206" s="2">
        <v>1650</v>
      </c>
      <c r="F206" s="2">
        <v>53</v>
      </c>
      <c r="G206" s="2">
        <f t="shared" si="38"/>
        <v>20</v>
      </c>
      <c r="H206" s="2">
        <f t="shared" si="39"/>
        <v>20</v>
      </c>
      <c r="I206" s="2">
        <v>0</v>
      </c>
      <c r="J206" s="44" t="s">
        <v>48</v>
      </c>
      <c r="K206" s="2" t="s">
        <v>49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/>
      <c r="AM206" s="2" t="s">
        <v>99</v>
      </c>
      <c r="AN206" s="2">
        <f t="shared" si="31"/>
        <v>0</v>
      </c>
      <c r="AO206" s="2">
        <f t="shared" si="32"/>
        <v>0</v>
      </c>
      <c r="AP206" s="2">
        <f t="shared" si="33"/>
        <v>0</v>
      </c>
      <c r="AQ206" s="2">
        <f t="shared" si="34"/>
        <v>0</v>
      </c>
      <c r="AR206" s="2">
        <f t="shared" si="35"/>
        <v>0</v>
      </c>
      <c r="AS206" s="2">
        <f t="shared" si="36"/>
        <v>0</v>
      </c>
      <c r="AT206" s="25">
        <f t="shared" si="37"/>
        <v>0</v>
      </c>
    </row>
    <row r="207" spans="1:46">
      <c r="A207" s="24">
        <v>46120</v>
      </c>
      <c r="B207" s="23">
        <f t="shared" si="30"/>
        <v>46113</v>
      </c>
      <c r="C207" s="2" t="s">
        <v>63</v>
      </c>
      <c r="D207" s="2" t="s">
        <v>371</v>
      </c>
      <c r="E207" s="2">
        <v>2680</v>
      </c>
      <c r="F207" s="2">
        <v>75</v>
      </c>
      <c r="G207" s="2">
        <f t="shared" si="38"/>
        <v>20</v>
      </c>
      <c r="H207" s="2">
        <f t="shared" si="39"/>
        <v>20</v>
      </c>
      <c r="I207" s="2">
        <v>0</v>
      </c>
      <c r="J207" s="44" t="s">
        <v>48</v>
      </c>
      <c r="K207" s="2" t="s">
        <v>49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/>
      <c r="AM207" s="2" t="s">
        <v>1568</v>
      </c>
      <c r="AN207" s="2">
        <f t="shared" si="31"/>
        <v>0</v>
      </c>
      <c r="AO207" s="2">
        <f t="shared" si="32"/>
        <v>0</v>
      </c>
      <c r="AP207" s="2">
        <f t="shared" si="33"/>
        <v>0</v>
      </c>
      <c r="AQ207" s="2">
        <f t="shared" si="34"/>
        <v>0</v>
      </c>
      <c r="AR207" s="2">
        <f t="shared" si="35"/>
        <v>0</v>
      </c>
      <c r="AS207" s="2">
        <f t="shared" si="36"/>
        <v>0</v>
      </c>
      <c r="AT207" s="25">
        <f t="shared" si="37"/>
        <v>0</v>
      </c>
    </row>
    <row r="208" spans="1:46">
      <c r="A208" s="24">
        <v>46120</v>
      </c>
      <c r="B208" s="23">
        <f t="shared" si="30"/>
        <v>46113</v>
      </c>
      <c r="C208" s="2" t="s">
        <v>62</v>
      </c>
      <c r="D208" s="2" t="s">
        <v>415</v>
      </c>
      <c r="E208" s="2">
        <v>9264</v>
      </c>
      <c r="F208" s="2">
        <v>345</v>
      </c>
      <c r="G208" s="2">
        <f t="shared" si="38"/>
        <v>50</v>
      </c>
      <c r="H208" s="2">
        <f t="shared" si="39"/>
        <v>48</v>
      </c>
      <c r="I208" s="2">
        <v>2</v>
      </c>
      <c r="J208" s="44" t="s">
        <v>48</v>
      </c>
      <c r="K208" s="2" t="s">
        <v>49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2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/>
      <c r="AM208" s="2" t="s">
        <v>1568</v>
      </c>
      <c r="AN208" s="2">
        <f t="shared" si="31"/>
        <v>0</v>
      </c>
      <c r="AO208" s="2">
        <f t="shared" si="32"/>
        <v>2</v>
      </c>
      <c r="AP208" s="2">
        <f t="shared" si="33"/>
        <v>0</v>
      </c>
      <c r="AQ208" s="2">
        <f t="shared" si="34"/>
        <v>0</v>
      </c>
      <c r="AR208" s="2">
        <f t="shared" si="35"/>
        <v>0</v>
      </c>
      <c r="AS208" s="2">
        <f t="shared" si="36"/>
        <v>0</v>
      </c>
      <c r="AT208" s="25">
        <f t="shared" si="37"/>
        <v>0</v>
      </c>
    </row>
    <row r="209" spans="1:46">
      <c r="A209" s="24">
        <v>46120</v>
      </c>
      <c r="B209" s="23">
        <f t="shared" si="30"/>
        <v>46113</v>
      </c>
      <c r="C209" s="2" t="s">
        <v>63</v>
      </c>
      <c r="D209" s="2" t="s">
        <v>96</v>
      </c>
      <c r="E209" s="2">
        <v>1802</v>
      </c>
      <c r="F209" s="2">
        <v>367</v>
      </c>
      <c r="G209" s="2">
        <f t="shared" si="38"/>
        <v>50</v>
      </c>
      <c r="H209" s="2">
        <f t="shared" si="39"/>
        <v>50</v>
      </c>
      <c r="I209" s="2">
        <v>0</v>
      </c>
      <c r="J209" s="44" t="s">
        <v>48</v>
      </c>
      <c r="K209" s="2" t="s">
        <v>49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/>
      <c r="AM209" s="2" t="s">
        <v>1568</v>
      </c>
      <c r="AN209" s="2">
        <f t="shared" si="31"/>
        <v>0</v>
      </c>
      <c r="AO209" s="2">
        <f t="shared" si="32"/>
        <v>0</v>
      </c>
      <c r="AP209" s="2">
        <f t="shared" si="33"/>
        <v>0</v>
      </c>
      <c r="AQ209" s="2">
        <f t="shared" si="34"/>
        <v>0</v>
      </c>
      <c r="AR209" s="2">
        <f t="shared" si="35"/>
        <v>0</v>
      </c>
      <c r="AS209" s="2">
        <f t="shared" si="36"/>
        <v>0</v>
      </c>
      <c r="AT209" s="25">
        <f t="shared" si="37"/>
        <v>0</v>
      </c>
    </row>
    <row r="210" spans="1:46">
      <c r="A210" s="24">
        <v>46120</v>
      </c>
      <c r="B210" s="23">
        <f t="shared" si="30"/>
        <v>46113</v>
      </c>
      <c r="C210" s="2" t="s">
        <v>63</v>
      </c>
      <c r="D210" s="2" t="s">
        <v>143</v>
      </c>
      <c r="E210" s="2">
        <v>3255</v>
      </c>
      <c r="F210" s="2">
        <v>82</v>
      </c>
      <c r="G210" s="2">
        <f t="shared" si="38"/>
        <v>20</v>
      </c>
      <c r="H210" s="2">
        <f t="shared" si="39"/>
        <v>19</v>
      </c>
      <c r="I210" s="2">
        <v>1</v>
      </c>
      <c r="J210" s="44" t="s">
        <v>48</v>
      </c>
      <c r="K210" s="2" t="s">
        <v>49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1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/>
      <c r="AM210" s="2" t="s">
        <v>1568</v>
      </c>
      <c r="AN210" s="2">
        <f t="shared" si="31"/>
        <v>0</v>
      </c>
      <c r="AO210" s="2">
        <f t="shared" si="32"/>
        <v>0</v>
      </c>
      <c r="AP210" s="2">
        <f t="shared" si="33"/>
        <v>1</v>
      </c>
      <c r="AQ210" s="2">
        <f t="shared" si="34"/>
        <v>0</v>
      </c>
      <c r="AR210" s="2">
        <f t="shared" si="35"/>
        <v>0</v>
      </c>
      <c r="AS210" s="2">
        <f t="shared" si="36"/>
        <v>0</v>
      </c>
      <c r="AT210" s="25">
        <f t="shared" si="37"/>
        <v>0</v>
      </c>
    </row>
    <row r="211" spans="1:46">
      <c r="A211" s="24">
        <v>46120</v>
      </c>
      <c r="B211" s="23">
        <f t="shared" si="30"/>
        <v>46113</v>
      </c>
      <c r="C211" s="2" t="s">
        <v>62</v>
      </c>
      <c r="D211" s="2" t="s">
        <v>386</v>
      </c>
      <c r="E211" s="2">
        <v>7131</v>
      </c>
      <c r="F211" s="2">
        <v>72</v>
      </c>
      <c r="G211" s="2">
        <f t="shared" si="38"/>
        <v>20</v>
      </c>
      <c r="H211" s="2">
        <f t="shared" si="39"/>
        <v>20</v>
      </c>
      <c r="I211" s="2">
        <v>0</v>
      </c>
      <c r="J211" s="44" t="s">
        <v>48</v>
      </c>
      <c r="K211" s="2" t="s">
        <v>49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/>
      <c r="AM211" s="2" t="s">
        <v>1568</v>
      </c>
      <c r="AN211" s="2">
        <f t="shared" si="31"/>
        <v>0</v>
      </c>
      <c r="AO211" s="2">
        <f t="shared" si="32"/>
        <v>0</v>
      </c>
      <c r="AP211" s="2">
        <f t="shared" si="33"/>
        <v>0</v>
      </c>
      <c r="AQ211" s="2">
        <f t="shared" si="34"/>
        <v>0</v>
      </c>
      <c r="AR211" s="2">
        <f t="shared" si="35"/>
        <v>0</v>
      </c>
      <c r="AS211" s="2">
        <f t="shared" si="36"/>
        <v>0</v>
      </c>
      <c r="AT211" s="25">
        <f t="shared" si="37"/>
        <v>0</v>
      </c>
    </row>
    <row r="212" spans="1:46">
      <c r="A212" s="24">
        <v>46120</v>
      </c>
      <c r="B212" s="23">
        <f t="shared" si="30"/>
        <v>46113</v>
      </c>
      <c r="C212" s="2" t="s">
        <v>62</v>
      </c>
      <c r="D212" s="2" t="s">
        <v>78</v>
      </c>
      <c r="E212" s="2">
        <v>3305</v>
      </c>
      <c r="F212" s="2">
        <v>105</v>
      </c>
      <c r="G212" s="2">
        <f t="shared" si="38"/>
        <v>20</v>
      </c>
      <c r="H212" s="2">
        <f t="shared" si="39"/>
        <v>20</v>
      </c>
      <c r="I212" s="2">
        <v>0</v>
      </c>
      <c r="J212" s="44" t="s">
        <v>48</v>
      </c>
      <c r="K212" s="2" t="s">
        <v>49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/>
      <c r="AM212" s="2" t="s">
        <v>1568</v>
      </c>
      <c r="AN212" s="2">
        <f t="shared" si="31"/>
        <v>0</v>
      </c>
      <c r="AO212" s="2">
        <f t="shared" si="32"/>
        <v>0</v>
      </c>
      <c r="AP212" s="2">
        <f t="shared" si="33"/>
        <v>0</v>
      </c>
      <c r="AQ212" s="2">
        <f t="shared" si="34"/>
        <v>0</v>
      </c>
      <c r="AR212" s="2">
        <f t="shared" si="35"/>
        <v>0</v>
      </c>
      <c r="AS212" s="2">
        <f t="shared" si="36"/>
        <v>0</v>
      </c>
      <c r="AT212" s="25">
        <f t="shared" si="37"/>
        <v>0</v>
      </c>
    </row>
    <row r="213" spans="1:46">
      <c r="A213" s="24">
        <v>46120</v>
      </c>
      <c r="B213" s="23">
        <f t="shared" si="30"/>
        <v>46113</v>
      </c>
      <c r="C213" s="2" t="s">
        <v>62</v>
      </c>
      <c r="D213" s="2" t="s">
        <v>1406</v>
      </c>
      <c r="E213" s="2">
        <v>3330</v>
      </c>
      <c r="F213" s="2">
        <v>69</v>
      </c>
      <c r="G213" s="2">
        <f t="shared" si="38"/>
        <v>20</v>
      </c>
      <c r="H213" s="2">
        <f t="shared" si="39"/>
        <v>20</v>
      </c>
      <c r="I213" s="2">
        <v>0</v>
      </c>
      <c r="J213" s="44" t="s">
        <v>48</v>
      </c>
      <c r="K213" s="2" t="s">
        <v>49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/>
      <c r="AM213" s="2" t="s">
        <v>1568</v>
      </c>
      <c r="AN213" s="2">
        <f t="shared" si="31"/>
        <v>0</v>
      </c>
      <c r="AO213" s="2">
        <f t="shared" si="32"/>
        <v>0</v>
      </c>
      <c r="AP213" s="2">
        <f t="shared" si="33"/>
        <v>0</v>
      </c>
      <c r="AQ213" s="2">
        <f t="shared" si="34"/>
        <v>0</v>
      </c>
      <c r="AR213" s="2">
        <f t="shared" si="35"/>
        <v>0</v>
      </c>
      <c r="AS213" s="2">
        <f t="shared" si="36"/>
        <v>0</v>
      </c>
      <c r="AT213" s="25">
        <f t="shared" si="37"/>
        <v>0</v>
      </c>
    </row>
    <row r="214" spans="1:46">
      <c r="A214" s="24">
        <v>46120</v>
      </c>
      <c r="B214" s="23">
        <f t="shared" si="30"/>
        <v>46113</v>
      </c>
      <c r="C214" s="2" t="s">
        <v>62</v>
      </c>
      <c r="D214" s="2" t="s">
        <v>141</v>
      </c>
      <c r="E214" s="2">
        <v>6282</v>
      </c>
      <c r="F214" s="2">
        <v>130</v>
      </c>
      <c r="G214" s="2">
        <f t="shared" si="38"/>
        <v>20</v>
      </c>
      <c r="H214" s="2">
        <f t="shared" si="39"/>
        <v>20</v>
      </c>
      <c r="I214" s="2">
        <v>0</v>
      </c>
      <c r="J214" s="44" t="s">
        <v>48</v>
      </c>
      <c r="K214" s="2" t="s">
        <v>49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/>
      <c r="AM214" s="2" t="s">
        <v>1568</v>
      </c>
      <c r="AN214" s="2">
        <f t="shared" si="31"/>
        <v>0</v>
      </c>
      <c r="AO214" s="2">
        <f t="shared" si="32"/>
        <v>0</v>
      </c>
      <c r="AP214" s="2">
        <f t="shared" si="33"/>
        <v>0</v>
      </c>
      <c r="AQ214" s="2">
        <f t="shared" si="34"/>
        <v>0</v>
      </c>
      <c r="AR214" s="2">
        <f t="shared" si="35"/>
        <v>0</v>
      </c>
      <c r="AS214" s="2">
        <f t="shared" si="36"/>
        <v>0</v>
      </c>
      <c r="AT214" s="25">
        <f t="shared" si="37"/>
        <v>0</v>
      </c>
    </row>
    <row r="215" spans="1:46">
      <c r="A215" s="24">
        <v>46120</v>
      </c>
      <c r="B215" s="23">
        <f t="shared" si="30"/>
        <v>46113</v>
      </c>
      <c r="C215" s="2" t="s">
        <v>62</v>
      </c>
      <c r="D215" s="2" t="s">
        <v>1298</v>
      </c>
      <c r="E215" s="2">
        <v>6284</v>
      </c>
      <c r="F215" s="2">
        <v>100</v>
      </c>
      <c r="G215" s="2">
        <f t="shared" si="38"/>
        <v>20</v>
      </c>
      <c r="H215" s="2">
        <f t="shared" si="39"/>
        <v>20</v>
      </c>
      <c r="I215" s="2">
        <v>0</v>
      </c>
      <c r="J215" s="44" t="s">
        <v>48</v>
      </c>
      <c r="K215" s="2" t="s">
        <v>49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/>
      <c r="AM215" s="2" t="s">
        <v>1568</v>
      </c>
      <c r="AN215" s="2">
        <f t="shared" si="31"/>
        <v>0</v>
      </c>
      <c r="AO215" s="2">
        <f t="shared" si="32"/>
        <v>0</v>
      </c>
      <c r="AP215" s="2">
        <f t="shared" si="33"/>
        <v>0</v>
      </c>
      <c r="AQ215" s="2">
        <f t="shared" si="34"/>
        <v>0</v>
      </c>
      <c r="AR215" s="2">
        <f t="shared" si="35"/>
        <v>0</v>
      </c>
      <c r="AS215" s="2">
        <f t="shared" si="36"/>
        <v>0</v>
      </c>
      <c r="AT215" s="25">
        <f t="shared" si="37"/>
        <v>0</v>
      </c>
    </row>
    <row r="216" spans="1:46">
      <c r="A216" s="24">
        <v>46120</v>
      </c>
      <c r="B216" s="23">
        <f t="shared" si="30"/>
        <v>46113</v>
      </c>
      <c r="C216" s="2" t="s">
        <v>63</v>
      </c>
      <c r="D216" s="2" t="s">
        <v>59</v>
      </c>
      <c r="E216" s="2">
        <v>1775</v>
      </c>
      <c r="F216" s="2">
        <v>373</v>
      </c>
      <c r="G216" s="2">
        <f t="shared" si="38"/>
        <v>50</v>
      </c>
      <c r="H216" s="2">
        <f t="shared" si="39"/>
        <v>49</v>
      </c>
      <c r="I216" s="2">
        <v>1</v>
      </c>
      <c r="J216" s="44" t="s">
        <v>48</v>
      </c>
      <c r="K216" s="2" t="s">
        <v>49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1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/>
      <c r="AM216" s="2" t="s">
        <v>1568</v>
      </c>
      <c r="AN216" s="2">
        <f t="shared" si="31"/>
        <v>0</v>
      </c>
      <c r="AO216" s="2">
        <f t="shared" si="32"/>
        <v>1</v>
      </c>
      <c r="AP216" s="2">
        <f t="shared" si="33"/>
        <v>0</v>
      </c>
      <c r="AQ216" s="2">
        <f t="shared" si="34"/>
        <v>0</v>
      </c>
      <c r="AR216" s="2">
        <f t="shared" si="35"/>
        <v>0</v>
      </c>
      <c r="AS216" s="2">
        <f t="shared" si="36"/>
        <v>0</v>
      </c>
      <c r="AT216" s="25">
        <f t="shared" si="37"/>
        <v>0</v>
      </c>
    </row>
    <row r="217" spans="1:46">
      <c r="A217" s="24">
        <v>46120</v>
      </c>
      <c r="B217" s="23">
        <f t="shared" si="30"/>
        <v>46113</v>
      </c>
      <c r="C217" s="2" t="s">
        <v>63</v>
      </c>
      <c r="D217" s="2" t="s">
        <v>1391</v>
      </c>
      <c r="E217" s="2">
        <v>1802</v>
      </c>
      <c r="F217" s="2">
        <v>59</v>
      </c>
      <c r="G217" s="2">
        <f t="shared" si="38"/>
        <v>20</v>
      </c>
      <c r="H217" s="2">
        <f t="shared" si="39"/>
        <v>20</v>
      </c>
      <c r="I217" s="2">
        <v>0</v>
      </c>
      <c r="J217" s="44" t="s">
        <v>48</v>
      </c>
      <c r="K217" s="2" t="s">
        <v>49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/>
      <c r="AM217" s="2" t="s">
        <v>1568</v>
      </c>
      <c r="AN217" s="2">
        <f t="shared" si="31"/>
        <v>0</v>
      </c>
      <c r="AO217" s="2">
        <f t="shared" si="32"/>
        <v>0</v>
      </c>
      <c r="AP217" s="2">
        <f t="shared" si="33"/>
        <v>0</v>
      </c>
      <c r="AQ217" s="2">
        <f t="shared" si="34"/>
        <v>0</v>
      </c>
      <c r="AR217" s="2">
        <f t="shared" si="35"/>
        <v>0</v>
      </c>
      <c r="AS217" s="2">
        <f t="shared" si="36"/>
        <v>0</v>
      </c>
      <c r="AT217" s="25">
        <f t="shared" si="37"/>
        <v>0</v>
      </c>
    </row>
    <row r="218" spans="1:46">
      <c r="A218" s="24">
        <v>46120</v>
      </c>
      <c r="B218" s="23">
        <f t="shared" si="30"/>
        <v>46113</v>
      </c>
      <c r="C218" s="2" t="s">
        <v>63</v>
      </c>
      <c r="D218" s="2" t="s">
        <v>65</v>
      </c>
      <c r="E218" s="2">
        <v>2598</v>
      </c>
      <c r="F218" s="2">
        <v>71</v>
      </c>
      <c r="G218" s="2">
        <f t="shared" si="38"/>
        <v>20</v>
      </c>
      <c r="H218" s="2">
        <f t="shared" si="39"/>
        <v>19</v>
      </c>
      <c r="I218" s="2">
        <v>1</v>
      </c>
      <c r="J218" s="44" t="s">
        <v>48</v>
      </c>
      <c r="K218" s="2" t="s">
        <v>49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1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/>
      <c r="AM218" s="2" t="s">
        <v>1568</v>
      </c>
      <c r="AN218" s="2">
        <f t="shared" si="31"/>
        <v>0</v>
      </c>
      <c r="AO218" s="2">
        <f t="shared" si="32"/>
        <v>0</v>
      </c>
      <c r="AP218" s="2">
        <f t="shared" si="33"/>
        <v>0</v>
      </c>
      <c r="AQ218" s="2">
        <f t="shared" si="34"/>
        <v>1</v>
      </c>
      <c r="AR218" s="2">
        <f t="shared" si="35"/>
        <v>0</v>
      </c>
      <c r="AS218" s="2">
        <f t="shared" si="36"/>
        <v>0</v>
      </c>
      <c r="AT218" s="25">
        <f t="shared" si="37"/>
        <v>0</v>
      </c>
    </row>
    <row r="219" spans="1:46">
      <c r="A219" s="24">
        <v>46120</v>
      </c>
      <c r="B219" s="23">
        <f t="shared" si="30"/>
        <v>46113</v>
      </c>
      <c r="C219" s="2" t="s">
        <v>63</v>
      </c>
      <c r="D219" s="2" t="s">
        <v>202</v>
      </c>
      <c r="E219" s="2">
        <v>6247</v>
      </c>
      <c r="F219" s="2">
        <v>229</v>
      </c>
      <c r="G219" s="2">
        <f t="shared" si="38"/>
        <v>32</v>
      </c>
      <c r="H219" s="2">
        <f t="shared" si="39"/>
        <v>32</v>
      </c>
      <c r="I219" s="2">
        <v>0</v>
      </c>
      <c r="J219" s="44" t="s">
        <v>48</v>
      </c>
      <c r="K219" s="2" t="s">
        <v>49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/>
      <c r="AM219" s="2" t="s">
        <v>1568</v>
      </c>
      <c r="AN219" s="2">
        <f t="shared" si="31"/>
        <v>0</v>
      </c>
      <c r="AO219" s="2">
        <f t="shared" si="32"/>
        <v>0</v>
      </c>
      <c r="AP219" s="2">
        <f t="shared" si="33"/>
        <v>0</v>
      </c>
      <c r="AQ219" s="2">
        <f t="shared" si="34"/>
        <v>0</v>
      </c>
      <c r="AR219" s="2">
        <f t="shared" si="35"/>
        <v>0</v>
      </c>
      <c r="AS219" s="2">
        <f t="shared" si="36"/>
        <v>0</v>
      </c>
      <c r="AT219" s="25">
        <f t="shared" si="37"/>
        <v>0</v>
      </c>
    </row>
    <row r="220" spans="1:46">
      <c r="A220" s="24">
        <v>46120</v>
      </c>
      <c r="B220" s="23">
        <f t="shared" si="30"/>
        <v>46113</v>
      </c>
      <c r="C220" s="2" t="s">
        <v>62</v>
      </c>
      <c r="D220" s="2" t="s">
        <v>151</v>
      </c>
      <c r="E220" s="2">
        <v>3290</v>
      </c>
      <c r="F220" s="2">
        <v>400</v>
      </c>
      <c r="G220" s="2">
        <f t="shared" si="38"/>
        <v>50</v>
      </c>
      <c r="H220" s="2">
        <f t="shared" si="39"/>
        <v>50</v>
      </c>
      <c r="I220" s="2">
        <v>0</v>
      </c>
      <c r="J220" s="44" t="s">
        <v>48</v>
      </c>
      <c r="K220" s="2" t="s">
        <v>49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/>
      <c r="AM220" s="2" t="s">
        <v>1568</v>
      </c>
      <c r="AN220" s="2">
        <f t="shared" si="31"/>
        <v>0</v>
      </c>
      <c r="AO220" s="2">
        <f t="shared" si="32"/>
        <v>0</v>
      </c>
      <c r="AP220" s="2">
        <f t="shared" si="33"/>
        <v>0</v>
      </c>
      <c r="AQ220" s="2">
        <f t="shared" si="34"/>
        <v>0</v>
      </c>
      <c r="AR220" s="2">
        <f t="shared" si="35"/>
        <v>0</v>
      </c>
      <c r="AS220" s="2">
        <f t="shared" si="36"/>
        <v>0</v>
      </c>
      <c r="AT220" s="25">
        <f t="shared" si="37"/>
        <v>0</v>
      </c>
    </row>
    <row r="221" spans="1:46">
      <c r="A221" s="24">
        <v>46120</v>
      </c>
      <c r="B221" s="23">
        <f t="shared" si="30"/>
        <v>46113</v>
      </c>
      <c r="C221" s="2" t="s">
        <v>66</v>
      </c>
      <c r="D221" s="2" t="s">
        <v>86</v>
      </c>
      <c r="E221" s="2">
        <v>6303</v>
      </c>
      <c r="F221" s="2">
        <v>158</v>
      </c>
      <c r="G221" s="2">
        <f t="shared" si="38"/>
        <v>32</v>
      </c>
      <c r="H221" s="2">
        <f t="shared" si="39"/>
        <v>30</v>
      </c>
      <c r="I221" s="2">
        <v>2</v>
      </c>
      <c r="J221" s="44" t="s">
        <v>48</v>
      </c>
      <c r="K221" s="2" t="s">
        <v>49</v>
      </c>
      <c r="L221" s="2">
        <v>2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/>
      <c r="AM221" s="2" t="s">
        <v>110</v>
      </c>
      <c r="AN221" s="2">
        <f t="shared" si="31"/>
        <v>2</v>
      </c>
      <c r="AO221" s="2">
        <f t="shared" si="32"/>
        <v>0</v>
      </c>
      <c r="AP221" s="2">
        <f t="shared" si="33"/>
        <v>0</v>
      </c>
      <c r="AQ221" s="2">
        <f t="shared" si="34"/>
        <v>0</v>
      </c>
      <c r="AR221" s="2">
        <f t="shared" si="35"/>
        <v>0</v>
      </c>
      <c r="AS221" s="2">
        <f t="shared" si="36"/>
        <v>0</v>
      </c>
      <c r="AT221" s="25">
        <f t="shared" si="37"/>
        <v>0</v>
      </c>
    </row>
    <row r="222" spans="1:46">
      <c r="A222" s="24">
        <v>46120</v>
      </c>
      <c r="B222" s="23">
        <f t="shared" si="30"/>
        <v>46113</v>
      </c>
      <c r="C222" s="2" t="s">
        <v>66</v>
      </c>
      <c r="D222" s="2" t="s">
        <v>397</v>
      </c>
      <c r="E222" s="2">
        <v>6283</v>
      </c>
      <c r="F222" s="2">
        <v>94</v>
      </c>
      <c r="G222" s="2">
        <f t="shared" si="38"/>
        <v>20</v>
      </c>
      <c r="H222" s="2">
        <f t="shared" si="39"/>
        <v>20</v>
      </c>
      <c r="I222" s="2">
        <v>0</v>
      </c>
      <c r="J222" s="44" t="s">
        <v>48</v>
      </c>
      <c r="K222" s="2" t="s">
        <v>49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/>
      <c r="AM222" s="2" t="s">
        <v>110</v>
      </c>
      <c r="AN222" s="2">
        <f t="shared" si="31"/>
        <v>0</v>
      </c>
      <c r="AO222" s="2">
        <f t="shared" si="32"/>
        <v>0</v>
      </c>
      <c r="AP222" s="2">
        <f t="shared" si="33"/>
        <v>0</v>
      </c>
      <c r="AQ222" s="2">
        <f t="shared" si="34"/>
        <v>0</v>
      </c>
      <c r="AR222" s="2">
        <f t="shared" si="35"/>
        <v>0</v>
      </c>
      <c r="AS222" s="2">
        <f t="shared" si="36"/>
        <v>0</v>
      </c>
      <c r="AT222" s="25">
        <f t="shared" si="37"/>
        <v>0</v>
      </c>
    </row>
    <row r="223" spans="1:46">
      <c r="A223" s="24">
        <v>46120</v>
      </c>
      <c r="B223" s="23">
        <f t="shared" si="30"/>
        <v>46113</v>
      </c>
      <c r="C223" s="2" t="s">
        <v>66</v>
      </c>
      <c r="D223" s="2" t="s">
        <v>121</v>
      </c>
      <c r="E223" s="2">
        <v>6303</v>
      </c>
      <c r="F223" s="2">
        <v>55</v>
      </c>
      <c r="G223" s="2">
        <f t="shared" si="38"/>
        <v>20</v>
      </c>
      <c r="H223" s="2">
        <f t="shared" si="39"/>
        <v>20</v>
      </c>
      <c r="I223" s="2">
        <v>0</v>
      </c>
      <c r="J223" s="44" t="s">
        <v>48</v>
      </c>
      <c r="K223" s="2" t="s">
        <v>49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/>
      <c r="AM223" s="2" t="s">
        <v>110</v>
      </c>
      <c r="AN223" s="2">
        <f t="shared" si="31"/>
        <v>0</v>
      </c>
      <c r="AO223" s="2">
        <f t="shared" si="32"/>
        <v>0</v>
      </c>
      <c r="AP223" s="2">
        <f t="shared" si="33"/>
        <v>0</v>
      </c>
      <c r="AQ223" s="2">
        <f t="shared" si="34"/>
        <v>0</v>
      </c>
      <c r="AR223" s="2">
        <f t="shared" si="35"/>
        <v>0</v>
      </c>
      <c r="AS223" s="2">
        <f t="shared" si="36"/>
        <v>0</v>
      </c>
      <c r="AT223" s="25">
        <f t="shared" si="37"/>
        <v>0</v>
      </c>
    </row>
    <row r="224" spans="1:46">
      <c r="A224" s="24">
        <v>46120</v>
      </c>
      <c r="B224" s="23">
        <f t="shared" si="30"/>
        <v>46113</v>
      </c>
      <c r="C224" s="2" t="s">
        <v>66</v>
      </c>
      <c r="D224" s="2" t="s">
        <v>288</v>
      </c>
      <c r="E224" s="2">
        <v>1639</v>
      </c>
      <c r="F224" s="2">
        <v>353</v>
      </c>
      <c r="G224" s="2">
        <f t="shared" si="38"/>
        <v>50</v>
      </c>
      <c r="H224" s="2">
        <f t="shared" si="39"/>
        <v>50</v>
      </c>
      <c r="I224" s="2">
        <v>0</v>
      </c>
      <c r="J224" s="44" t="s">
        <v>48</v>
      </c>
      <c r="K224" s="2" t="s">
        <v>49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/>
      <c r="AM224" s="2" t="s">
        <v>110</v>
      </c>
      <c r="AN224" s="2">
        <f t="shared" si="31"/>
        <v>0</v>
      </c>
      <c r="AO224" s="2">
        <f t="shared" si="32"/>
        <v>0</v>
      </c>
      <c r="AP224" s="2">
        <f t="shared" si="33"/>
        <v>0</v>
      </c>
      <c r="AQ224" s="2">
        <f t="shared" si="34"/>
        <v>0</v>
      </c>
      <c r="AR224" s="2">
        <f t="shared" si="35"/>
        <v>0</v>
      </c>
      <c r="AS224" s="2">
        <f t="shared" si="36"/>
        <v>0</v>
      </c>
      <c r="AT224" s="25">
        <f t="shared" si="37"/>
        <v>0</v>
      </c>
    </row>
    <row r="225" spans="1:46">
      <c r="A225" s="24">
        <v>46120</v>
      </c>
      <c r="B225" s="23">
        <f t="shared" si="30"/>
        <v>46113</v>
      </c>
      <c r="C225" s="2" t="s">
        <v>66</v>
      </c>
      <c r="D225" s="2" t="s">
        <v>85</v>
      </c>
      <c r="E225" s="2">
        <v>1580</v>
      </c>
      <c r="F225" s="2">
        <v>358</v>
      </c>
      <c r="G225" s="2">
        <f t="shared" si="38"/>
        <v>50</v>
      </c>
      <c r="H225" s="2">
        <f t="shared" si="39"/>
        <v>49</v>
      </c>
      <c r="I225" s="2">
        <v>1</v>
      </c>
      <c r="J225" s="44" t="s">
        <v>48</v>
      </c>
      <c r="K225" s="2" t="s">
        <v>49</v>
      </c>
      <c r="L225" s="2">
        <v>1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/>
      <c r="AM225" s="2" t="s">
        <v>110</v>
      </c>
      <c r="AN225" s="2">
        <f t="shared" si="31"/>
        <v>1</v>
      </c>
      <c r="AO225" s="2">
        <f t="shared" si="32"/>
        <v>0</v>
      </c>
      <c r="AP225" s="2">
        <f t="shared" si="33"/>
        <v>0</v>
      </c>
      <c r="AQ225" s="2">
        <f t="shared" si="34"/>
        <v>0</v>
      </c>
      <c r="AR225" s="2">
        <f t="shared" si="35"/>
        <v>0</v>
      </c>
      <c r="AS225" s="2">
        <f t="shared" si="36"/>
        <v>0</v>
      </c>
      <c r="AT225" s="25">
        <f t="shared" si="37"/>
        <v>0</v>
      </c>
    </row>
    <row r="226" spans="1:46">
      <c r="A226" s="24">
        <v>46120</v>
      </c>
      <c r="B226" s="23">
        <f t="shared" si="30"/>
        <v>46113</v>
      </c>
      <c r="C226" s="2" t="s">
        <v>66</v>
      </c>
      <c r="D226" s="2" t="s">
        <v>1311</v>
      </c>
      <c r="E226" s="2">
        <v>7140</v>
      </c>
      <c r="F226" s="2">
        <v>187</v>
      </c>
      <c r="G226" s="2">
        <f t="shared" si="38"/>
        <v>32</v>
      </c>
      <c r="H226" s="2">
        <f t="shared" si="39"/>
        <v>32</v>
      </c>
      <c r="I226" s="2">
        <v>0</v>
      </c>
      <c r="J226" s="44" t="s">
        <v>48</v>
      </c>
      <c r="K226" s="2" t="s">
        <v>49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/>
      <c r="AM226" s="2" t="s">
        <v>110</v>
      </c>
      <c r="AN226" s="2">
        <f t="shared" si="31"/>
        <v>0</v>
      </c>
      <c r="AO226" s="2">
        <f t="shared" si="32"/>
        <v>0</v>
      </c>
      <c r="AP226" s="2">
        <f t="shared" si="33"/>
        <v>0</v>
      </c>
      <c r="AQ226" s="2">
        <f t="shared" si="34"/>
        <v>0</v>
      </c>
      <c r="AR226" s="2">
        <f t="shared" si="35"/>
        <v>0</v>
      </c>
      <c r="AS226" s="2">
        <f t="shared" si="36"/>
        <v>0</v>
      </c>
      <c r="AT226" s="25">
        <f t="shared" si="37"/>
        <v>0</v>
      </c>
    </row>
    <row r="227" spans="1:46">
      <c r="A227" s="24">
        <v>46120</v>
      </c>
      <c r="B227" s="23">
        <f t="shared" si="30"/>
        <v>46113</v>
      </c>
      <c r="C227" s="2" t="s">
        <v>66</v>
      </c>
      <c r="D227" s="2" t="s">
        <v>1403</v>
      </c>
      <c r="E227" s="2">
        <v>10060</v>
      </c>
      <c r="F227" s="2">
        <v>89</v>
      </c>
      <c r="G227" s="2">
        <f t="shared" si="38"/>
        <v>20</v>
      </c>
      <c r="H227" s="2">
        <f t="shared" si="39"/>
        <v>19</v>
      </c>
      <c r="I227" s="2">
        <v>1</v>
      </c>
      <c r="J227" s="44" t="s">
        <v>48</v>
      </c>
      <c r="K227" s="2" t="s">
        <v>49</v>
      </c>
      <c r="L227" s="2">
        <v>1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/>
      <c r="AM227" s="2" t="s">
        <v>110</v>
      </c>
      <c r="AN227" s="2">
        <f t="shared" si="31"/>
        <v>1</v>
      </c>
      <c r="AO227" s="2">
        <f t="shared" si="32"/>
        <v>0</v>
      </c>
      <c r="AP227" s="2">
        <f t="shared" si="33"/>
        <v>0</v>
      </c>
      <c r="AQ227" s="2">
        <f t="shared" si="34"/>
        <v>0</v>
      </c>
      <c r="AR227" s="2">
        <f t="shared" si="35"/>
        <v>0</v>
      </c>
      <c r="AS227" s="2">
        <f t="shared" si="36"/>
        <v>0</v>
      </c>
      <c r="AT227" s="25">
        <f t="shared" si="37"/>
        <v>0</v>
      </c>
    </row>
    <row r="228" spans="1:46">
      <c r="A228" s="24">
        <v>46120</v>
      </c>
      <c r="B228" s="23">
        <f t="shared" si="30"/>
        <v>46113</v>
      </c>
      <c r="C228" s="2" t="s">
        <v>97</v>
      </c>
      <c r="D228" s="2" t="s">
        <v>1404</v>
      </c>
      <c r="E228" s="2">
        <v>3321</v>
      </c>
      <c r="F228" s="2">
        <v>150</v>
      </c>
      <c r="G228" s="2">
        <f t="shared" si="38"/>
        <v>20</v>
      </c>
      <c r="H228" s="2">
        <f t="shared" si="39"/>
        <v>20</v>
      </c>
      <c r="I228" s="2">
        <v>0</v>
      </c>
      <c r="J228" s="44" t="s">
        <v>48</v>
      </c>
      <c r="K228" s="2" t="s">
        <v>49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/>
      <c r="AM228" s="2" t="s">
        <v>110</v>
      </c>
      <c r="AN228" s="2">
        <f t="shared" si="31"/>
        <v>0</v>
      </c>
      <c r="AO228" s="2">
        <f t="shared" si="32"/>
        <v>0</v>
      </c>
      <c r="AP228" s="2">
        <f t="shared" si="33"/>
        <v>0</v>
      </c>
      <c r="AQ228" s="2">
        <f t="shared" si="34"/>
        <v>0</v>
      </c>
      <c r="AR228" s="2">
        <f t="shared" si="35"/>
        <v>0</v>
      </c>
      <c r="AS228" s="2">
        <f t="shared" si="36"/>
        <v>0</v>
      </c>
      <c r="AT228" s="25">
        <f t="shared" si="37"/>
        <v>0</v>
      </c>
    </row>
    <row r="229" spans="1:46">
      <c r="A229" s="24">
        <v>46120</v>
      </c>
      <c r="B229" s="23">
        <f t="shared" si="30"/>
        <v>46113</v>
      </c>
      <c r="C229" s="2" t="s">
        <v>97</v>
      </c>
      <c r="D229" s="2" t="s">
        <v>331</v>
      </c>
      <c r="E229" s="2">
        <v>3321</v>
      </c>
      <c r="F229" s="2">
        <v>220</v>
      </c>
      <c r="G229" s="2">
        <f t="shared" si="38"/>
        <v>32</v>
      </c>
      <c r="H229" s="2">
        <f t="shared" si="39"/>
        <v>31</v>
      </c>
      <c r="I229" s="2">
        <v>1</v>
      </c>
      <c r="J229" s="44" t="s">
        <v>48</v>
      </c>
      <c r="K229" s="2" t="s">
        <v>49</v>
      </c>
      <c r="L229" s="2">
        <v>1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/>
      <c r="AM229" s="2" t="s">
        <v>110</v>
      </c>
      <c r="AN229" s="2">
        <f t="shared" si="31"/>
        <v>1</v>
      </c>
      <c r="AO229" s="2">
        <f t="shared" si="32"/>
        <v>0</v>
      </c>
      <c r="AP229" s="2">
        <f t="shared" si="33"/>
        <v>0</v>
      </c>
      <c r="AQ229" s="2">
        <f t="shared" si="34"/>
        <v>0</v>
      </c>
      <c r="AR229" s="2">
        <f t="shared" si="35"/>
        <v>0</v>
      </c>
      <c r="AS229" s="2">
        <f t="shared" si="36"/>
        <v>0</v>
      </c>
      <c r="AT229" s="25">
        <f t="shared" si="37"/>
        <v>0</v>
      </c>
    </row>
    <row r="230" spans="1:46">
      <c r="A230" s="24">
        <v>46120</v>
      </c>
      <c r="B230" s="23">
        <f t="shared" si="30"/>
        <v>46113</v>
      </c>
      <c r="C230" s="2" t="s">
        <v>55</v>
      </c>
      <c r="D230" s="2" t="s">
        <v>170</v>
      </c>
      <c r="E230" s="2">
        <v>2593</v>
      </c>
      <c r="F230" s="2">
        <v>500</v>
      </c>
      <c r="G230" s="2">
        <f t="shared" si="38"/>
        <v>50</v>
      </c>
      <c r="H230" s="2">
        <f t="shared" si="39"/>
        <v>48</v>
      </c>
      <c r="I230" s="2">
        <v>2</v>
      </c>
      <c r="J230" s="44" t="s">
        <v>48</v>
      </c>
      <c r="K230" s="2" t="s">
        <v>49</v>
      </c>
      <c r="L230" s="2">
        <v>2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/>
      <c r="AM230" s="2" t="s">
        <v>1566</v>
      </c>
      <c r="AN230" s="2">
        <f t="shared" si="31"/>
        <v>2</v>
      </c>
      <c r="AO230" s="2">
        <f t="shared" si="32"/>
        <v>0</v>
      </c>
      <c r="AP230" s="2">
        <f t="shared" si="33"/>
        <v>0</v>
      </c>
      <c r="AQ230" s="2">
        <f t="shared" si="34"/>
        <v>0</v>
      </c>
      <c r="AR230" s="2">
        <f t="shared" si="35"/>
        <v>0</v>
      </c>
      <c r="AS230" s="2">
        <f t="shared" si="36"/>
        <v>0</v>
      </c>
      <c r="AT230" s="25">
        <f t="shared" si="37"/>
        <v>0</v>
      </c>
    </row>
    <row r="231" spans="1:46">
      <c r="A231" s="24">
        <v>46120</v>
      </c>
      <c r="B231" s="23">
        <f t="shared" si="30"/>
        <v>46113</v>
      </c>
      <c r="C231" s="2" t="s">
        <v>133</v>
      </c>
      <c r="D231" s="2" t="s">
        <v>1571</v>
      </c>
      <c r="E231" s="2">
        <v>6328</v>
      </c>
      <c r="F231" s="2">
        <v>600</v>
      </c>
      <c r="G231" s="2">
        <f t="shared" si="38"/>
        <v>80</v>
      </c>
      <c r="H231" s="2">
        <f t="shared" si="39"/>
        <v>76</v>
      </c>
      <c r="I231" s="2">
        <v>4</v>
      </c>
      <c r="J231" s="44" t="s">
        <v>48</v>
      </c>
      <c r="K231" s="2" t="s">
        <v>49</v>
      </c>
      <c r="L231" s="2">
        <v>3</v>
      </c>
      <c r="M231" s="2">
        <v>0</v>
      </c>
      <c r="N231" s="2">
        <v>0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/>
      <c r="AM231" s="2" t="s">
        <v>1566</v>
      </c>
      <c r="AN231" s="2">
        <f t="shared" si="31"/>
        <v>3</v>
      </c>
      <c r="AO231" s="2">
        <f t="shared" si="32"/>
        <v>1</v>
      </c>
      <c r="AP231" s="2">
        <f t="shared" si="33"/>
        <v>0</v>
      </c>
      <c r="AQ231" s="2">
        <f t="shared" si="34"/>
        <v>0</v>
      </c>
      <c r="AR231" s="2">
        <f t="shared" si="35"/>
        <v>0</v>
      </c>
      <c r="AS231" s="2">
        <f t="shared" si="36"/>
        <v>0</v>
      </c>
      <c r="AT231" s="25">
        <f t="shared" si="37"/>
        <v>0</v>
      </c>
    </row>
    <row r="232" spans="1:46">
      <c r="A232" s="24">
        <v>46120</v>
      </c>
      <c r="B232" s="23">
        <f t="shared" si="30"/>
        <v>46113</v>
      </c>
      <c r="C232" s="2" t="s">
        <v>133</v>
      </c>
      <c r="D232" s="2" t="s">
        <v>1571</v>
      </c>
      <c r="E232" s="2">
        <v>6328</v>
      </c>
      <c r="F232" s="2">
        <v>230</v>
      </c>
      <c r="G232" s="2">
        <f t="shared" si="38"/>
        <v>32</v>
      </c>
      <c r="H232" s="2">
        <f t="shared" si="39"/>
        <v>32</v>
      </c>
      <c r="I232" s="2">
        <v>0</v>
      </c>
      <c r="J232" s="44" t="s">
        <v>48</v>
      </c>
      <c r="K232" s="2" t="s">
        <v>49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/>
      <c r="AM232" s="2" t="s">
        <v>1566</v>
      </c>
      <c r="AN232" s="2">
        <f t="shared" si="31"/>
        <v>0</v>
      </c>
      <c r="AO232" s="2">
        <f t="shared" si="32"/>
        <v>0</v>
      </c>
      <c r="AP232" s="2">
        <f t="shared" si="33"/>
        <v>0</v>
      </c>
      <c r="AQ232" s="2">
        <f t="shared" si="34"/>
        <v>0</v>
      </c>
      <c r="AR232" s="2">
        <f t="shared" si="35"/>
        <v>0</v>
      </c>
      <c r="AS232" s="2">
        <f t="shared" si="36"/>
        <v>0</v>
      </c>
      <c r="AT232" s="25">
        <f t="shared" si="37"/>
        <v>0</v>
      </c>
    </row>
    <row r="233" spans="1:46">
      <c r="A233" s="24">
        <v>46120</v>
      </c>
      <c r="B233" s="23">
        <f t="shared" si="30"/>
        <v>46113</v>
      </c>
      <c r="C233" s="2" t="s">
        <v>55</v>
      </c>
      <c r="D233" s="2" t="s">
        <v>132</v>
      </c>
      <c r="E233" s="2">
        <v>1775</v>
      </c>
      <c r="F233" s="2">
        <v>228</v>
      </c>
      <c r="G233" s="2">
        <f t="shared" si="38"/>
        <v>32</v>
      </c>
      <c r="H233" s="2">
        <f t="shared" si="39"/>
        <v>32</v>
      </c>
      <c r="I233" s="2">
        <v>0</v>
      </c>
      <c r="J233" s="44" t="s">
        <v>48</v>
      </c>
      <c r="K233" s="2" t="s">
        <v>49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/>
      <c r="AM233" s="2" t="s">
        <v>1566</v>
      </c>
      <c r="AN233" s="2">
        <f t="shared" si="31"/>
        <v>0</v>
      </c>
      <c r="AO233" s="2">
        <f t="shared" si="32"/>
        <v>0</v>
      </c>
      <c r="AP233" s="2">
        <f t="shared" si="33"/>
        <v>0</v>
      </c>
      <c r="AQ233" s="2">
        <f t="shared" si="34"/>
        <v>0</v>
      </c>
      <c r="AR233" s="2">
        <f t="shared" si="35"/>
        <v>0</v>
      </c>
      <c r="AS233" s="2">
        <f t="shared" si="36"/>
        <v>0</v>
      </c>
      <c r="AT233" s="25">
        <f t="shared" si="37"/>
        <v>0</v>
      </c>
    </row>
    <row r="234" spans="1:46">
      <c r="A234" s="24">
        <v>46120</v>
      </c>
      <c r="B234" s="23">
        <f t="shared" si="30"/>
        <v>46113</v>
      </c>
      <c r="C234" s="2" t="s">
        <v>55</v>
      </c>
      <c r="D234" s="2" t="s">
        <v>137</v>
      </c>
      <c r="E234" s="2">
        <v>2760</v>
      </c>
      <c r="F234" s="2">
        <v>70</v>
      </c>
      <c r="G234" s="2">
        <f t="shared" si="38"/>
        <v>20</v>
      </c>
      <c r="H234" s="2">
        <f t="shared" si="39"/>
        <v>20</v>
      </c>
      <c r="I234" s="2">
        <v>0</v>
      </c>
      <c r="J234" s="44" t="s">
        <v>48</v>
      </c>
      <c r="K234" s="2" t="s">
        <v>49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/>
      <c r="AM234" s="2" t="s">
        <v>1566</v>
      </c>
      <c r="AN234" s="2">
        <f t="shared" si="31"/>
        <v>0</v>
      </c>
      <c r="AO234" s="2">
        <f t="shared" si="32"/>
        <v>0</v>
      </c>
      <c r="AP234" s="2">
        <f t="shared" si="33"/>
        <v>0</v>
      </c>
      <c r="AQ234" s="2">
        <f t="shared" si="34"/>
        <v>0</v>
      </c>
      <c r="AR234" s="2">
        <f t="shared" si="35"/>
        <v>0</v>
      </c>
      <c r="AS234" s="2">
        <f t="shared" si="36"/>
        <v>0</v>
      </c>
      <c r="AT234" s="25">
        <f t="shared" si="37"/>
        <v>0</v>
      </c>
    </row>
    <row r="235" spans="1:46">
      <c r="A235" s="24">
        <v>46120</v>
      </c>
      <c r="B235" s="23">
        <f t="shared" si="30"/>
        <v>46113</v>
      </c>
      <c r="C235" s="2" t="s">
        <v>55</v>
      </c>
      <c r="D235" s="2" t="s">
        <v>57</v>
      </c>
      <c r="E235" s="2">
        <v>2760</v>
      </c>
      <c r="F235" s="2">
        <v>573</v>
      </c>
      <c r="G235" s="2">
        <f t="shared" si="38"/>
        <v>80</v>
      </c>
      <c r="H235" s="2">
        <f t="shared" si="39"/>
        <v>78</v>
      </c>
      <c r="I235" s="2">
        <v>2</v>
      </c>
      <c r="J235" s="44" t="s">
        <v>48</v>
      </c>
      <c r="K235" s="2" t="s">
        <v>49</v>
      </c>
      <c r="L235" s="2">
        <v>2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/>
      <c r="AM235" s="2" t="s">
        <v>1566</v>
      </c>
      <c r="AN235" s="2">
        <f t="shared" si="31"/>
        <v>2</v>
      </c>
      <c r="AO235" s="2">
        <f t="shared" si="32"/>
        <v>0</v>
      </c>
      <c r="AP235" s="2">
        <f t="shared" si="33"/>
        <v>0</v>
      </c>
      <c r="AQ235" s="2">
        <f t="shared" si="34"/>
        <v>0</v>
      </c>
      <c r="AR235" s="2">
        <f t="shared" si="35"/>
        <v>0</v>
      </c>
      <c r="AS235" s="2">
        <f t="shared" si="36"/>
        <v>0</v>
      </c>
      <c r="AT235" s="25">
        <f t="shared" si="37"/>
        <v>0</v>
      </c>
    </row>
    <row r="236" spans="1:46">
      <c r="A236" s="24">
        <v>46120</v>
      </c>
      <c r="B236" s="23">
        <f t="shared" si="30"/>
        <v>46113</v>
      </c>
      <c r="C236" s="2" t="s">
        <v>55</v>
      </c>
      <c r="D236" s="2" t="s">
        <v>58</v>
      </c>
      <c r="E236" s="2">
        <v>3323</v>
      </c>
      <c r="F236" s="2">
        <v>103</v>
      </c>
      <c r="G236" s="2">
        <f t="shared" si="38"/>
        <v>20</v>
      </c>
      <c r="H236" s="2">
        <f t="shared" si="39"/>
        <v>19</v>
      </c>
      <c r="I236" s="2">
        <v>1</v>
      </c>
      <c r="J236" s="44" t="s">
        <v>48</v>
      </c>
      <c r="K236" s="2" t="s">
        <v>49</v>
      </c>
      <c r="L236" s="2">
        <v>1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/>
      <c r="AM236" s="2" t="s">
        <v>1566</v>
      </c>
      <c r="AN236" s="2">
        <f t="shared" si="31"/>
        <v>1</v>
      </c>
      <c r="AO236" s="2">
        <f t="shared" si="32"/>
        <v>0</v>
      </c>
      <c r="AP236" s="2">
        <f t="shared" si="33"/>
        <v>0</v>
      </c>
      <c r="AQ236" s="2">
        <f t="shared" si="34"/>
        <v>0</v>
      </c>
      <c r="AR236" s="2">
        <f t="shared" si="35"/>
        <v>0</v>
      </c>
      <c r="AS236" s="2">
        <f t="shared" si="36"/>
        <v>0</v>
      </c>
      <c r="AT236" s="25">
        <f t="shared" si="37"/>
        <v>0</v>
      </c>
    </row>
    <row r="237" spans="1:46">
      <c r="A237" s="24">
        <v>46120</v>
      </c>
      <c r="B237" s="23">
        <f t="shared" si="30"/>
        <v>46113</v>
      </c>
      <c r="C237" s="2" t="s">
        <v>55</v>
      </c>
      <c r="D237" s="2" t="s">
        <v>327</v>
      </c>
      <c r="E237" s="2">
        <v>6314</v>
      </c>
      <c r="F237" s="2">
        <v>275</v>
      </c>
      <c r="G237" s="2">
        <f t="shared" si="38"/>
        <v>32</v>
      </c>
      <c r="H237" s="2">
        <f t="shared" si="39"/>
        <v>31</v>
      </c>
      <c r="I237" s="2">
        <v>1</v>
      </c>
      <c r="J237" s="44" t="s">
        <v>48</v>
      </c>
      <c r="K237" s="2" t="s">
        <v>49</v>
      </c>
      <c r="L237" s="2">
        <v>1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/>
      <c r="AM237" s="2" t="s">
        <v>1566</v>
      </c>
      <c r="AN237" s="2">
        <f t="shared" si="31"/>
        <v>1</v>
      </c>
      <c r="AO237" s="2">
        <f t="shared" si="32"/>
        <v>0</v>
      </c>
      <c r="AP237" s="2">
        <f t="shared" si="33"/>
        <v>0</v>
      </c>
      <c r="AQ237" s="2">
        <f t="shared" si="34"/>
        <v>0</v>
      </c>
      <c r="AR237" s="2">
        <f t="shared" si="35"/>
        <v>0</v>
      </c>
      <c r="AS237" s="2">
        <f t="shared" si="36"/>
        <v>0</v>
      </c>
      <c r="AT237" s="25">
        <f t="shared" si="37"/>
        <v>0</v>
      </c>
    </row>
    <row r="238" spans="1:46">
      <c r="A238" s="24">
        <v>46120</v>
      </c>
      <c r="B238" s="23">
        <f t="shared" si="30"/>
        <v>46113</v>
      </c>
      <c r="C238" s="2" t="s">
        <v>55</v>
      </c>
      <c r="D238" s="2" t="s">
        <v>1225</v>
      </c>
      <c r="E238" s="2">
        <v>6314</v>
      </c>
      <c r="F238" s="2">
        <v>55</v>
      </c>
      <c r="G238" s="2">
        <f t="shared" si="38"/>
        <v>20</v>
      </c>
      <c r="H238" s="2">
        <f t="shared" si="39"/>
        <v>19</v>
      </c>
      <c r="I238" s="2">
        <v>1</v>
      </c>
      <c r="J238" s="44" t="s">
        <v>48</v>
      </c>
      <c r="K238" s="2" t="s">
        <v>49</v>
      </c>
      <c r="L238" s="2">
        <v>1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/>
      <c r="AM238" s="2" t="s">
        <v>1566</v>
      </c>
      <c r="AN238" s="2">
        <f t="shared" si="31"/>
        <v>1</v>
      </c>
      <c r="AO238" s="2">
        <f t="shared" si="32"/>
        <v>0</v>
      </c>
      <c r="AP238" s="2">
        <f t="shared" si="33"/>
        <v>0</v>
      </c>
      <c r="AQ238" s="2">
        <f t="shared" si="34"/>
        <v>0</v>
      </c>
      <c r="AR238" s="2">
        <f t="shared" si="35"/>
        <v>0</v>
      </c>
      <c r="AS238" s="2">
        <f t="shared" si="36"/>
        <v>0</v>
      </c>
      <c r="AT238" s="25">
        <f t="shared" si="37"/>
        <v>0</v>
      </c>
    </row>
    <row r="239" spans="1:46">
      <c r="A239" s="24">
        <v>46120</v>
      </c>
      <c r="B239" s="23">
        <f t="shared" si="30"/>
        <v>46113</v>
      </c>
      <c r="C239" s="2" t="s">
        <v>55</v>
      </c>
      <c r="D239" s="2" t="s">
        <v>60</v>
      </c>
      <c r="E239" s="2">
        <v>2593</v>
      </c>
      <c r="F239" s="2">
        <v>105</v>
      </c>
      <c r="G239" s="2">
        <f t="shared" si="38"/>
        <v>20</v>
      </c>
      <c r="H239" s="2">
        <f t="shared" si="39"/>
        <v>20</v>
      </c>
      <c r="I239" s="2">
        <v>0</v>
      </c>
      <c r="J239" s="44" t="s">
        <v>48</v>
      </c>
      <c r="K239" s="2" t="s">
        <v>49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/>
      <c r="AM239" s="2" t="s">
        <v>1566</v>
      </c>
      <c r="AN239" s="2">
        <f t="shared" si="31"/>
        <v>0</v>
      </c>
      <c r="AO239" s="2">
        <f t="shared" si="32"/>
        <v>0</v>
      </c>
      <c r="AP239" s="2">
        <f t="shared" si="33"/>
        <v>0</v>
      </c>
      <c r="AQ239" s="2">
        <f t="shared" si="34"/>
        <v>0</v>
      </c>
      <c r="AR239" s="2">
        <f t="shared" si="35"/>
        <v>0</v>
      </c>
      <c r="AS239" s="2">
        <f t="shared" si="36"/>
        <v>0</v>
      </c>
      <c r="AT239" s="25">
        <f t="shared" si="37"/>
        <v>0</v>
      </c>
    </row>
    <row r="240" spans="1:46">
      <c r="A240" s="24">
        <v>46120</v>
      </c>
      <c r="B240" s="23">
        <f t="shared" si="30"/>
        <v>46113</v>
      </c>
      <c r="C240" s="2" t="s">
        <v>95</v>
      </c>
      <c r="D240" s="2" t="s">
        <v>301</v>
      </c>
      <c r="E240" s="2">
        <v>8080</v>
      </c>
      <c r="F240" s="2">
        <v>169</v>
      </c>
      <c r="G240" s="2">
        <f t="shared" si="38"/>
        <v>32</v>
      </c>
      <c r="H240" s="2">
        <f t="shared" si="39"/>
        <v>30</v>
      </c>
      <c r="I240" s="2">
        <v>2</v>
      </c>
      <c r="J240" s="44" t="s">
        <v>48</v>
      </c>
      <c r="K240" s="2" t="s">
        <v>49</v>
      </c>
      <c r="L240" s="2">
        <v>1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1</v>
      </c>
      <c r="AH240" s="2">
        <v>0</v>
      </c>
      <c r="AI240" s="2">
        <v>0</v>
      </c>
      <c r="AJ240" s="2">
        <v>0</v>
      </c>
      <c r="AK240" s="2">
        <v>0</v>
      </c>
      <c r="AL240" s="2"/>
      <c r="AM240" s="2" t="s">
        <v>1567</v>
      </c>
      <c r="AN240" s="2">
        <f t="shared" si="31"/>
        <v>1</v>
      </c>
      <c r="AO240" s="2">
        <f t="shared" si="32"/>
        <v>0</v>
      </c>
      <c r="AP240" s="2">
        <f t="shared" si="33"/>
        <v>0</v>
      </c>
      <c r="AQ240" s="2">
        <f t="shared" si="34"/>
        <v>0</v>
      </c>
      <c r="AR240" s="2">
        <f t="shared" si="35"/>
        <v>0</v>
      </c>
      <c r="AS240" s="2">
        <f t="shared" si="36"/>
        <v>1</v>
      </c>
      <c r="AT240" s="25">
        <f t="shared" si="37"/>
        <v>0</v>
      </c>
    </row>
    <row r="241" spans="1:46">
      <c r="A241" s="24">
        <v>46120</v>
      </c>
      <c r="B241" s="23">
        <f t="shared" si="30"/>
        <v>46113</v>
      </c>
      <c r="C241" s="2" t="s">
        <v>95</v>
      </c>
      <c r="D241" s="2" t="s">
        <v>1228</v>
      </c>
      <c r="E241" s="2">
        <v>3322</v>
      </c>
      <c r="F241" s="2">
        <v>130</v>
      </c>
      <c r="G241" s="2">
        <f t="shared" si="38"/>
        <v>20</v>
      </c>
      <c r="H241" s="2">
        <f t="shared" si="39"/>
        <v>19</v>
      </c>
      <c r="I241" s="2">
        <v>1</v>
      </c>
      <c r="J241" s="44" t="s">
        <v>48</v>
      </c>
      <c r="K241" s="2" t="s">
        <v>49</v>
      </c>
      <c r="L241" s="2">
        <v>1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/>
      <c r="AM241" s="2" t="s">
        <v>1567</v>
      </c>
      <c r="AN241" s="2">
        <f t="shared" si="31"/>
        <v>1</v>
      </c>
      <c r="AO241" s="2">
        <f t="shared" si="32"/>
        <v>0</v>
      </c>
      <c r="AP241" s="2">
        <f t="shared" si="33"/>
        <v>0</v>
      </c>
      <c r="AQ241" s="2">
        <f t="shared" si="34"/>
        <v>0</v>
      </c>
      <c r="AR241" s="2">
        <f t="shared" si="35"/>
        <v>0</v>
      </c>
      <c r="AS241" s="2">
        <f t="shared" si="36"/>
        <v>0</v>
      </c>
      <c r="AT241" s="25">
        <f t="shared" si="37"/>
        <v>0</v>
      </c>
    </row>
    <row r="242" spans="1:46">
      <c r="A242" s="24">
        <v>46120</v>
      </c>
      <c r="B242" s="23">
        <f t="shared" si="30"/>
        <v>46113</v>
      </c>
      <c r="C242" s="2" t="s">
        <v>46</v>
      </c>
      <c r="D242" s="2" t="s">
        <v>199</v>
      </c>
      <c r="E242" s="2">
        <v>1825</v>
      </c>
      <c r="F242" s="2">
        <v>475</v>
      </c>
      <c r="G242" s="2">
        <f t="shared" si="38"/>
        <v>50</v>
      </c>
      <c r="H242" s="2">
        <f t="shared" si="39"/>
        <v>49</v>
      </c>
      <c r="I242" s="2">
        <v>1</v>
      </c>
      <c r="J242" s="44" t="s">
        <v>48</v>
      </c>
      <c r="K242" s="2" t="s">
        <v>49</v>
      </c>
      <c r="L242" s="2">
        <v>1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/>
      <c r="AM242" s="2" t="s">
        <v>1567</v>
      </c>
      <c r="AN242" s="2">
        <f t="shared" si="31"/>
        <v>1</v>
      </c>
      <c r="AO242" s="2">
        <f t="shared" si="32"/>
        <v>0</v>
      </c>
      <c r="AP242" s="2">
        <f t="shared" si="33"/>
        <v>0</v>
      </c>
      <c r="AQ242" s="2">
        <f t="shared" si="34"/>
        <v>0</v>
      </c>
      <c r="AR242" s="2">
        <f t="shared" si="35"/>
        <v>0</v>
      </c>
      <c r="AS242" s="2">
        <f t="shared" si="36"/>
        <v>0</v>
      </c>
      <c r="AT242" s="25">
        <f t="shared" si="37"/>
        <v>0</v>
      </c>
    </row>
    <row r="243" spans="1:46">
      <c r="A243" s="24">
        <v>46120</v>
      </c>
      <c r="B243" s="23">
        <f t="shared" si="30"/>
        <v>46113</v>
      </c>
      <c r="C243" s="2" t="s">
        <v>95</v>
      </c>
      <c r="D243" s="2" t="s">
        <v>74</v>
      </c>
      <c r="E243" s="2">
        <v>7144</v>
      </c>
      <c r="F243" s="2">
        <v>59</v>
      </c>
      <c r="G243" s="2">
        <f t="shared" si="38"/>
        <v>20</v>
      </c>
      <c r="H243" s="2">
        <f t="shared" si="39"/>
        <v>18</v>
      </c>
      <c r="I243" s="2">
        <v>2</v>
      </c>
      <c r="J243" s="44" t="s">
        <v>67</v>
      </c>
      <c r="K243" s="2" t="s">
        <v>49</v>
      </c>
      <c r="L243" s="2">
        <v>2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/>
      <c r="AM243" s="2" t="s">
        <v>1567</v>
      </c>
      <c r="AN243" s="2">
        <f t="shared" si="31"/>
        <v>2</v>
      </c>
      <c r="AO243" s="2">
        <f t="shared" si="32"/>
        <v>0</v>
      </c>
      <c r="AP243" s="2">
        <f t="shared" si="33"/>
        <v>0</v>
      </c>
      <c r="AQ243" s="2">
        <f t="shared" si="34"/>
        <v>0</v>
      </c>
      <c r="AR243" s="2">
        <f t="shared" si="35"/>
        <v>0</v>
      </c>
      <c r="AS243" s="2">
        <f t="shared" si="36"/>
        <v>0</v>
      </c>
      <c r="AT243" s="25">
        <f t="shared" si="37"/>
        <v>0</v>
      </c>
    </row>
    <row r="244" spans="1:46">
      <c r="A244" s="24">
        <v>46120</v>
      </c>
      <c r="B244" s="23">
        <f t="shared" si="30"/>
        <v>46113</v>
      </c>
      <c r="C244" s="2" t="s">
        <v>46</v>
      </c>
      <c r="D244" s="2" t="s">
        <v>105</v>
      </c>
      <c r="E244" s="2">
        <v>3291</v>
      </c>
      <c r="F244" s="2">
        <v>252</v>
      </c>
      <c r="G244" s="2">
        <f t="shared" si="38"/>
        <v>32</v>
      </c>
      <c r="H244" s="2">
        <f t="shared" si="39"/>
        <v>30</v>
      </c>
      <c r="I244" s="2">
        <v>2</v>
      </c>
      <c r="J244" s="44" t="s">
        <v>48</v>
      </c>
      <c r="K244" s="2" t="s">
        <v>49</v>
      </c>
      <c r="L244" s="2">
        <v>2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/>
      <c r="AM244" s="2" t="s">
        <v>1567</v>
      </c>
      <c r="AN244" s="2">
        <f t="shared" si="31"/>
        <v>2</v>
      </c>
      <c r="AO244" s="2">
        <f t="shared" si="32"/>
        <v>0</v>
      </c>
      <c r="AP244" s="2">
        <f t="shared" si="33"/>
        <v>0</v>
      </c>
      <c r="AQ244" s="2">
        <f t="shared" si="34"/>
        <v>0</v>
      </c>
      <c r="AR244" s="2">
        <f t="shared" si="35"/>
        <v>0</v>
      </c>
      <c r="AS244" s="2">
        <f t="shared" si="36"/>
        <v>0</v>
      </c>
      <c r="AT244" s="25">
        <f t="shared" si="37"/>
        <v>0</v>
      </c>
    </row>
    <row r="245" spans="1:46">
      <c r="A245" s="24">
        <v>46120</v>
      </c>
      <c r="B245" s="23">
        <f t="shared" si="30"/>
        <v>46113</v>
      </c>
      <c r="C245" s="2" t="s">
        <v>95</v>
      </c>
      <c r="D245" s="2" t="s">
        <v>250</v>
      </c>
      <c r="E245" s="2">
        <v>1865</v>
      </c>
      <c r="F245" s="2">
        <v>54</v>
      </c>
      <c r="G245" s="2">
        <f t="shared" si="38"/>
        <v>20</v>
      </c>
      <c r="H245" s="2">
        <f t="shared" si="39"/>
        <v>20</v>
      </c>
      <c r="I245" s="2">
        <v>0</v>
      </c>
      <c r="J245" s="44" t="s">
        <v>48</v>
      </c>
      <c r="K245" s="2" t="s">
        <v>49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/>
      <c r="AM245" s="2" t="s">
        <v>1567</v>
      </c>
      <c r="AN245" s="2">
        <f t="shared" si="31"/>
        <v>0</v>
      </c>
      <c r="AO245" s="2">
        <f t="shared" si="32"/>
        <v>0</v>
      </c>
      <c r="AP245" s="2">
        <f t="shared" si="33"/>
        <v>0</v>
      </c>
      <c r="AQ245" s="2">
        <f t="shared" si="34"/>
        <v>0</v>
      </c>
      <c r="AR245" s="2">
        <f t="shared" si="35"/>
        <v>0</v>
      </c>
      <c r="AS245" s="2">
        <f t="shared" si="36"/>
        <v>0</v>
      </c>
      <c r="AT245" s="25">
        <f t="shared" si="37"/>
        <v>0</v>
      </c>
    </row>
    <row r="246" spans="1:46">
      <c r="A246" s="24">
        <v>46120</v>
      </c>
      <c r="B246" s="23">
        <f t="shared" si="30"/>
        <v>46113</v>
      </c>
      <c r="C246" s="2" t="s">
        <v>46</v>
      </c>
      <c r="D246" s="2" t="s">
        <v>71</v>
      </c>
      <c r="E246" s="2">
        <v>1825</v>
      </c>
      <c r="F246" s="2">
        <v>102</v>
      </c>
      <c r="G246" s="2">
        <f t="shared" si="38"/>
        <v>20</v>
      </c>
      <c r="H246" s="2">
        <f t="shared" si="39"/>
        <v>18</v>
      </c>
      <c r="I246" s="2">
        <v>2</v>
      </c>
      <c r="J246" s="44" t="s">
        <v>67</v>
      </c>
      <c r="K246" s="2" t="s">
        <v>49</v>
      </c>
      <c r="L246" s="2">
        <v>1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1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/>
      <c r="AM246" s="2" t="s">
        <v>1567</v>
      </c>
      <c r="AN246" s="2">
        <f t="shared" si="31"/>
        <v>1</v>
      </c>
      <c r="AO246" s="2">
        <f t="shared" si="32"/>
        <v>0</v>
      </c>
      <c r="AP246" s="2">
        <f t="shared" si="33"/>
        <v>1</v>
      </c>
      <c r="AQ246" s="2">
        <f t="shared" si="34"/>
        <v>0</v>
      </c>
      <c r="AR246" s="2">
        <f t="shared" si="35"/>
        <v>0</v>
      </c>
      <c r="AS246" s="2">
        <f t="shared" si="36"/>
        <v>0</v>
      </c>
      <c r="AT246" s="25">
        <f t="shared" si="37"/>
        <v>0</v>
      </c>
    </row>
    <row r="247" spans="1:46">
      <c r="A247" s="24">
        <v>46120</v>
      </c>
      <c r="B247" s="23">
        <f t="shared" si="30"/>
        <v>46113</v>
      </c>
      <c r="C247" s="2" t="s">
        <v>46</v>
      </c>
      <c r="D247" s="2" t="s">
        <v>87</v>
      </c>
      <c r="E247" s="2">
        <v>1825</v>
      </c>
      <c r="F247" s="2">
        <v>264</v>
      </c>
      <c r="G247" s="2">
        <f t="shared" si="38"/>
        <v>32</v>
      </c>
      <c r="H247" s="2">
        <f t="shared" si="39"/>
        <v>32</v>
      </c>
      <c r="I247" s="2">
        <v>0</v>
      </c>
      <c r="J247" s="44" t="s">
        <v>48</v>
      </c>
      <c r="K247" s="2" t="s">
        <v>49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/>
      <c r="AM247" s="2" t="s">
        <v>1567</v>
      </c>
      <c r="AN247" s="2">
        <f t="shared" si="31"/>
        <v>0</v>
      </c>
      <c r="AO247" s="2">
        <f t="shared" si="32"/>
        <v>0</v>
      </c>
      <c r="AP247" s="2">
        <f t="shared" si="33"/>
        <v>0</v>
      </c>
      <c r="AQ247" s="2">
        <f t="shared" si="34"/>
        <v>0</v>
      </c>
      <c r="AR247" s="2">
        <f t="shared" si="35"/>
        <v>0</v>
      </c>
      <c r="AS247" s="2">
        <f t="shared" si="36"/>
        <v>0</v>
      </c>
      <c r="AT247" s="25">
        <f t="shared" si="37"/>
        <v>0</v>
      </c>
    </row>
    <row r="248" spans="1:46">
      <c r="A248" s="24">
        <v>46120</v>
      </c>
      <c r="B248" s="23">
        <f t="shared" si="30"/>
        <v>46113</v>
      </c>
      <c r="C248" s="2" t="s">
        <v>95</v>
      </c>
      <c r="D248" s="2" t="s">
        <v>150</v>
      </c>
      <c r="E248" s="2">
        <v>1584</v>
      </c>
      <c r="F248" s="2">
        <v>150</v>
      </c>
      <c r="G248" s="2">
        <f t="shared" si="38"/>
        <v>20</v>
      </c>
      <c r="H248" s="2">
        <f t="shared" si="39"/>
        <v>20</v>
      </c>
      <c r="I248" s="2">
        <v>0</v>
      </c>
      <c r="J248" s="44" t="s">
        <v>48</v>
      </c>
      <c r="K248" s="2" t="s">
        <v>49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/>
      <c r="AM248" s="2" t="s">
        <v>1567</v>
      </c>
      <c r="AN248" s="2">
        <f t="shared" si="31"/>
        <v>0</v>
      </c>
      <c r="AO248" s="2">
        <f t="shared" si="32"/>
        <v>0</v>
      </c>
      <c r="AP248" s="2">
        <f t="shared" si="33"/>
        <v>0</v>
      </c>
      <c r="AQ248" s="2">
        <f t="shared" si="34"/>
        <v>0</v>
      </c>
      <c r="AR248" s="2">
        <f t="shared" si="35"/>
        <v>0</v>
      </c>
      <c r="AS248" s="2">
        <f t="shared" si="36"/>
        <v>0</v>
      </c>
      <c r="AT248" s="25">
        <f t="shared" si="37"/>
        <v>0</v>
      </c>
    </row>
    <row r="249" spans="1:46">
      <c r="A249" s="24">
        <v>46120</v>
      </c>
      <c r="B249" s="23">
        <f t="shared" si="30"/>
        <v>46113</v>
      </c>
      <c r="C249" s="2" t="s">
        <v>46</v>
      </c>
      <c r="D249" s="2" t="s">
        <v>71</v>
      </c>
      <c r="E249" s="2">
        <v>1825</v>
      </c>
      <c r="F249" s="2">
        <v>99</v>
      </c>
      <c r="G249" s="2">
        <f t="shared" si="38"/>
        <v>20</v>
      </c>
      <c r="H249" s="2">
        <f t="shared" si="39"/>
        <v>20</v>
      </c>
      <c r="I249" s="2">
        <v>0</v>
      </c>
      <c r="J249" s="44" t="s">
        <v>48</v>
      </c>
      <c r="K249" s="2" t="s">
        <v>49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/>
      <c r="AM249" s="2" t="s">
        <v>1567</v>
      </c>
      <c r="AN249" s="2">
        <f t="shared" si="31"/>
        <v>0</v>
      </c>
      <c r="AO249" s="2">
        <f t="shared" si="32"/>
        <v>0</v>
      </c>
      <c r="AP249" s="2">
        <f t="shared" si="33"/>
        <v>0</v>
      </c>
      <c r="AQ249" s="2">
        <f t="shared" si="34"/>
        <v>0</v>
      </c>
      <c r="AR249" s="2">
        <f t="shared" si="35"/>
        <v>0</v>
      </c>
      <c r="AS249" s="2">
        <f t="shared" si="36"/>
        <v>0</v>
      </c>
      <c r="AT249" s="25">
        <f t="shared" si="37"/>
        <v>0</v>
      </c>
    </row>
    <row r="250" spans="1:46">
      <c r="A250" s="24">
        <v>46120</v>
      </c>
      <c r="B250" s="23">
        <f t="shared" si="30"/>
        <v>46113</v>
      </c>
      <c r="C250" s="2" t="s">
        <v>46</v>
      </c>
      <c r="D250" s="2" t="s">
        <v>264</v>
      </c>
      <c r="E250" s="2">
        <v>1713</v>
      </c>
      <c r="F250" s="2">
        <v>245</v>
      </c>
      <c r="G250" s="2">
        <f t="shared" si="38"/>
        <v>32</v>
      </c>
      <c r="H250" s="2">
        <f t="shared" si="39"/>
        <v>32</v>
      </c>
      <c r="I250" s="2">
        <v>0</v>
      </c>
      <c r="J250" s="44" t="s">
        <v>48</v>
      </c>
      <c r="K250" s="2" t="s">
        <v>49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/>
      <c r="AM250" s="2" t="s">
        <v>1567</v>
      </c>
      <c r="AN250" s="2">
        <f t="shared" si="31"/>
        <v>0</v>
      </c>
      <c r="AO250" s="2">
        <f t="shared" si="32"/>
        <v>0</v>
      </c>
      <c r="AP250" s="2">
        <f t="shared" si="33"/>
        <v>0</v>
      </c>
      <c r="AQ250" s="2">
        <f t="shared" si="34"/>
        <v>0</v>
      </c>
      <c r="AR250" s="2">
        <f t="shared" si="35"/>
        <v>0</v>
      </c>
      <c r="AS250" s="2">
        <f t="shared" si="36"/>
        <v>0</v>
      </c>
      <c r="AT250" s="25">
        <f t="shared" si="37"/>
        <v>0</v>
      </c>
    </row>
    <row r="251" spans="1:46">
      <c r="A251" s="24">
        <v>46120</v>
      </c>
      <c r="B251" s="23">
        <f t="shared" si="30"/>
        <v>46113</v>
      </c>
      <c r="C251" s="2" t="s">
        <v>95</v>
      </c>
      <c r="D251" s="2" t="s">
        <v>74</v>
      </c>
      <c r="E251" s="2">
        <v>7144</v>
      </c>
      <c r="F251" s="2">
        <v>56</v>
      </c>
      <c r="G251" s="2">
        <f t="shared" si="38"/>
        <v>20</v>
      </c>
      <c r="H251" s="2">
        <f t="shared" si="39"/>
        <v>20</v>
      </c>
      <c r="I251" s="2">
        <v>0</v>
      </c>
      <c r="J251" s="44" t="s">
        <v>48</v>
      </c>
      <c r="K251" s="2" t="s">
        <v>49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/>
      <c r="AM251" s="2" t="s">
        <v>1567</v>
      </c>
      <c r="AN251" s="2">
        <f t="shared" si="31"/>
        <v>0</v>
      </c>
      <c r="AO251" s="2">
        <f t="shared" si="32"/>
        <v>0</v>
      </c>
      <c r="AP251" s="2">
        <f t="shared" si="33"/>
        <v>0</v>
      </c>
      <c r="AQ251" s="2">
        <f t="shared" si="34"/>
        <v>0</v>
      </c>
      <c r="AR251" s="2">
        <f t="shared" si="35"/>
        <v>0</v>
      </c>
      <c r="AS251" s="2">
        <f t="shared" si="36"/>
        <v>0</v>
      </c>
      <c r="AT251" s="25">
        <f t="shared" si="37"/>
        <v>0</v>
      </c>
    </row>
    <row r="252" spans="1:46">
      <c r="A252" s="24">
        <v>46120</v>
      </c>
      <c r="B252" s="23">
        <f t="shared" si="30"/>
        <v>46113</v>
      </c>
      <c r="C252" s="2" t="s">
        <v>46</v>
      </c>
      <c r="D252" s="2" t="s">
        <v>51</v>
      </c>
      <c r="E252" s="2">
        <v>6221</v>
      </c>
      <c r="F252" s="2">
        <v>140</v>
      </c>
      <c r="G252" s="2">
        <f t="shared" si="38"/>
        <v>20</v>
      </c>
      <c r="H252" s="2">
        <f t="shared" si="39"/>
        <v>20</v>
      </c>
      <c r="I252" s="2">
        <v>0</v>
      </c>
      <c r="J252" s="44" t="s">
        <v>48</v>
      </c>
      <c r="K252" s="2" t="s">
        <v>49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/>
      <c r="AM252" s="2" t="s">
        <v>1567</v>
      </c>
      <c r="AN252" s="2">
        <f t="shared" si="31"/>
        <v>0</v>
      </c>
      <c r="AO252" s="2">
        <f t="shared" si="32"/>
        <v>0</v>
      </c>
      <c r="AP252" s="2">
        <f t="shared" si="33"/>
        <v>0</v>
      </c>
      <c r="AQ252" s="2">
        <f t="shared" si="34"/>
        <v>0</v>
      </c>
      <c r="AR252" s="2">
        <f t="shared" si="35"/>
        <v>0</v>
      </c>
      <c r="AS252" s="2">
        <f t="shared" si="36"/>
        <v>0</v>
      </c>
      <c r="AT252" s="25">
        <f t="shared" si="37"/>
        <v>0</v>
      </c>
    </row>
    <row r="253" spans="1:46">
      <c r="A253" s="24">
        <v>46120</v>
      </c>
      <c r="B253" s="23">
        <f t="shared" si="30"/>
        <v>46113</v>
      </c>
      <c r="C253" s="2" t="s">
        <v>95</v>
      </c>
      <c r="D253" s="2" t="s">
        <v>298</v>
      </c>
      <c r="E253" s="2">
        <v>3300</v>
      </c>
      <c r="F253" s="2">
        <v>60</v>
      </c>
      <c r="G253" s="2">
        <f t="shared" si="38"/>
        <v>20</v>
      </c>
      <c r="H253" s="2">
        <f t="shared" si="39"/>
        <v>19</v>
      </c>
      <c r="I253" s="2">
        <v>1</v>
      </c>
      <c r="J253" s="44" t="s">
        <v>48</v>
      </c>
      <c r="K253" s="2" t="s">
        <v>49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1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/>
      <c r="AM253" s="2" t="s">
        <v>1567</v>
      </c>
      <c r="AN253" s="2">
        <f t="shared" si="31"/>
        <v>0</v>
      </c>
      <c r="AO253" s="2">
        <f t="shared" si="32"/>
        <v>1</v>
      </c>
      <c r="AP253" s="2">
        <f t="shared" si="33"/>
        <v>0</v>
      </c>
      <c r="AQ253" s="2">
        <f t="shared" si="34"/>
        <v>0</v>
      </c>
      <c r="AR253" s="2">
        <f t="shared" si="35"/>
        <v>0</v>
      </c>
      <c r="AS253" s="2">
        <f t="shared" si="36"/>
        <v>0</v>
      </c>
      <c r="AT253" s="25">
        <f t="shared" si="37"/>
        <v>0</v>
      </c>
    </row>
    <row r="254" spans="1:46">
      <c r="A254" s="24">
        <v>46120</v>
      </c>
      <c r="B254" s="23">
        <f t="shared" si="30"/>
        <v>46113</v>
      </c>
      <c r="C254" s="2" t="s">
        <v>46</v>
      </c>
      <c r="D254" s="2" t="s">
        <v>71</v>
      </c>
      <c r="E254" s="2">
        <v>1825</v>
      </c>
      <c r="F254" s="2">
        <v>99</v>
      </c>
      <c r="G254" s="2">
        <f t="shared" si="38"/>
        <v>20</v>
      </c>
      <c r="H254" s="2">
        <f t="shared" si="39"/>
        <v>20</v>
      </c>
      <c r="I254" s="2">
        <v>0</v>
      </c>
      <c r="J254" s="44" t="s">
        <v>48</v>
      </c>
      <c r="K254" s="2" t="s">
        <v>49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/>
      <c r="AM254" s="2" t="s">
        <v>1567</v>
      </c>
      <c r="AN254" s="2">
        <f t="shared" si="31"/>
        <v>0</v>
      </c>
      <c r="AO254" s="2">
        <f t="shared" si="32"/>
        <v>0</v>
      </c>
      <c r="AP254" s="2">
        <f t="shared" si="33"/>
        <v>0</v>
      </c>
      <c r="AQ254" s="2">
        <f t="shared" si="34"/>
        <v>0</v>
      </c>
      <c r="AR254" s="2">
        <f t="shared" si="35"/>
        <v>0</v>
      </c>
      <c r="AS254" s="2">
        <f t="shared" si="36"/>
        <v>0</v>
      </c>
      <c r="AT254" s="25">
        <f t="shared" si="37"/>
        <v>0</v>
      </c>
    </row>
    <row r="255" spans="1:46">
      <c r="A255" s="24">
        <v>46120</v>
      </c>
      <c r="B255" s="23">
        <f t="shared" si="30"/>
        <v>46113</v>
      </c>
      <c r="C255" s="2" t="s">
        <v>46</v>
      </c>
      <c r="D255" s="2" t="s">
        <v>1303</v>
      </c>
      <c r="E255" s="2">
        <v>6307</v>
      </c>
      <c r="F255" s="2">
        <v>236</v>
      </c>
      <c r="G255" s="2">
        <f t="shared" si="38"/>
        <v>32</v>
      </c>
      <c r="H255" s="2">
        <f t="shared" si="39"/>
        <v>31</v>
      </c>
      <c r="I255" s="2">
        <v>1</v>
      </c>
      <c r="J255" s="44" t="s">
        <v>48</v>
      </c>
      <c r="K255" s="2" t="s">
        <v>49</v>
      </c>
      <c r="L255" s="2">
        <v>1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/>
      <c r="AM255" s="2" t="s">
        <v>1567</v>
      </c>
      <c r="AN255" s="2">
        <f t="shared" si="31"/>
        <v>1</v>
      </c>
      <c r="AO255" s="2">
        <f t="shared" si="32"/>
        <v>0</v>
      </c>
      <c r="AP255" s="2">
        <f t="shared" si="33"/>
        <v>0</v>
      </c>
      <c r="AQ255" s="2">
        <f t="shared" si="34"/>
        <v>0</v>
      </c>
      <c r="AR255" s="2">
        <f t="shared" si="35"/>
        <v>0</v>
      </c>
      <c r="AS255" s="2">
        <f t="shared" si="36"/>
        <v>0</v>
      </c>
      <c r="AT255" s="25">
        <f t="shared" si="37"/>
        <v>0</v>
      </c>
    </row>
    <row r="256" spans="1:46">
      <c r="A256" s="24">
        <v>46120</v>
      </c>
      <c r="B256" s="23">
        <f t="shared" si="30"/>
        <v>46113</v>
      </c>
      <c r="C256" s="2" t="s">
        <v>46</v>
      </c>
      <c r="D256" s="2" t="s">
        <v>290</v>
      </c>
      <c r="E256" s="2">
        <v>2572</v>
      </c>
      <c r="F256" s="2">
        <v>225</v>
      </c>
      <c r="G256" s="2">
        <f t="shared" si="38"/>
        <v>32</v>
      </c>
      <c r="H256" s="2">
        <f t="shared" si="39"/>
        <v>31</v>
      </c>
      <c r="I256" s="2">
        <v>1</v>
      </c>
      <c r="J256" s="44" t="s">
        <v>48</v>
      </c>
      <c r="K256" s="2" t="s">
        <v>49</v>
      </c>
      <c r="L256" s="2">
        <v>1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/>
      <c r="AM256" s="2" t="s">
        <v>1567</v>
      </c>
      <c r="AN256" s="2">
        <f t="shared" si="31"/>
        <v>1</v>
      </c>
      <c r="AO256" s="2">
        <f t="shared" si="32"/>
        <v>0</v>
      </c>
      <c r="AP256" s="2">
        <f t="shared" si="33"/>
        <v>0</v>
      </c>
      <c r="AQ256" s="2">
        <f t="shared" si="34"/>
        <v>0</v>
      </c>
      <c r="AR256" s="2">
        <f t="shared" si="35"/>
        <v>0</v>
      </c>
      <c r="AS256" s="2">
        <f t="shared" si="36"/>
        <v>0</v>
      </c>
      <c r="AT256" s="25">
        <f t="shared" si="37"/>
        <v>0</v>
      </c>
    </row>
    <row r="257" spans="1:46">
      <c r="A257" s="24">
        <v>46120</v>
      </c>
      <c r="B257" s="23">
        <f t="shared" si="30"/>
        <v>46113</v>
      </c>
      <c r="C257" s="2" t="s">
        <v>46</v>
      </c>
      <c r="D257" s="2" t="s">
        <v>1224</v>
      </c>
      <c r="E257" s="2">
        <v>6277</v>
      </c>
      <c r="F257" s="2">
        <v>77</v>
      </c>
      <c r="G257" s="2">
        <f t="shared" si="38"/>
        <v>20</v>
      </c>
      <c r="H257" s="2">
        <f t="shared" si="39"/>
        <v>19</v>
      </c>
      <c r="I257" s="2">
        <v>1</v>
      </c>
      <c r="J257" s="44" t="s">
        <v>48</v>
      </c>
      <c r="K257" s="2" t="s">
        <v>49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1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/>
      <c r="AM257" s="2" t="s">
        <v>1567</v>
      </c>
      <c r="AN257" s="2">
        <f t="shared" si="31"/>
        <v>0</v>
      </c>
      <c r="AO257" s="2">
        <f t="shared" si="32"/>
        <v>1</v>
      </c>
      <c r="AP257" s="2">
        <f t="shared" si="33"/>
        <v>0</v>
      </c>
      <c r="AQ257" s="2">
        <f t="shared" si="34"/>
        <v>0</v>
      </c>
      <c r="AR257" s="2">
        <f t="shared" si="35"/>
        <v>0</v>
      </c>
      <c r="AS257" s="2">
        <f t="shared" si="36"/>
        <v>0</v>
      </c>
      <c r="AT257" s="25">
        <f t="shared" si="37"/>
        <v>0</v>
      </c>
    </row>
    <row r="258" spans="1:46">
      <c r="A258" s="24">
        <v>46121</v>
      </c>
      <c r="B258" s="23">
        <f t="shared" ref="B258:B321" si="40">EOMONTH(A258,-1)+1</f>
        <v>46113</v>
      </c>
      <c r="C258" s="2" t="s">
        <v>114</v>
      </c>
      <c r="D258" s="2" t="s">
        <v>119</v>
      </c>
      <c r="E258" s="2">
        <v>3308</v>
      </c>
      <c r="F258" s="2">
        <v>97</v>
      </c>
      <c r="G258" s="2">
        <f t="shared" si="38"/>
        <v>20</v>
      </c>
      <c r="H258" s="2">
        <f t="shared" si="39"/>
        <v>20</v>
      </c>
      <c r="I258" s="2">
        <v>0</v>
      </c>
      <c r="J258" s="44" t="s">
        <v>48</v>
      </c>
      <c r="K258" s="2" t="s">
        <v>49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/>
      <c r="AM258" s="2" t="s">
        <v>103</v>
      </c>
      <c r="AN258" s="2">
        <f t="shared" ref="AN258:AN321" si="41">+L258+AI258</f>
        <v>0</v>
      </c>
      <c r="AO258" s="2">
        <f t="shared" ref="AO258:AO321" si="42">+M258+N258+O258+P258+Q258+R258+S258+T258+U258+V258</f>
        <v>0</v>
      </c>
      <c r="AP258" s="2">
        <f t="shared" ref="AP258:AP321" si="43">+AE258+AF258</f>
        <v>0</v>
      </c>
      <c r="AQ258" s="2">
        <f t="shared" ref="AQ258:AQ321" si="44">+AK258+AD258+AC258+AJ258</f>
        <v>0</v>
      </c>
      <c r="AR258" s="2">
        <f t="shared" ref="AR258:AR321" si="45">+W258+X258+Y258+Z258+AA258+AB258</f>
        <v>0</v>
      </c>
      <c r="AS258" s="2">
        <f t="shared" ref="AS258:AS321" si="46">+AG258</f>
        <v>0</v>
      </c>
      <c r="AT258" s="25">
        <f t="shared" ref="AT258:AT321" si="47">+AH258</f>
        <v>0</v>
      </c>
    </row>
    <row r="259" spans="1:46">
      <c r="A259" s="24">
        <v>46121</v>
      </c>
      <c r="B259" s="23">
        <f t="shared" si="40"/>
        <v>46113</v>
      </c>
      <c r="C259" s="2" t="s">
        <v>114</v>
      </c>
      <c r="D259" s="2" t="s">
        <v>220</v>
      </c>
      <c r="E259" s="2">
        <v>6109</v>
      </c>
      <c r="F259" s="2">
        <v>198</v>
      </c>
      <c r="G259" s="2">
        <f t="shared" ref="G259:G322" si="48">IF(F259&lt;1001,IF(F259&gt;500,80,IF(F259&gt;280,50,IF(F259&gt;150,32,IF(F259&lt;51,F259,20)))),125)</f>
        <v>32</v>
      </c>
      <c r="H259" s="2">
        <f t="shared" ref="H259:H322" si="49">G259-I259</f>
        <v>27</v>
      </c>
      <c r="I259" s="2">
        <v>5</v>
      </c>
      <c r="J259" s="44" t="s">
        <v>67</v>
      </c>
      <c r="K259" s="2" t="s">
        <v>49</v>
      </c>
      <c r="L259" s="2">
        <v>4</v>
      </c>
      <c r="M259" s="2">
        <v>0</v>
      </c>
      <c r="N259" s="2">
        <v>1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/>
      <c r="AM259" s="2" t="s">
        <v>103</v>
      </c>
      <c r="AN259" s="2">
        <f t="shared" si="41"/>
        <v>4</v>
      </c>
      <c r="AO259" s="2">
        <f t="shared" si="42"/>
        <v>1</v>
      </c>
      <c r="AP259" s="2">
        <f t="shared" si="43"/>
        <v>0</v>
      </c>
      <c r="AQ259" s="2">
        <f t="shared" si="44"/>
        <v>0</v>
      </c>
      <c r="AR259" s="2">
        <f t="shared" si="45"/>
        <v>0</v>
      </c>
      <c r="AS259" s="2">
        <f t="shared" si="46"/>
        <v>0</v>
      </c>
      <c r="AT259" s="25">
        <f t="shared" si="47"/>
        <v>0</v>
      </c>
    </row>
    <row r="260" spans="1:46">
      <c r="A260" s="24">
        <v>46121</v>
      </c>
      <c r="B260" s="23">
        <f t="shared" si="40"/>
        <v>46113</v>
      </c>
      <c r="C260" s="2" t="s">
        <v>72</v>
      </c>
      <c r="D260" s="2" t="s">
        <v>288</v>
      </c>
      <c r="E260" s="2">
        <v>1639</v>
      </c>
      <c r="F260" s="2">
        <v>420</v>
      </c>
      <c r="G260" s="2">
        <f t="shared" si="48"/>
        <v>50</v>
      </c>
      <c r="H260" s="2">
        <f t="shared" si="49"/>
        <v>50</v>
      </c>
      <c r="I260" s="2">
        <v>0</v>
      </c>
      <c r="J260" s="44" t="s">
        <v>48</v>
      </c>
      <c r="K260" s="2" t="s">
        <v>49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/>
      <c r="AM260" s="2" t="s">
        <v>103</v>
      </c>
      <c r="AN260" s="2">
        <f t="shared" si="41"/>
        <v>0</v>
      </c>
      <c r="AO260" s="2">
        <f t="shared" si="42"/>
        <v>0</v>
      </c>
      <c r="AP260" s="2">
        <f t="shared" si="43"/>
        <v>0</v>
      </c>
      <c r="AQ260" s="2">
        <f t="shared" si="44"/>
        <v>0</v>
      </c>
      <c r="AR260" s="2">
        <f t="shared" si="45"/>
        <v>0</v>
      </c>
      <c r="AS260" s="2">
        <f t="shared" si="46"/>
        <v>0</v>
      </c>
      <c r="AT260" s="25">
        <f t="shared" si="47"/>
        <v>0</v>
      </c>
    </row>
    <row r="261" spans="1:46">
      <c r="A261" s="24">
        <v>46121</v>
      </c>
      <c r="B261" s="23">
        <f t="shared" si="40"/>
        <v>46113</v>
      </c>
      <c r="C261" s="2" t="s">
        <v>72</v>
      </c>
      <c r="D261" s="2" t="s">
        <v>182</v>
      </c>
      <c r="E261" s="2">
        <v>8107</v>
      </c>
      <c r="F261" s="2">
        <v>122</v>
      </c>
      <c r="G261" s="2">
        <f t="shared" si="48"/>
        <v>20</v>
      </c>
      <c r="H261" s="2">
        <f t="shared" si="49"/>
        <v>19</v>
      </c>
      <c r="I261" s="2">
        <v>1</v>
      </c>
      <c r="J261" s="44" t="s">
        <v>48</v>
      </c>
      <c r="K261" s="2" t="s">
        <v>49</v>
      </c>
      <c r="L261" s="2">
        <v>1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/>
      <c r="AM261" s="2" t="s">
        <v>103</v>
      </c>
      <c r="AN261" s="2">
        <f t="shared" si="41"/>
        <v>1</v>
      </c>
      <c r="AO261" s="2">
        <f t="shared" si="42"/>
        <v>0</v>
      </c>
      <c r="AP261" s="2">
        <f t="shared" si="43"/>
        <v>0</v>
      </c>
      <c r="AQ261" s="2">
        <f t="shared" si="44"/>
        <v>0</v>
      </c>
      <c r="AR261" s="2">
        <f t="shared" si="45"/>
        <v>0</v>
      </c>
      <c r="AS261" s="2">
        <f t="shared" si="46"/>
        <v>0</v>
      </c>
      <c r="AT261" s="25">
        <f t="shared" si="47"/>
        <v>0</v>
      </c>
    </row>
    <row r="262" spans="1:46">
      <c r="A262" s="24">
        <v>46121</v>
      </c>
      <c r="B262" s="23">
        <f t="shared" si="40"/>
        <v>46113</v>
      </c>
      <c r="C262" s="2" t="s">
        <v>72</v>
      </c>
      <c r="D262" s="2" t="s">
        <v>88</v>
      </c>
      <c r="E262" s="2">
        <v>1825</v>
      </c>
      <c r="F262" s="2">
        <v>126</v>
      </c>
      <c r="G262" s="2">
        <f t="shared" si="48"/>
        <v>20</v>
      </c>
      <c r="H262" s="2">
        <f t="shared" si="49"/>
        <v>19</v>
      </c>
      <c r="I262" s="2">
        <v>1</v>
      </c>
      <c r="J262" s="44" t="s">
        <v>48</v>
      </c>
      <c r="K262" s="2" t="s">
        <v>49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1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/>
      <c r="AM262" s="2" t="s">
        <v>103</v>
      </c>
      <c r="AN262" s="2">
        <f t="shared" si="41"/>
        <v>0</v>
      </c>
      <c r="AO262" s="2">
        <f t="shared" si="42"/>
        <v>0</v>
      </c>
      <c r="AP262" s="2">
        <f t="shared" si="43"/>
        <v>1</v>
      </c>
      <c r="AQ262" s="2">
        <f t="shared" si="44"/>
        <v>0</v>
      </c>
      <c r="AR262" s="2">
        <f t="shared" si="45"/>
        <v>0</v>
      </c>
      <c r="AS262" s="2">
        <f t="shared" si="46"/>
        <v>0</v>
      </c>
      <c r="AT262" s="25">
        <f t="shared" si="47"/>
        <v>0</v>
      </c>
    </row>
    <row r="263" spans="1:46">
      <c r="A263" s="24">
        <v>46121</v>
      </c>
      <c r="B263" s="23">
        <f t="shared" si="40"/>
        <v>46113</v>
      </c>
      <c r="C263" s="2" t="s">
        <v>114</v>
      </c>
      <c r="D263" s="2" t="s">
        <v>356</v>
      </c>
      <c r="E263" s="2">
        <v>6107</v>
      </c>
      <c r="F263" s="2">
        <v>192</v>
      </c>
      <c r="G263" s="2">
        <f t="shared" si="48"/>
        <v>32</v>
      </c>
      <c r="H263" s="2">
        <f t="shared" si="49"/>
        <v>32</v>
      </c>
      <c r="I263" s="2">
        <v>0</v>
      </c>
      <c r="J263" s="44" t="s">
        <v>48</v>
      </c>
      <c r="K263" s="2" t="s">
        <v>49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/>
      <c r="AM263" s="2" t="s">
        <v>103</v>
      </c>
      <c r="AN263" s="2">
        <f t="shared" si="41"/>
        <v>0</v>
      </c>
      <c r="AO263" s="2">
        <f t="shared" si="42"/>
        <v>0</v>
      </c>
      <c r="AP263" s="2">
        <f t="shared" si="43"/>
        <v>0</v>
      </c>
      <c r="AQ263" s="2">
        <f t="shared" si="44"/>
        <v>0</v>
      </c>
      <c r="AR263" s="2">
        <f t="shared" si="45"/>
        <v>0</v>
      </c>
      <c r="AS263" s="2">
        <f t="shared" si="46"/>
        <v>0</v>
      </c>
      <c r="AT263" s="25">
        <f t="shared" si="47"/>
        <v>0</v>
      </c>
    </row>
    <row r="264" spans="1:46">
      <c r="A264" s="24">
        <v>46121</v>
      </c>
      <c r="B264" s="23">
        <f t="shared" si="40"/>
        <v>46113</v>
      </c>
      <c r="C264" s="2" t="s">
        <v>72</v>
      </c>
      <c r="D264" s="2" t="s">
        <v>71</v>
      </c>
      <c r="E264" s="2">
        <v>1825</v>
      </c>
      <c r="F264" s="2">
        <v>266</v>
      </c>
      <c r="G264" s="2">
        <f t="shared" si="48"/>
        <v>32</v>
      </c>
      <c r="H264" s="2">
        <f t="shared" si="49"/>
        <v>31</v>
      </c>
      <c r="I264" s="2">
        <v>1</v>
      </c>
      <c r="J264" s="44" t="s">
        <v>48</v>
      </c>
      <c r="K264" s="2" t="s">
        <v>49</v>
      </c>
      <c r="L264" s="2">
        <v>1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/>
      <c r="AM264" s="2" t="s">
        <v>103</v>
      </c>
      <c r="AN264" s="2">
        <f t="shared" si="41"/>
        <v>1</v>
      </c>
      <c r="AO264" s="2">
        <f t="shared" si="42"/>
        <v>0</v>
      </c>
      <c r="AP264" s="2">
        <f t="shared" si="43"/>
        <v>0</v>
      </c>
      <c r="AQ264" s="2">
        <f t="shared" si="44"/>
        <v>0</v>
      </c>
      <c r="AR264" s="2">
        <f t="shared" si="45"/>
        <v>0</v>
      </c>
      <c r="AS264" s="2">
        <f t="shared" si="46"/>
        <v>0</v>
      </c>
      <c r="AT264" s="25">
        <f t="shared" si="47"/>
        <v>0</v>
      </c>
    </row>
    <row r="265" spans="1:46">
      <c r="A265" s="24">
        <v>46121</v>
      </c>
      <c r="B265" s="23">
        <f t="shared" si="40"/>
        <v>46113</v>
      </c>
      <c r="C265" s="2" t="s">
        <v>72</v>
      </c>
      <c r="D265" s="2" t="s">
        <v>1545</v>
      </c>
      <c r="E265" s="2">
        <v>6327</v>
      </c>
      <c r="F265" s="2">
        <v>719</v>
      </c>
      <c r="G265" s="2">
        <f t="shared" si="48"/>
        <v>80</v>
      </c>
      <c r="H265" s="2">
        <f t="shared" si="49"/>
        <v>80</v>
      </c>
      <c r="I265" s="2">
        <v>0</v>
      </c>
      <c r="J265" s="44" t="s">
        <v>48</v>
      </c>
      <c r="K265" s="2" t="s">
        <v>49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/>
      <c r="AM265" s="2" t="s">
        <v>103</v>
      </c>
      <c r="AN265" s="2">
        <f t="shared" si="41"/>
        <v>0</v>
      </c>
      <c r="AO265" s="2">
        <f t="shared" si="42"/>
        <v>0</v>
      </c>
      <c r="AP265" s="2">
        <f t="shared" si="43"/>
        <v>0</v>
      </c>
      <c r="AQ265" s="2">
        <f t="shared" si="44"/>
        <v>0</v>
      </c>
      <c r="AR265" s="2">
        <f t="shared" si="45"/>
        <v>0</v>
      </c>
      <c r="AS265" s="2">
        <f t="shared" si="46"/>
        <v>0</v>
      </c>
      <c r="AT265" s="25">
        <f t="shared" si="47"/>
        <v>0</v>
      </c>
    </row>
    <row r="266" spans="1:46">
      <c r="A266" s="24">
        <v>46121</v>
      </c>
      <c r="B266" s="23">
        <f t="shared" si="40"/>
        <v>46113</v>
      </c>
      <c r="C266" s="2" t="s">
        <v>72</v>
      </c>
      <c r="D266" s="2" t="s">
        <v>182</v>
      </c>
      <c r="E266" s="2">
        <v>8107</v>
      </c>
      <c r="F266" s="2">
        <v>78</v>
      </c>
      <c r="G266" s="2">
        <f t="shared" si="48"/>
        <v>20</v>
      </c>
      <c r="H266" s="2">
        <f t="shared" si="49"/>
        <v>20</v>
      </c>
      <c r="I266" s="2">
        <v>0</v>
      </c>
      <c r="J266" s="44" t="s">
        <v>48</v>
      </c>
      <c r="K266" s="2" t="s">
        <v>49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/>
      <c r="AM266" s="2" t="s">
        <v>103</v>
      </c>
      <c r="AN266" s="2">
        <f t="shared" si="41"/>
        <v>0</v>
      </c>
      <c r="AO266" s="2">
        <f t="shared" si="42"/>
        <v>0</v>
      </c>
      <c r="AP266" s="2">
        <f t="shared" si="43"/>
        <v>0</v>
      </c>
      <c r="AQ266" s="2">
        <f t="shared" si="44"/>
        <v>0</v>
      </c>
      <c r="AR266" s="2">
        <f t="shared" si="45"/>
        <v>0</v>
      </c>
      <c r="AS266" s="2">
        <f t="shared" si="46"/>
        <v>0</v>
      </c>
      <c r="AT266" s="25">
        <f t="shared" si="47"/>
        <v>0</v>
      </c>
    </row>
    <row r="267" spans="1:46">
      <c r="A267" s="24">
        <v>46121</v>
      </c>
      <c r="B267" s="23">
        <f t="shared" si="40"/>
        <v>46113</v>
      </c>
      <c r="C267" s="2" t="s">
        <v>63</v>
      </c>
      <c r="D267" s="2" t="s">
        <v>113</v>
      </c>
      <c r="E267" s="2">
        <v>2598</v>
      </c>
      <c r="F267" s="2">
        <v>665</v>
      </c>
      <c r="G267" s="2">
        <f t="shared" si="48"/>
        <v>80</v>
      </c>
      <c r="H267" s="2">
        <f t="shared" si="49"/>
        <v>79</v>
      </c>
      <c r="I267" s="2">
        <v>1</v>
      </c>
      <c r="J267" s="44" t="s">
        <v>48</v>
      </c>
      <c r="K267" s="2" t="s">
        <v>49</v>
      </c>
      <c r="L267" s="2">
        <v>1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/>
      <c r="AM267" s="2" t="s">
        <v>1568</v>
      </c>
      <c r="AN267" s="2">
        <f t="shared" si="41"/>
        <v>1</v>
      </c>
      <c r="AO267" s="2">
        <f t="shared" si="42"/>
        <v>0</v>
      </c>
      <c r="AP267" s="2">
        <f t="shared" si="43"/>
        <v>0</v>
      </c>
      <c r="AQ267" s="2">
        <f t="shared" si="44"/>
        <v>0</v>
      </c>
      <c r="AR267" s="2">
        <f t="shared" si="45"/>
        <v>0</v>
      </c>
      <c r="AS267" s="2">
        <f t="shared" si="46"/>
        <v>0</v>
      </c>
      <c r="AT267" s="25">
        <f t="shared" si="47"/>
        <v>0</v>
      </c>
    </row>
    <row r="268" spans="1:46">
      <c r="A268" s="24">
        <v>46121</v>
      </c>
      <c r="B268" s="23">
        <f t="shared" si="40"/>
        <v>46113</v>
      </c>
      <c r="C268" s="2" t="s">
        <v>63</v>
      </c>
      <c r="D268" s="2" t="s">
        <v>126</v>
      </c>
      <c r="E268" s="2">
        <v>6296</v>
      </c>
      <c r="F268" s="2">
        <v>128</v>
      </c>
      <c r="G268" s="2">
        <f t="shared" si="48"/>
        <v>20</v>
      </c>
      <c r="H268" s="2">
        <f t="shared" si="49"/>
        <v>20</v>
      </c>
      <c r="I268" s="2">
        <v>0</v>
      </c>
      <c r="J268" s="44" t="s">
        <v>48</v>
      </c>
      <c r="K268" s="2" t="s">
        <v>49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/>
      <c r="AM268" s="2" t="s">
        <v>1568</v>
      </c>
      <c r="AN268" s="2">
        <f t="shared" si="41"/>
        <v>0</v>
      </c>
      <c r="AO268" s="2">
        <f t="shared" si="42"/>
        <v>0</v>
      </c>
      <c r="AP268" s="2">
        <f t="shared" si="43"/>
        <v>0</v>
      </c>
      <c r="AQ268" s="2">
        <f t="shared" si="44"/>
        <v>0</v>
      </c>
      <c r="AR268" s="2">
        <f t="shared" si="45"/>
        <v>0</v>
      </c>
      <c r="AS268" s="2">
        <f t="shared" si="46"/>
        <v>0</v>
      </c>
      <c r="AT268" s="25">
        <f t="shared" si="47"/>
        <v>0</v>
      </c>
    </row>
    <row r="269" spans="1:46">
      <c r="A269" s="24">
        <v>46121</v>
      </c>
      <c r="B269" s="23">
        <f t="shared" si="40"/>
        <v>46113</v>
      </c>
      <c r="C269" s="2" t="s">
        <v>63</v>
      </c>
      <c r="D269" s="2" t="s">
        <v>242</v>
      </c>
      <c r="E269" s="2">
        <v>6296</v>
      </c>
      <c r="F269" s="2">
        <v>101</v>
      </c>
      <c r="G269" s="2">
        <f t="shared" si="48"/>
        <v>20</v>
      </c>
      <c r="H269" s="2">
        <f t="shared" si="49"/>
        <v>19</v>
      </c>
      <c r="I269" s="2">
        <v>1</v>
      </c>
      <c r="J269" s="44" t="s">
        <v>48</v>
      </c>
      <c r="K269" s="2" t="s">
        <v>49</v>
      </c>
      <c r="L269" s="2">
        <v>1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/>
      <c r="AM269" s="2" t="s">
        <v>1568</v>
      </c>
      <c r="AN269" s="2">
        <f t="shared" si="41"/>
        <v>1</v>
      </c>
      <c r="AO269" s="2">
        <f t="shared" si="42"/>
        <v>0</v>
      </c>
      <c r="AP269" s="2">
        <f t="shared" si="43"/>
        <v>0</v>
      </c>
      <c r="AQ269" s="2">
        <f t="shared" si="44"/>
        <v>0</v>
      </c>
      <c r="AR269" s="2">
        <f t="shared" si="45"/>
        <v>0</v>
      </c>
      <c r="AS269" s="2">
        <f t="shared" si="46"/>
        <v>0</v>
      </c>
      <c r="AT269" s="25">
        <f t="shared" si="47"/>
        <v>0</v>
      </c>
    </row>
    <row r="270" spans="1:46">
      <c r="A270" s="24">
        <v>46121</v>
      </c>
      <c r="B270" s="23">
        <f t="shared" si="40"/>
        <v>46113</v>
      </c>
      <c r="C270" s="2" t="s">
        <v>63</v>
      </c>
      <c r="D270" s="2" t="s">
        <v>416</v>
      </c>
      <c r="E270" s="2">
        <v>2758</v>
      </c>
      <c r="F270" s="2">
        <v>67</v>
      </c>
      <c r="G270" s="2">
        <f t="shared" si="48"/>
        <v>20</v>
      </c>
      <c r="H270" s="2">
        <f t="shared" si="49"/>
        <v>20</v>
      </c>
      <c r="I270" s="2">
        <v>0</v>
      </c>
      <c r="J270" s="44" t="s">
        <v>48</v>
      </c>
      <c r="K270" s="2" t="s">
        <v>49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/>
      <c r="AM270" s="2" t="s">
        <v>1568</v>
      </c>
      <c r="AN270" s="2">
        <f t="shared" si="41"/>
        <v>0</v>
      </c>
      <c r="AO270" s="2">
        <f t="shared" si="42"/>
        <v>0</v>
      </c>
      <c r="AP270" s="2">
        <f t="shared" si="43"/>
        <v>0</v>
      </c>
      <c r="AQ270" s="2">
        <f t="shared" si="44"/>
        <v>0</v>
      </c>
      <c r="AR270" s="2">
        <f t="shared" si="45"/>
        <v>0</v>
      </c>
      <c r="AS270" s="2">
        <f t="shared" si="46"/>
        <v>0</v>
      </c>
      <c r="AT270" s="25">
        <f t="shared" si="47"/>
        <v>0</v>
      </c>
    </row>
    <row r="271" spans="1:46">
      <c r="A271" s="24">
        <v>46121</v>
      </c>
      <c r="B271" s="23">
        <f t="shared" si="40"/>
        <v>46113</v>
      </c>
      <c r="C271" s="2" t="s">
        <v>62</v>
      </c>
      <c r="D271" s="2" t="s">
        <v>158</v>
      </c>
      <c r="E271" s="2">
        <v>3305</v>
      </c>
      <c r="F271" s="2">
        <v>133</v>
      </c>
      <c r="G271" s="2">
        <f t="shared" si="48"/>
        <v>20</v>
      </c>
      <c r="H271" s="2">
        <f t="shared" si="49"/>
        <v>20</v>
      </c>
      <c r="I271" s="2">
        <v>0</v>
      </c>
      <c r="J271" s="44" t="s">
        <v>48</v>
      </c>
      <c r="K271" s="2" t="s">
        <v>49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/>
      <c r="AM271" s="2" t="s">
        <v>1568</v>
      </c>
      <c r="AN271" s="2">
        <f t="shared" si="41"/>
        <v>0</v>
      </c>
      <c r="AO271" s="2">
        <f t="shared" si="42"/>
        <v>0</v>
      </c>
      <c r="AP271" s="2">
        <f t="shared" si="43"/>
        <v>0</v>
      </c>
      <c r="AQ271" s="2">
        <f t="shared" si="44"/>
        <v>0</v>
      </c>
      <c r="AR271" s="2">
        <f t="shared" si="45"/>
        <v>0</v>
      </c>
      <c r="AS271" s="2">
        <f t="shared" si="46"/>
        <v>0</v>
      </c>
      <c r="AT271" s="25">
        <f t="shared" si="47"/>
        <v>0</v>
      </c>
    </row>
    <row r="272" spans="1:46">
      <c r="A272" s="24">
        <v>46121</v>
      </c>
      <c r="B272" s="23">
        <f t="shared" si="40"/>
        <v>46113</v>
      </c>
      <c r="C272" s="2" t="s">
        <v>62</v>
      </c>
      <c r="D272" s="2" t="s">
        <v>147</v>
      </c>
      <c r="E272" s="2">
        <v>3305</v>
      </c>
      <c r="F272" s="2">
        <v>126</v>
      </c>
      <c r="G272" s="2">
        <f t="shared" si="48"/>
        <v>20</v>
      </c>
      <c r="H272" s="2">
        <f t="shared" si="49"/>
        <v>20</v>
      </c>
      <c r="I272" s="2">
        <v>0</v>
      </c>
      <c r="J272" s="44" t="s">
        <v>48</v>
      </c>
      <c r="K272" s="2" t="s">
        <v>49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/>
      <c r="AM272" s="2" t="s">
        <v>1568</v>
      </c>
      <c r="AN272" s="2">
        <f t="shared" si="41"/>
        <v>0</v>
      </c>
      <c r="AO272" s="2">
        <f t="shared" si="42"/>
        <v>0</v>
      </c>
      <c r="AP272" s="2">
        <f t="shared" si="43"/>
        <v>0</v>
      </c>
      <c r="AQ272" s="2">
        <f t="shared" si="44"/>
        <v>0</v>
      </c>
      <c r="AR272" s="2">
        <f t="shared" si="45"/>
        <v>0</v>
      </c>
      <c r="AS272" s="2">
        <f t="shared" si="46"/>
        <v>0</v>
      </c>
      <c r="AT272" s="25">
        <f t="shared" si="47"/>
        <v>0</v>
      </c>
    </row>
    <row r="273" spans="1:46">
      <c r="A273" s="24">
        <v>46121</v>
      </c>
      <c r="B273" s="23">
        <f t="shared" si="40"/>
        <v>46113</v>
      </c>
      <c r="C273" s="2" t="s">
        <v>62</v>
      </c>
      <c r="D273" s="2" t="s">
        <v>78</v>
      </c>
      <c r="E273" s="2">
        <v>3305</v>
      </c>
      <c r="F273" s="2">
        <v>107</v>
      </c>
      <c r="G273" s="2">
        <f t="shared" si="48"/>
        <v>20</v>
      </c>
      <c r="H273" s="2">
        <f t="shared" si="49"/>
        <v>20</v>
      </c>
      <c r="I273" s="2">
        <v>0</v>
      </c>
      <c r="J273" s="44" t="s">
        <v>48</v>
      </c>
      <c r="K273" s="2" t="s">
        <v>49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/>
      <c r="AM273" s="2" t="s">
        <v>1568</v>
      </c>
      <c r="AN273" s="2">
        <f t="shared" si="41"/>
        <v>0</v>
      </c>
      <c r="AO273" s="2">
        <f t="shared" si="42"/>
        <v>0</v>
      </c>
      <c r="AP273" s="2">
        <f t="shared" si="43"/>
        <v>0</v>
      </c>
      <c r="AQ273" s="2">
        <f t="shared" si="44"/>
        <v>0</v>
      </c>
      <c r="AR273" s="2">
        <f t="shared" si="45"/>
        <v>0</v>
      </c>
      <c r="AS273" s="2">
        <f t="shared" si="46"/>
        <v>0</v>
      </c>
      <c r="AT273" s="25">
        <f t="shared" si="47"/>
        <v>0</v>
      </c>
    </row>
    <row r="274" spans="1:46">
      <c r="A274" s="24">
        <v>46121</v>
      </c>
      <c r="B274" s="23">
        <f t="shared" si="40"/>
        <v>46113</v>
      </c>
      <c r="C274" s="2" t="s">
        <v>62</v>
      </c>
      <c r="D274" s="2" t="s">
        <v>1542</v>
      </c>
      <c r="E274" s="2">
        <v>6285</v>
      </c>
      <c r="F274" s="2">
        <v>1000</v>
      </c>
      <c r="G274" s="2">
        <f t="shared" si="48"/>
        <v>80</v>
      </c>
      <c r="H274" s="2">
        <f t="shared" si="49"/>
        <v>80</v>
      </c>
      <c r="I274" s="2">
        <v>0</v>
      </c>
      <c r="J274" s="44" t="s">
        <v>48</v>
      </c>
      <c r="K274" s="2" t="s">
        <v>49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/>
      <c r="AM274" s="2" t="s">
        <v>1568</v>
      </c>
      <c r="AN274" s="2">
        <f t="shared" si="41"/>
        <v>0</v>
      </c>
      <c r="AO274" s="2">
        <f t="shared" si="42"/>
        <v>0</v>
      </c>
      <c r="AP274" s="2">
        <f t="shared" si="43"/>
        <v>0</v>
      </c>
      <c r="AQ274" s="2">
        <f t="shared" si="44"/>
        <v>0</v>
      </c>
      <c r="AR274" s="2">
        <f t="shared" si="45"/>
        <v>0</v>
      </c>
      <c r="AS274" s="2">
        <f t="shared" si="46"/>
        <v>0</v>
      </c>
      <c r="AT274" s="25">
        <f t="shared" si="47"/>
        <v>0</v>
      </c>
    </row>
    <row r="275" spans="1:46">
      <c r="A275" s="24">
        <v>46121</v>
      </c>
      <c r="B275" s="23">
        <f t="shared" si="40"/>
        <v>46113</v>
      </c>
      <c r="C275" s="2" t="s">
        <v>97</v>
      </c>
      <c r="D275" s="2" t="s">
        <v>258</v>
      </c>
      <c r="E275" s="2">
        <v>3315</v>
      </c>
      <c r="F275" s="2">
        <v>79</v>
      </c>
      <c r="G275" s="2">
        <f t="shared" si="48"/>
        <v>20</v>
      </c>
      <c r="H275" s="2">
        <f t="shared" si="49"/>
        <v>20</v>
      </c>
      <c r="I275" s="2">
        <v>0</v>
      </c>
      <c r="J275" s="44" t="s">
        <v>48</v>
      </c>
      <c r="K275" s="2" t="s">
        <v>49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/>
      <c r="AM275" s="2" t="s">
        <v>110</v>
      </c>
      <c r="AN275" s="2">
        <f t="shared" si="41"/>
        <v>0</v>
      </c>
      <c r="AO275" s="2">
        <f t="shared" si="42"/>
        <v>0</v>
      </c>
      <c r="AP275" s="2">
        <f t="shared" si="43"/>
        <v>0</v>
      </c>
      <c r="AQ275" s="2">
        <f t="shared" si="44"/>
        <v>0</v>
      </c>
      <c r="AR275" s="2">
        <f t="shared" si="45"/>
        <v>0</v>
      </c>
      <c r="AS275" s="2">
        <f t="shared" si="46"/>
        <v>0</v>
      </c>
      <c r="AT275" s="25">
        <f t="shared" si="47"/>
        <v>0</v>
      </c>
    </row>
    <row r="276" spans="1:46">
      <c r="A276" s="24">
        <v>46121</v>
      </c>
      <c r="B276" s="23">
        <f t="shared" si="40"/>
        <v>46113</v>
      </c>
      <c r="C276" s="2" t="s">
        <v>66</v>
      </c>
      <c r="D276" s="2" t="s">
        <v>1466</v>
      </c>
      <c r="E276" s="2">
        <v>6283</v>
      </c>
      <c r="F276" s="2">
        <v>135</v>
      </c>
      <c r="G276" s="2">
        <f t="shared" si="48"/>
        <v>20</v>
      </c>
      <c r="H276" s="2">
        <f t="shared" si="49"/>
        <v>20</v>
      </c>
      <c r="I276" s="2">
        <v>0</v>
      </c>
      <c r="J276" s="44" t="s">
        <v>48</v>
      </c>
      <c r="K276" s="2" t="s">
        <v>49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/>
      <c r="AM276" s="2" t="s">
        <v>110</v>
      </c>
      <c r="AN276" s="2">
        <f t="shared" si="41"/>
        <v>0</v>
      </c>
      <c r="AO276" s="2">
        <f t="shared" si="42"/>
        <v>0</v>
      </c>
      <c r="AP276" s="2">
        <f t="shared" si="43"/>
        <v>0</v>
      </c>
      <c r="AQ276" s="2">
        <f t="shared" si="44"/>
        <v>0</v>
      </c>
      <c r="AR276" s="2">
        <f t="shared" si="45"/>
        <v>0</v>
      </c>
      <c r="AS276" s="2">
        <f t="shared" si="46"/>
        <v>0</v>
      </c>
      <c r="AT276" s="25">
        <f t="shared" si="47"/>
        <v>0</v>
      </c>
    </row>
    <row r="277" spans="1:46">
      <c r="A277" s="24">
        <v>46121</v>
      </c>
      <c r="B277" s="23">
        <f t="shared" si="40"/>
        <v>46113</v>
      </c>
      <c r="C277" s="2" t="s">
        <v>66</v>
      </c>
      <c r="D277" s="2" t="s">
        <v>1314</v>
      </c>
      <c r="E277" s="2">
        <v>6283</v>
      </c>
      <c r="F277" s="2">
        <v>65</v>
      </c>
      <c r="G277" s="2">
        <f t="shared" si="48"/>
        <v>20</v>
      </c>
      <c r="H277" s="2">
        <f t="shared" si="49"/>
        <v>20</v>
      </c>
      <c r="I277" s="2">
        <v>0</v>
      </c>
      <c r="J277" s="44" t="s">
        <v>48</v>
      </c>
      <c r="K277" s="2" t="s">
        <v>49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/>
      <c r="AM277" s="2" t="s">
        <v>110</v>
      </c>
      <c r="AN277" s="2">
        <f t="shared" si="41"/>
        <v>0</v>
      </c>
      <c r="AO277" s="2">
        <f t="shared" si="42"/>
        <v>0</v>
      </c>
      <c r="AP277" s="2">
        <f t="shared" si="43"/>
        <v>0</v>
      </c>
      <c r="AQ277" s="2">
        <f t="shared" si="44"/>
        <v>0</v>
      </c>
      <c r="AR277" s="2">
        <f t="shared" si="45"/>
        <v>0</v>
      </c>
      <c r="AS277" s="2">
        <f t="shared" si="46"/>
        <v>0</v>
      </c>
      <c r="AT277" s="25">
        <f t="shared" si="47"/>
        <v>0</v>
      </c>
    </row>
    <row r="278" spans="1:46">
      <c r="A278" s="24">
        <v>46121</v>
      </c>
      <c r="B278" s="23">
        <f t="shared" si="40"/>
        <v>46113</v>
      </c>
      <c r="C278" s="2" t="s">
        <v>97</v>
      </c>
      <c r="D278" s="2" t="s">
        <v>397</v>
      </c>
      <c r="E278" s="2">
        <v>6283</v>
      </c>
      <c r="F278" s="2">
        <v>105</v>
      </c>
      <c r="G278" s="2">
        <f t="shared" si="48"/>
        <v>20</v>
      </c>
      <c r="H278" s="2">
        <f t="shared" si="49"/>
        <v>20</v>
      </c>
      <c r="I278" s="2">
        <v>0</v>
      </c>
      <c r="J278" s="44" t="s">
        <v>48</v>
      </c>
      <c r="K278" s="2" t="s">
        <v>49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/>
      <c r="AM278" s="2" t="s">
        <v>110</v>
      </c>
      <c r="AN278" s="2">
        <f t="shared" si="41"/>
        <v>0</v>
      </c>
      <c r="AO278" s="2">
        <f t="shared" si="42"/>
        <v>0</v>
      </c>
      <c r="AP278" s="2">
        <f t="shared" si="43"/>
        <v>0</v>
      </c>
      <c r="AQ278" s="2">
        <f t="shared" si="44"/>
        <v>0</v>
      </c>
      <c r="AR278" s="2">
        <f t="shared" si="45"/>
        <v>0</v>
      </c>
      <c r="AS278" s="2">
        <f t="shared" si="46"/>
        <v>0</v>
      </c>
      <c r="AT278" s="25">
        <f t="shared" si="47"/>
        <v>0</v>
      </c>
    </row>
    <row r="279" spans="1:46">
      <c r="A279" s="24">
        <v>46121</v>
      </c>
      <c r="B279" s="23">
        <f t="shared" si="40"/>
        <v>46113</v>
      </c>
      <c r="C279" s="2" t="s">
        <v>97</v>
      </c>
      <c r="D279" s="2" t="s">
        <v>1401</v>
      </c>
      <c r="E279" s="2">
        <v>6319</v>
      </c>
      <c r="F279" s="2">
        <v>234</v>
      </c>
      <c r="G279" s="2">
        <f t="shared" si="48"/>
        <v>32</v>
      </c>
      <c r="H279" s="2">
        <f t="shared" si="49"/>
        <v>32</v>
      </c>
      <c r="I279" s="2">
        <v>0</v>
      </c>
      <c r="J279" s="44" t="s">
        <v>48</v>
      </c>
      <c r="K279" s="2" t="s">
        <v>49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/>
      <c r="AM279" s="2" t="s">
        <v>110</v>
      </c>
      <c r="AN279" s="2">
        <f t="shared" si="41"/>
        <v>0</v>
      </c>
      <c r="AO279" s="2">
        <f t="shared" si="42"/>
        <v>0</v>
      </c>
      <c r="AP279" s="2">
        <f t="shared" si="43"/>
        <v>0</v>
      </c>
      <c r="AQ279" s="2">
        <f t="shared" si="44"/>
        <v>0</v>
      </c>
      <c r="AR279" s="2">
        <f t="shared" si="45"/>
        <v>0</v>
      </c>
      <c r="AS279" s="2">
        <f t="shared" si="46"/>
        <v>0</v>
      </c>
      <c r="AT279" s="25">
        <f t="shared" si="47"/>
        <v>0</v>
      </c>
    </row>
    <row r="280" spans="1:46">
      <c r="A280" s="24">
        <v>46121</v>
      </c>
      <c r="B280" s="23">
        <f t="shared" si="40"/>
        <v>46113</v>
      </c>
      <c r="C280" s="2" t="s">
        <v>97</v>
      </c>
      <c r="D280" s="2" t="s">
        <v>189</v>
      </c>
      <c r="E280" s="2">
        <v>1770</v>
      </c>
      <c r="F280" s="2">
        <v>119</v>
      </c>
      <c r="G280" s="2">
        <f t="shared" si="48"/>
        <v>20</v>
      </c>
      <c r="H280" s="2">
        <f t="shared" si="49"/>
        <v>19</v>
      </c>
      <c r="I280" s="2">
        <v>1</v>
      </c>
      <c r="J280" s="44" t="s">
        <v>48</v>
      </c>
      <c r="K280" s="2" t="s">
        <v>49</v>
      </c>
      <c r="L280" s="2">
        <v>0</v>
      </c>
      <c r="M280" s="2">
        <v>0</v>
      </c>
      <c r="N280" s="2">
        <v>1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/>
      <c r="AM280" s="2" t="s">
        <v>110</v>
      </c>
      <c r="AN280" s="2">
        <f t="shared" si="41"/>
        <v>0</v>
      </c>
      <c r="AO280" s="2">
        <f t="shared" si="42"/>
        <v>1</v>
      </c>
      <c r="AP280" s="2">
        <f t="shared" si="43"/>
        <v>0</v>
      </c>
      <c r="AQ280" s="2">
        <f t="shared" si="44"/>
        <v>0</v>
      </c>
      <c r="AR280" s="2">
        <f t="shared" si="45"/>
        <v>0</v>
      </c>
      <c r="AS280" s="2">
        <f t="shared" si="46"/>
        <v>0</v>
      </c>
      <c r="AT280" s="25">
        <f t="shared" si="47"/>
        <v>0</v>
      </c>
    </row>
    <row r="281" spans="1:46">
      <c r="A281" s="24">
        <v>46121</v>
      </c>
      <c r="B281" s="23">
        <f t="shared" si="40"/>
        <v>46113</v>
      </c>
      <c r="C281" s="2" t="s">
        <v>97</v>
      </c>
      <c r="D281" s="2" t="s">
        <v>288</v>
      </c>
      <c r="E281" s="2">
        <v>1639</v>
      </c>
      <c r="F281" s="2">
        <v>317</v>
      </c>
      <c r="G281" s="2">
        <f t="shared" si="48"/>
        <v>50</v>
      </c>
      <c r="H281" s="2">
        <f t="shared" si="49"/>
        <v>50</v>
      </c>
      <c r="I281" s="2">
        <v>0</v>
      </c>
      <c r="J281" s="44" t="s">
        <v>48</v>
      </c>
      <c r="K281" s="2" t="s">
        <v>49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/>
      <c r="AM281" s="2" t="s">
        <v>110</v>
      </c>
      <c r="AN281" s="2">
        <f t="shared" si="41"/>
        <v>0</v>
      </c>
      <c r="AO281" s="2">
        <f t="shared" si="42"/>
        <v>0</v>
      </c>
      <c r="AP281" s="2">
        <f t="shared" si="43"/>
        <v>0</v>
      </c>
      <c r="AQ281" s="2">
        <f t="shared" si="44"/>
        <v>0</v>
      </c>
      <c r="AR281" s="2">
        <f t="shared" si="45"/>
        <v>0</v>
      </c>
      <c r="AS281" s="2">
        <f t="shared" si="46"/>
        <v>0</v>
      </c>
      <c r="AT281" s="25">
        <f t="shared" si="47"/>
        <v>0</v>
      </c>
    </row>
    <row r="282" spans="1:46">
      <c r="A282" s="24">
        <v>46121</v>
      </c>
      <c r="B282" s="23">
        <f t="shared" si="40"/>
        <v>46113</v>
      </c>
      <c r="C282" s="2" t="s">
        <v>97</v>
      </c>
      <c r="D282" s="2" t="s">
        <v>1318</v>
      </c>
      <c r="E282" s="2">
        <v>3327</v>
      </c>
      <c r="F282" s="2">
        <v>450</v>
      </c>
      <c r="G282" s="2">
        <f t="shared" si="48"/>
        <v>50</v>
      </c>
      <c r="H282" s="2">
        <f t="shared" si="49"/>
        <v>48</v>
      </c>
      <c r="I282" s="2">
        <v>2</v>
      </c>
      <c r="J282" s="44" t="s">
        <v>48</v>
      </c>
      <c r="K282" s="2" t="s">
        <v>49</v>
      </c>
      <c r="L282" s="2">
        <v>2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/>
      <c r="AM282" s="2" t="s">
        <v>110</v>
      </c>
      <c r="AN282" s="2">
        <f t="shared" si="41"/>
        <v>2</v>
      </c>
      <c r="AO282" s="2">
        <f t="shared" si="42"/>
        <v>0</v>
      </c>
      <c r="AP282" s="2">
        <f t="shared" si="43"/>
        <v>0</v>
      </c>
      <c r="AQ282" s="2">
        <f t="shared" si="44"/>
        <v>0</v>
      </c>
      <c r="AR282" s="2">
        <f t="shared" si="45"/>
        <v>0</v>
      </c>
      <c r="AS282" s="2">
        <f t="shared" si="46"/>
        <v>0</v>
      </c>
      <c r="AT282" s="25">
        <f t="shared" si="47"/>
        <v>0</v>
      </c>
    </row>
    <row r="283" spans="1:46">
      <c r="A283" s="24">
        <v>46121</v>
      </c>
      <c r="B283" s="23">
        <f t="shared" si="40"/>
        <v>46113</v>
      </c>
      <c r="C283" s="2" t="s">
        <v>55</v>
      </c>
      <c r="D283" s="2" t="s">
        <v>169</v>
      </c>
      <c r="E283" s="2">
        <v>2593</v>
      </c>
      <c r="F283" s="2">
        <v>500</v>
      </c>
      <c r="G283" s="2">
        <f t="shared" si="48"/>
        <v>50</v>
      </c>
      <c r="H283" s="2">
        <f t="shared" si="49"/>
        <v>50</v>
      </c>
      <c r="I283" s="2">
        <v>0</v>
      </c>
      <c r="J283" s="44" t="s">
        <v>48</v>
      </c>
      <c r="K283" s="2" t="s">
        <v>49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/>
      <c r="AM283" s="2" t="s">
        <v>1566</v>
      </c>
      <c r="AN283" s="2">
        <f t="shared" si="41"/>
        <v>0</v>
      </c>
      <c r="AO283" s="2">
        <f t="shared" si="42"/>
        <v>0</v>
      </c>
      <c r="AP283" s="2">
        <f t="shared" si="43"/>
        <v>0</v>
      </c>
      <c r="AQ283" s="2">
        <f t="shared" si="44"/>
        <v>0</v>
      </c>
      <c r="AR283" s="2">
        <f t="shared" si="45"/>
        <v>0</v>
      </c>
      <c r="AS283" s="2">
        <f t="shared" si="46"/>
        <v>0</v>
      </c>
      <c r="AT283" s="25">
        <f t="shared" si="47"/>
        <v>0</v>
      </c>
    </row>
    <row r="284" spans="1:46">
      <c r="A284" s="24">
        <v>46121</v>
      </c>
      <c r="B284" s="23">
        <f t="shared" si="40"/>
        <v>46113</v>
      </c>
      <c r="C284" s="2" t="s">
        <v>133</v>
      </c>
      <c r="D284" s="2" t="s">
        <v>190</v>
      </c>
      <c r="E284" s="2">
        <v>3215</v>
      </c>
      <c r="F284" s="2">
        <v>161</v>
      </c>
      <c r="G284" s="2">
        <f t="shared" si="48"/>
        <v>32</v>
      </c>
      <c r="H284" s="2">
        <f t="shared" si="49"/>
        <v>31</v>
      </c>
      <c r="I284" s="2">
        <v>1</v>
      </c>
      <c r="J284" s="44" t="s">
        <v>48</v>
      </c>
      <c r="K284" s="2" t="s">
        <v>49</v>
      </c>
      <c r="L284" s="2">
        <v>1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/>
      <c r="AM284" s="2" t="s">
        <v>1566</v>
      </c>
      <c r="AN284" s="2">
        <f t="shared" si="41"/>
        <v>1</v>
      </c>
      <c r="AO284" s="2">
        <f t="shared" si="42"/>
        <v>0</v>
      </c>
      <c r="AP284" s="2">
        <f t="shared" si="43"/>
        <v>0</v>
      </c>
      <c r="AQ284" s="2">
        <f t="shared" si="44"/>
        <v>0</v>
      </c>
      <c r="AR284" s="2">
        <f t="shared" si="45"/>
        <v>0</v>
      </c>
      <c r="AS284" s="2">
        <f t="shared" si="46"/>
        <v>0</v>
      </c>
      <c r="AT284" s="25">
        <f t="shared" si="47"/>
        <v>0</v>
      </c>
    </row>
    <row r="285" spans="1:46">
      <c r="A285" s="24">
        <v>46121</v>
      </c>
      <c r="B285" s="23">
        <f t="shared" si="40"/>
        <v>46113</v>
      </c>
      <c r="C285" s="2" t="s">
        <v>55</v>
      </c>
      <c r="D285" s="2" t="s">
        <v>59</v>
      </c>
      <c r="E285" s="2">
        <v>1775</v>
      </c>
      <c r="F285" s="2">
        <v>180</v>
      </c>
      <c r="G285" s="2">
        <f t="shared" si="48"/>
        <v>32</v>
      </c>
      <c r="H285" s="2">
        <f t="shared" si="49"/>
        <v>32</v>
      </c>
      <c r="I285" s="2">
        <v>0</v>
      </c>
      <c r="J285" s="44" t="s">
        <v>48</v>
      </c>
      <c r="K285" s="2" t="s">
        <v>49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/>
      <c r="AM285" s="2" t="s">
        <v>1566</v>
      </c>
      <c r="AN285" s="2">
        <f t="shared" si="41"/>
        <v>0</v>
      </c>
      <c r="AO285" s="2">
        <f t="shared" si="42"/>
        <v>0</v>
      </c>
      <c r="AP285" s="2">
        <f t="shared" si="43"/>
        <v>0</v>
      </c>
      <c r="AQ285" s="2">
        <f t="shared" si="44"/>
        <v>0</v>
      </c>
      <c r="AR285" s="2">
        <f t="shared" si="45"/>
        <v>0</v>
      </c>
      <c r="AS285" s="2">
        <f t="shared" si="46"/>
        <v>0</v>
      </c>
      <c r="AT285" s="25">
        <f t="shared" si="47"/>
        <v>0</v>
      </c>
    </row>
    <row r="286" spans="1:46">
      <c r="A286" s="24">
        <v>46121</v>
      </c>
      <c r="B286" s="23">
        <f t="shared" si="40"/>
        <v>46113</v>
      </c>
      <c r="C286" s="2" t="s">
        <v>55</v>
      </c>
      <c r="D286" s="2" t="s">
        <v>233</v>
      </c>
      <c r="E286" s="2">
        <v>1773</v>
      </c>
      <c r="F286" s="2">
        <v>134</v>
      </c>
      <c r="G286" s="2">
        <f t="shared" si="48"/>
        <v>20</v>
      </c>
      <c r="H286" s="2">
        <f t="shared" si="49"/>
        <v>19</v>
      </c>
      <c r="I286" s="2">
        <v>1</v>
      </c>
      <c r="J286" s="44" t="s">
        <v>48</v>
      </c>
      <c r="K286" s="2" t="s">
        <v>49</v>
      </c>
      <c r="L286" s="2">
        <v>0</v>
      </c>
      <c r="M286" s="2">
        <v>0</v>
      </c>
      <c r="N286" s="2">
        <v>0</v>
      </c>
      <c r="O286" s="2">
        <v>0</v>
      </c>
      <c r="P286" s="2">
        <v>1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/>
      <c r="AM286" s="2" t="s">
        <v>1566</v>
      </c>
      <c r="AN286" s="2">
        <f t="shared" si="41"/>
        <v>0</v>
      </c>
      <c r="AO286" s="2">
        <f t="shared" si="42"/>
        <v>1</v>
      </c>
      <c r="AP286" s="2">
        <f t="shared" si="43"/>
        <v>0</v>
      </c>
      <c r="AQ286" s="2">
        <f t="shared" si="44"/>
        <v>0</v>
      </c>
      <c r="AR286" s="2">
        <f t="shared" si="45"/>
        <v>0</v>
      </c>
      <c r="AS286" s="2">
        <f t="shared" si="46"/>
        <v>0</v>
      </c>
      <c r="AT286" s="25">
        <f t="shared" si="47"/>
        <v>0</v>
      </c>
    </row>
    <row r="287" spans="1:46">
      <c r="A287" s="24">
        <v>46121</v>
      </c>
      <c r="B287" s="23">
        <f t="shared" si="40"/>
        <v>46113</v>
      </c>
      <c r="C287" s="2" t="s">
        <v>55</v>
      </c>
      <c r="D287" s="2" t="s">
        <v>153</v>
      </c>
      <c r="E287" s="2">
        <v>1730</v>
      </c>
      <c r="F287" s="2">
        <v>254</v>
      </c>
      <c r="G287" s="2">
        <f t="shared" si="48"/>
        <v>32</v>
      </c>
      <c r="H287" s="2">
        <f t="shared" si="49"/>
        <v>30</v>
      </c>
      <c r="I287" s="2">
        <v>2</v>
      </c>
      <c r="J287" s="44" t="s">
        <v>48</v>
      </c>
      <c r="K287" s="2" t="s">
        <v>49</v>
      </c>
      <c r="L287" s="2">
        <v>2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/>
      <c r="AM287" s="2" t="s">
        <v>1566</v>
      </c>
      <c r="AN287" s="2">
        <f t="shared" si="41"/>
        <v>2</v>
      </c>
      <c r="AO287" s="2">
        <f t="shared" si="42"/>
        <v>0</v>
      </c>
      <c r="AP287" s="2">
        <f t="shared" si="43"/>
        <v>0</v>
      </c>
      <c r="AQ287" s="2">
        <f t="shared" si="44"/>
        <v>0</v>
      </c>
      <c r="AR287" s="2">
        <f t="shared" si="45"/>
        <v>0</v>
      </c>
      <c r="AS287" s="2">
        <f t="shared" si="46"/>
        <v>0</v>
      </c>
      <c r="AT287" s="25">
        <f t="shared" si="47"/>
        <v>0</v>
      </c>
    </row>
    <row r="288" spans="1:46">
      <c r="A288" s="24">
        <v>46121</v>
      </c>
      <c r="B288" s="23">
        <f t="shared" si="40"/>
        <v>46113</v>
      </c>
      <c r="C288" s="2" t="s">
        <v>55</v>
      </c>
      <c r="D288" s="2" t="s">
        <v>233</v>
      </c>
      <c r="E288" s="2">
        <v>1773</v>
      </c>
      <c r="F288" s="2">
        <v>180</v>
      </c>
      <c r="G288" s="2">
        <f t="shared" si="48"/>
        <v>32</v>
      </c>
      <c r="H288" s="2">
        <f t="shared" si="49"/>
        <v>31</v>
      </c>
      <c r="I288" s="2">
        <v>1</v>
      </c>
      <c r="J288" s="44" t="s">
        <v>48</v>
      </c>
      <c r="K288" s="2" t="s">
        <v>49</v>
      </c>
      <c r="L288" s="2">
        <v>1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/>
      <c r="AM288" s="2" t="s">
        <v>1566</v>
      </c>
      <c r="AN288" s="2">
        <f t="shared" si="41"/>
        <v>1</v>
      </c>
      <c r="AO288" s="2">
        <f t="shared" si="42"/>
        <v>0</v>
      </c>
      <c r="AP288" s="2">
        <f t="shared" si="43"/>
        <v>0</v>
      </c>
      <c r="AQ288" s="2">
        <f t="shared" si="44"/>
        <v>0</v>
      </c>
      <c r="AR288" s="2">
        <f t="shared" si="45"/>
        <v>0</v>
      </c>
      <c r="AS288" s="2">
        <f t="shared" si="46"/>
        <v>0</v>
      </c>
      <c r="AT288" s="25">
        <f t="shared" si="47"/>
        <v>0</v>
      </c>
    </row>
    <row r="289" spans="1:46">
      <c r="A289" s="24">
        <v>46121</v>
      </c>
      <c r="B289" s="23">
        <f t="shared" si="40"/>
        <v>46113</v>
      </c>
      <c r="C289" s="2" t="s">
        <v>55</v>
      </c>
      <c r="D289" s="2" t="s">
        <v>1225</v>
      </c>
      <c r="E289" s="2">
        <v>6314</v>
      </c>
      <c r="F289" s="2">
        <v>66</v>
      </c>
      <c r="G289" s="2">
        <f t="shared" si="48"/>
        <v>20</v>
      </c>
      <c r="H289" s="2">
        <f t="shared" si="49"/>
        <v>19</v>
      </c>
      <c r="I289" s="2">
        <v>1</v>
      </c>
      <c r="J289" s="44" t="s">
        <v>48</v>
      </c>
      <c r="K289" s="2" t="s">
        <v>49</v>
      </c>
      <c r="L289" s="2">
        <v>1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/>
      <c r="AM289" s="2" t="s">
        <v>1566</v>
      </c>
      <c r="AN289" s="2">
        <f t="shared" si="41"/>
        <v>1</v>
      </c>
      <c r="AO289" s="2">
        <f t="shared" si="42"/>
        <v>0</v>
      </c>
      <c r="AP289" s="2">
        <f t="shared" si="43"/>
        <v>0</v>
      </c>
      <c r="AQ289" s="2">
        <f t="shared" si="44"/>
        <v>0</v>
      </c>
      <c r="AR289" s="2">
        <f t="shared" si="45"/>
        <v>0</v>
      </c>
      <c r="AS289" s="2">
        <f t="shared" si="46"/>
        <v>0</v>
      </c>
      <c r="AT289" s="25">
        <f t="shared" si="47"/>
        <v>0</v>
      </c>
    </row>
    <row r="290" spans="1:46">
      <c r="A290" s="24">
        <v>46121</v>
      </c>
      <c r="B290" s="23">
        <f t="shared" si="40"/>
        <v>46113</v>
      </c>
      <c r="C290" s="2" t="s">
        <v>55</v>
      </c>
      <c r="D290" s="2" t="s">
        <v>1395</v>
      </c>
      <c r="E290" s="2">
        <v>8193</v>
      </c>
      <c r="F290" s="2">
        <v>765</v>
      </c>
      <c r="G290" s="2">
        <f t="shared" si="48"/>
        <v>80</v>
      </c>
      <c r="H290" s="2">
        <f t="shared" si="49"/>
        <v>78</v>
      </c>
      <c r="I290" s="2">
        <v>2</v>
      </c>
      <c r="J290" s="44" t="s">
        <v>48</v>
      </c>
      <c r="K290" s="2" t="s">
        <v>49</v>
      </c>
      <c r="L290" s="2">
        <v>2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/>
      <c r="AM290" s="2" t="s">
        <v>1566</v>
      </c>
      <c r="AN290" s="2">
        <f t="shared" si="41"/>
        <v>2</v>
      </c>
      <c r="AO290" s="2">
        <f t="shared" si="42"/>
        <v>0</v>
      </c>
      <c r="AP290" s="2">
        <f t="shared" si="43"/>
        <v>0</v>
      </c>
      <c r="AQ290" s="2">
        <f t="shared" si="44"/>
        <v>0</v>
      </c>
      <c r="AR290" s="2">
        <f t="shared" si="45"/>
        <v>0</v>
      </c>
      <c r="AS290" s="2">
        <f t="shared" si="46"/>
        <v>0</v>
      </c>
      <c r="AT290" s="25">
        <f t="shared" si="47"/>
        <v>0</v>
      </c>
    </row>
    <row r="291" spans="1:46">
      <c r="A291" s="24">
        <v>46121</v>
      </c>
      <c r="B291" s="23">
        <f t="shared" si="40"/>
        <v>46113</v>
      </c>
      <c r="C291" s="2" t="s">
        <v>95</v>
      </c>
      <c r="D291" s="2" t="s">
        <v>136</v>
      </c>
      <c r="E291" s="2">
        <v>2679</v>
      </c>
      <c r="F291" s="2">
        <v>107</v>
      </c>
      <c r="G291" s="2">
        <f t="shared" si="48"/>
        <v>20</v>
      </c>
      <c r="H291" s="2">
        <f t="shared" si="49"/>
        <v>19</v>
      </c>
      <c r="I291" s="2">
        <v>1</v>
      </c>
      <c r="J291" s="44" t="s">
        <v>48</v>
      </c>
      <c r="K291" s="2" t="s">
        <v>49</v>
      </c>
      <c r="L291" s="2">
        <v>1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/>
      <c r="AM291" s="2" t="s">
        <v>1567</v>
      </c>
      <c r="AN291" s="2">
        <f t="shared" si="41"/>
        <v>1</v>
      </c>
      <c r="AO291" s="2">
        <f t="shared" si="42"/>
        <v>0</v>
      </c>
      <c r="AP291" s="2">
        <f t="shared" si="43"/>
        <v>0</v>
      </c>
      <c r="AQ291" s="2">
        <f t="shared" si="44"/>
        <v>0</v>
      </c>
      <c r="AR291" s="2">
        <f t="shared" si="45"/>
        <v>0</v>
      </c>
      <c r="AS291" s="2">
        <f t="shared" si="46"/>
        <v>0</v>
      </c>
      <c r="AT291" s="25">
        <f t="shared" si="47"/>
        <v>0</v>
      </c>
    </row>
    <row r="292" spans="1:46">
      <c r="A292" s="24">
        <v>46121</v>
      </c>
      <c r="B292" s="23">
        <f t="shared" si="40"/>
        <v>46113</v>
      </c>
      <c r="C292" s="2" t="s">
        <v>46</v>
      </c>
      <c r="D292" s="2" t="s">
        <v>73</v>
      </c>
      <c r="E292" s="2">
        <v>2702</v>
      </c>
      <c r="F292" s="2">
        <v>104</v>
      </c>
      <c r="G292" s="2">
        <f t="shared" si="48"/>
        <v>20</v>
      </c>
      <c r="H292" s="2">
        <f t="shared" si="49"/>
        <v>19</v>
      </c>
      <c r="I292" s="2">
        <v>1</v>
      </c>
      <c r="J292" s="44" t="s">
        <v>48</v>
      </c>
      <c r="K292" s="2" t="s">
        <v>49</v>
      </c>
      <c r="L292" s="2">
        <v>1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/>
      <c r="AM292" s="2" t="s">
        <v>1567</v>
      </c>
      <c r="AN292" s="2">
        <f t="shared" si="41"/>
        <v>1</v>
      </c>
      <c r="AO292" s="2">
        <f t="shared" si="42"/>
        <v>0</v>
      </c>
      <c r="AP292" s="2">
        <f t="shared" si="43"/>
        <v>0</v>
      </c>
      <c r="AQ292" s="2">
        <f t="shared" si="44"/>
        <v>0</v>
      </c>
      <c r="AR292" s="2">
        <f t="shared" si="45"/>
        <v>0</v>
      </c>
      <c r="AS292" s="2">
        <f t="shared" si="46"/>
        <v>0</v>
      </c>
      <c r="AT292" s="25">
        <f t="shared" si="47"/>
        <v>0</v>
      </c>
    </row>
    <row r="293" spans="1:46">
      <c r="A293" s="24">
        <v>46121</v>
      </c>
      <c r="B293" s="23">
        <f t="shared" si="40"/>
        <v>46113</v>
      </c>
      <c r="C293" s="2" t="s">
        <v>46</v>
      </c>
      <c r="D293" s="2" t="s">
        <v>176</v>
      </c>
      <c r="E293" s="2">
        <v>7152</v>
      </c>
      <c r="F293" s="2">
        <v>121</v>
      </c>
      <c r="G293" s="2">
        <f t="shared" si="48"/>
        <v>20</v>
      </c>
      <c r="H293" s="2">
        <f t="shared" si="49"/>
        <v>19</v>
      </c>
      <c r="I293" s="2">
        <v>1</v>
      </c>
      <c r="J293" s="44" t="s">
        <v>48</v>
      </c>
      <c r="K293" s="2" t="s">
        <v>49</v>
      </c>
      <c r="L293" s="2">
        <v>1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/>
      <c r="AM293" s="2" t="s">
        <v>1567</v>
      </c>
      <c r="AN293" s="2">
        <f t="shared" si="41"/>
        <v>1</v>
      </c>
      <c r="AO293" s="2">
        <f t="shared" si="42"/>
        <v>0</v>
      </c>
      <c r="AP293" s="2">
        <f t="shared" si="43"/>
        <v>0</v>
      </c>
      <c r="AQ293" s="2">
        <f t="shared" si="44"/>
        <v>0</v>
      </c>
      <c r="AR293" s="2">
        <f t="shared" si="45"/>
        <v>0</v>
      </c>
      <c r="AS293" s="2">
        <f t="shared" si="46"/>
        <v>0</v>
      </c>
      <c r="AT293" s="25">
        <f t="shared" si="47"/>
        <v>0</v>
      </c>
    </row>
    <row r="294" spans="1:46">
      <c r="A294" s="24">
        <v>46121</v>
      </c>
      <c r="B294" s="23">
        <f t="shared" si="40"/>
        <v>46113</v>
      </c>
      <c r="C294" s="2" t="s">
        <v>46</v>
      </c>
      <c r="D294" s="2" t="s">
        <v>217</v>
      </c>
      <c r="E294" s="2">
        <v>7152</v>
      </c>
      <c r="F294" s="2">
        <v>160</v>
      </c>
      <c r="G294" s="2">
        <f t="shared" si="48"/>
        <v>32</v>
      </c>
      <c r="H294" s="2">
        <f t="shared" si="49"/>
        <v>30</v>
      </c>
      <c r="I294" s="2">
        <v>2</v>
      </c>
      <c r="J294" s="44" t="s">
        <v>48</v>
      </c>
      <c r="K294" s="2" t="s">
        <v>49</v>
      </c>
      <c r="L294" s="2">
        <v>2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/>
      <c r="AM294" s="2" t="s">
        <v>1567</v>
      </c>
      <c r="AN294" s="2">
        <f t="shared" si="41"/>
        <v>2</v>
      </c>
      <c r="AO294" s="2">
        <f t="shared" si="42"/>
        <v>0</v>
      </c>
      <c r="AP294" s="2">
        <f t="shared" si="43"/>
        <v>0</v>
      </c>
      <c r="AQ294" s="2">
        <f t="shared" si="44"/>
        <v>0</v>
      </c>
      <c r="AR294" s="2">
        <f t="shared" si="45"/>
        <v>0</v>
      </c>
      <c r="AS294" s="2">
        <f t="shared" si="46"/>
        <v>0</v>
      </c>
      <c r="AT294" s="25">
        <f t="shared" si="47"/>
        <v>0</v>
      </c>
    </row>
    <row r="295" spans="1:46">
      <c r="A295" s="24">
        <v>46121</v>
      </c>
      <c r="B295" s="23">
        <f t="shared" si="40"/>
        <v>46113</v>
      </c>
      <c r="C295" s="2" t="s">
        <v>46</v>
      </c>
      <c r="D295" s="2" t="s">
        <v>94</v>
      </c>
      <c r="E295" s="2">
        <v>2481</v>
      </c>
      <c r="F295" s="2">
        <v>180</v>
      </c>
      <c r="G295" s="2">
        <f t="shared" si="48"/>
        <v>32</v>
      </c>
      <c r="H295" s="2">
        <f t="shared" si="49"/>
        <v>32</v>
      </c>
      <c r="I295" s="2">
        <v>0</v>
      </c>
      <c r="J295" s="44" t="s">
        <v>48</v>
      </c>
      <c r="K295" s="2" t="s">
        <v>49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/>
      <c r="AM295" s="2" t="s">
        <v>1567</v>
      </c>
      <c r="AN295" s="2">
        <f t="shared" si="41"/>
        <v>0</v>
      </c>
      <c r="AO295" s="2">
        <f t="shared" si="42"/>
        <v>0</v>
      </c>
      <c r="AP295" s="2">
        <f t="shared" si="43"/>
        <v>0</v>
      </c>
      <c r="AQ295" s="2">
        <f t="shared" si="44"/>
        <v>0</v>
      </c>
      <c r="AR295" s="2">
        <f t="shared" si="45"/>
        <v>0</v>
      </c>
      <c r="AS295" s="2">
        <f t="shared" si="46"/>
        <v>0</v>
      </c>
      <c r="AT295" s="25">
        <f t="shared" si="47"/>
        <v>0</v>
      </c>
    </row>
    <row r="296" spans="1:46">
      <c r="A296" s="24">
        <v>46121</v>
      </c>
      <c r="B296" s="23">
        <f t="shared" si="40"/>
        <v>46113</v>
      </c>
      <c r="C296" s="2" t="s">
        <v>46</v>
      </c>
      <c r="D296" s="2" t="s">
        <v>92</v>
      </c>
      <c r="E296" s="2">
        <v>2481</v>
      </c>
      <c r="F296" s="2">
        <v>156</v>
      </c>
      <c r="G296" s="2">
        <f t="shared" si="48"/>
        <v>32</v>
      </c>
      <c r="H296" s="2">
        <f t="shared" si="49"/>
        <v>32</v>
      </c>
      <c r="I296" s="2">
        <v>0</v>
      </c>
      <c r="J296" s="44" t="s">
        <v>48</v>
      </c>
      <c r="K296" s="2" t="s">
        <v>49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/>
      <c r="AM296" s="2" t="s">
        <v>1567</v>
      </c>
      <c r="AN296" s="2">
        <f t="shared" si="41"/>
        <v>0</v>
      </c>
      <c r="AO296" s="2">
        <f t="shared" si="42"/>
        <v>0</v>
      </c>
      <c r="AP296" s="2">
        <f t="shared" si="43"/>
        <v>0</v>
      </c>
      <c r="AQ296" s="2">
        <f t="shared" si="44"/>
        <v>0</v>
      </c>
      <c r="AR296" s="2">
        <f t="shared" si="45"/>
        <v>0</v>
      </c>
      <c r="AS296" s="2">
        <f t="shared" si="46"/>
        <v>0</v>
      </c>
      <c r="AT296" s="25">
        <f t="shared" si="47"/>
        <v>0</v>
      </c>
    </row>
    <row r="297" spans="1:46">
      <c r="A297" s="24">
        <v>46121</v>
      </c>
      <c r="B297" s="23">
        <f t="shared" si="40"/>
        <v>46113</v>
      </c>
      <c r="C297" s="2" t="s">
        <v>95</v>
      </c>
      <c r="D297" s="2" t="s">
        <v>227</v>
      </c>
      <c r="E297" s="2">
        <v>2679</v>
      </c>
      <c r="F297" s="2">
        <v>70</v>
      </c>
      <c r="G297" s="2">
        <f t="shared" si="48"/>
        <v>20</v>
      </c>
      <c r="H297" s="2">
        <f t="shared" si="49"/>
        <v>20</v>
      </c>
      <c r="I297" s="2">
        <v>0</v>
      </c>
      <c r="J297" s="44" t="s">
        <v>48</v>
      </c>
      <c r="K297" s="2" t="s">
        <v>49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/>
      <c r="AM297" s="2" t="s">
        <v>1567</v>
      </c>
      <c r="AN297" s="2">
        <f t="shared" si="41"/>
        <v>0</v>
      </c>
      <c r="AO297" s="2">
        <f t="shared" si="42"/>
        <v>0</v>
      </c>
      <c r="AP297" s="2">
        <f t="shared" si="43"/>
        <v>0</v>
      </c>
      <c r="AQ297" s="2">
        <f t="shared" si="44"/>
        <v>0</v>
      </c>
      <c r="AR297" s="2">
        <f t="shared" si="45"/>
        <v>0</v>
      </c>
      <c r="AS297" s="2">
        <f t="shared" si="46"/>
        <v>0</v>
      </c>
      <c r="AT297" s="25">
        <f t="shared" si="47"/>
        <v>0</v>
      </c>
    </row>
    <row r="298" spans="1:46">
      <c r="A298" s="24">
        <v>46121</v>
      </c>
      <c r="B298" s="23">
        <f t="shared" si="40"/>
        <v>46113</v>
      </c>
      <c r="C298" s="2" t="s">
        <v>46</v>
      </c>
      <c r="D298" s="2" t="s">
        <v>294</v>
      </c>
      <c r="E298" s="2">
        <v>2781</v>
      </c>
      <c r="F298" s="2">
        <v>190</v>
      </c>
      <c r="G298" s="2">
        <f t="shared" si="48"/>
        <v>32</v>
      </c>
      <c r="H298" s="2">
        <f t="shared" si="49"/>
        <v>32</v>
      </c>
      <c r="I298" s="2">
        <v>0</v>
      </c>
      <c r="J298" s="44" t="s">
        <v>48</v>
      </c>
      <c r="K298" s="2" t="s">
        <v>49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/>
      <c r="AM298" s="2" t="s">
        <v>1567</v>
      </c>
      <c r="AN298" s="2">
        <f t="shared" si="41"/>
        <v>0</v>
      </c>
      <c r="AO298" s="2">
        <f t="shared" si="42"/>
        <v>0</v>
      </c>
      <c r="AP298" s="2">
        <f t="shared" si="43"/>
        <v>0</v>
      </c>
      <c r="AQ298" s="2">
        <f t="shared" si="44"/>
        <v>0</v>
      </c>
      <c r="AR298" s="2">
        <f t="shared" si="45"/>
        <v>0</v>
      </c>
      <c r="AS298" s="2">
        <f t="shared" si="46"/>
        <v>0</v>
      </c>
      <c r="AT298" s="25">
        <f t="shared" si="47"/>
        <v>0</v>
      </c>
    </row>
    <row r="299" spans="1:46">
      <c r="A299" s="24">
        <v>46121</v>
      </c>
      <c r="B299" s="23">
        <f t="shared" si="40"/>
        <v>46113</v>
      </c>
      <c r="C299" s="2" t="s">
        <v>46</v>
      </c>
      <c r="D299" s="2" t="s">
        <v>320</v>
      </c>
      <c r="E299" s="2">
        <v>2781</v>
      </c>
      <c r="F299" s="2">
        <v>202</v>
      </c>
      <c r="G299" s="2">
        <f t="shared" si="48"/>
        <v>32</v>
      </c>
      <c r="H299" s="2">
        <f t="shared" si="49"/>
        <v>31</v>
      </c>
      <c r="I299" s="2">
        <v>1</v>
      </c>
      <c r="J299" s="44" t="s">
        <v>48</v>
      </c>
      <c r="K299" s="2" t="s">
        <v>49</v>
      </c>
      <c r="L299" s="2">
        <v>1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/>
      <c r="AM299" s="2" t="s">
        <v>1567</v>
      </c>
      <c r="AN299" s="2">
        <f t="shared" si="41"/>
        <v>1</v>
      </c>
      <c r="AO299" s="2">
        <f t="shared" si="42"/>
        <v>0</v>
      </c>
      <c r="AP299" s="2">
        <f t="shared" si="43"/>
        <v>0</v>
      </c>
      <c r="AQ299" s="2">
        <f t="shared" si="44"/>
        <v>0</v>
      </c>
      <c r="AR299" s="2">
        <f t="shared" si="45"/>
        <v>0</v>
      </c>
      <c r="AS299" s="2">
        <f t="shared" si="46"/>
        <v>0</v>
      </c>
      <c r="AT299" s="25">
        <f t="shared" si="47"/>
        <v>0</v>
      </c>
    </row>
    <row r="300" spans="1:46">
      <c r="A300" s="24">
        <v>46121</v>
      </c>
      <c r="B300" s="23">
        <f t="shared" si="40"/>
        <v>46113</v>
      </c>
      <c r="C300" s="2" t="s">
        <v>46</v>
      </c>
      <c r="D300" s="2" t="s">
        <v>1214</v>
      </c>
      <c r="E300" s="2">
        <v>6274</v>
      </c>
      <c r="F300" s="2">
        <v>416</v>
      </c>
      <c r="G300" s="2">
        <f t="shared" si="48"/>
        <v>50</v>
      </c>
      <c r="H300" s="2">
        <f t="shared" si="49"/>
        <v>49</v>
      </c>
      <c r="I300" s="2">
        <v>1</v>
      </c>
      <c r="J300" s="44" t="s">
        <v>48</v>
      </c>
      <c r="K300" s="2" t="s">
        <v>49</v>
      </c>
      <c r="L300" s="2">
        <v>1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/>
      <c r="AM300" s="2" t="s">
        <v>1567</v>
      </c>
      <c r="AN300" s="2">
        <f t="shared" si="41"/>
        <v>1</v>
      </c>
      <c r="AO300" s="2">
        <f t="shared" si="42"/>
        <v>0</v>
      </c>
      <c r="AP300" s="2">
        <f t="shared" si="43"/>
        <v>0</v>
      </c>
      <c r="AQ300" s="2">
        <f t="shared" si="44"/>
        <v>0</v>
      </c>
      <c r="AR300" s="2">
        <f t="shared" si="45"/>
        <v>0</v>
      </c>
      <c r="AS300" s="2">
        <f t="shared" si="46"/>
        <v>0</v>
      </c>
      <c r="AT300" s="25">
        <f t="shared" si="47"/>
        <v>0</v>
      </c>
    </row>
    <row r="301" spans="1:46">
      <c r="A301" s="24">
        <v>46121</v>
      </c>
      <c r="B301" s="23">
        <f t="shared" si="40"/>
        <v>46113</v>
      </c>
      <c r="C301" s="2" t="s">
        <v>46</v>
      </c>
      <c r="D301" s="2" t="s">
        <v>269</v>
      </c>
      <c r="E301" s="2">
        <v>6207</v>
      </c>
      <c r="F301" s="2">
        <v>485</v>
      </c>
      <c r="G301" s="2">
        <f t="shared" si="48"/>
        <v>50</v>
      </c>
      <c r="H301" s="2">
        <f t="shared" si="49"/>
        <v>48</v>
      </c>
      <c r="I301" s="2">
        <v>2</v>
      </c>
      <c r="J301" s="44" t="s">
        <v>48</v>
      </c>
      <c r="K301" s="2" t="s">
        <v>49</v>
      </c>
      <c r="L301" s="2">
        <v>2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/>
      <c r="AM301" s="2" t="s">
        <v>1567</v>
      </c>
      <c r="AN301" s="2">
        <f t="shared" si="41"/>
        <v>2</v>
      </c>
      <c r="AO301" s="2">
        <f t="shared" si="42"/>
        <v>0</v>
      </c>
      <c r="AP301" s="2">
        <f t="shared" si="43"/>
        <v>0</v>
      </c>
      <c r="AQ301" s="2">
        <f t="shared" si="44"/>
        <v>0</v>
      </c>
      <c r="AR301" s="2">
        <f t="shared" si="45"/>
        <v>0</v>
      </c>
      <c r="AS301" s="2">
        <f t="shared" si="46"/>
        <v>0</v>
      </c>
      <c r="AT301" s="25">
        <f t="shared" si="47"/>
        <v>0</v>
      </c>
    </row>
    <row r="302" spans="1:46">
      <c r="A302" s="24">
        <v>46121</v>
      </c>
      <c r="B302" s="23">
        <f t="shared" si="40"/>
        <v>46113</v>
      </c>
      <c r="C302" s="2" t="s">
        <v>95</v>
      </c>
      <c r="D302" s="2" t="s">
        <v>414</v>
      </c>
      <c r="E302" s="2">
        <v>2679</v>
      </c>
      <c r="F302" s="2">
        <v>52</v>
      </c>
      <c r="G302" s="2">
        <f t="shared" si="48"/>
        <v>20</v>
      </c>
      <c r="H302" s="2">
        <f t="shared" si="49"/>
        <v>20</v>
      </c>
      <c r="I302" s="2">
        <v>0</v>
      </c>
      <c r="J302" s="44" t="s">
        <v>48</v>
      </c>
      <c r="K302" s="2" t="s">
        <v>49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/>
      <c r="AM302" s="2" t="s">
        <v>1567</v>
      </c>
      <c r="AN302" s="2">
        <f t="shared" si="41"/>
        <v>0</v>
      </c>
      <c r="AO302" s="2">
        <f t="shared" si="42"/>
        <v>0</v>
      </c>
      <c r="AP302" s="2">
        <f t="shared" si="43"/>
        <v>0</v>
      </c>
      <c r="AQ302" s="2">
        <f t="shared" si="44"/>
        <v>0</v>
      </c>
      <c r="AR302" s="2">
        <f t="shared" si="45"/>
        <v>0</v>
      </c>
      <c r="AS302" s="2">
        <f t="shared" si="46"/>
        <v>0</v>
      </c>
      <c r="AT302" s="25">
        <f t="shared" si="47"/>
        <v>0</v>
      </c>
    </row>
    <row r="303" spans="1:46">
      <c r="A303" s="24">
        <v>46121</v>
      </c>
      <c r="B303" s="23">
        <f t="shared" si="40"/>
        <v>46113</v>
      </c>
      <c r="C303" s="2" t="s">
        <v>46</v>
      </c>
      <c r="D303" s="2" t="s">
        <v>1415</v>
      </c>
      <c r="E303" s="2">
        <v>6207</v>
      </c>
      <c r="F303" s="2">
        <v>308</v>
      </c>
      <c r="G303" s="2">
        <f t="shared" si="48"/>
        <v>50</v>
      </c>
      <c r="H303" s="2">
        <f t="shared" si="49"/>
        <v>49</v>
      </c>
      <c r="I303" s="2">
        <v>1</v>
      </c>
      <c r="J303" s="44" t="s">
        <v>48</v>
      </c>
      <c r="K303" s="2" t="s">
        <v>49</v>
      </c>
      <c r="L303" s="2">
        <v>1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/>
      <c r="AM303" s="2" t="s">
        <v>1567</v>
      </c>
      <c r="AN303" s="2">
        <f t="shared" si="41"/>
        <v>1</v>
      </c>
      <c r="AO303" s="2">
        <f t="shared" si="42"/>
        <v>0</v>
      </c>
      <c r="AP303" s="2">
        <f t="shared" si="43"/>
        <v>0</v>
      </c>
      <c r="AQ303" s="2">
        <f t="shared" si="44"/>
        <v>0</v>
      </c>
      <c r="AR303" s="2">
        <f t="shared" si="45"/>
        <v>0</v>
      </c>
      <c r="AS303" s="2">
        <f t="shared" si="46"/>
        <v>0</v>
      </c>
      <c r="AT303" s="25">
        <f t="shared" si="47"/>
        <v>0</v>
      </c>
    </row>
    <row r="304" spans="1:46">
      <c r="A304" s="24">
        <v>46121</v>
      </c>
      <c r="B304" s="23">
        <f t="shared" si="40"/>
        <v>46113</v>
      </c>
      <c r="C304" s="2" t="s">
        <v>82</v>
      </c>
      <c r="D304" s="2" t="s">
        <v>68</v>
      </c>
      <c r="E304" s="2">
        <v>2638</v>
      </c>
      <c r="F304" s="2">
        <v>372</v>
      </c>
      <c r="G304" s="2">
        <f t="shared" si="48"/>
        <v>50</v>
      </c>
      <c r="H304" s="2">
        <f t="shared" si="49"/>
        <v>50</v>
      </c>
      <c r="I304" s="2">
        <v>0</v>
      </c>
      <c r="J304" s="44" t="s">
        <v>48</v>
      </c>
      <c r="K304" s="2" t="s">
        <v>49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/>
      <c r="AM304" s="2" t="s">
        <v>93</v>
      </c>
      <c r="AN304" s="2">
        <f t="shared" si="41"/>
        <v>0</v>
      </c>
      <c r="AO304" s="2">
        <f t="shared" si="42"/>
        <v>0</v>
      </c>
      <c r="AP304" s="2">
        <f t="shared" si="43"/>
        <v>0</v>
      </c>
      <c r="AQ304" s="2">
        <f t="shared" si="44"/>
        <v>0</v>
      </c>
      <c r="AR304" s="2">
        <f t="shared" si="45"/>
        <v>0</v>
      </c>
      <c r="AS304" s="2">
        <f t="shared" si="46"/>
        <v>0</v>
      </c>
      <c r="AT304" s="25">
        <f t="shared" si="47"/>
        <v>0</v>
      </c>
    </row>
    <row r="305" spans="1:46">
      <c r="A305" s="24">
        <v>46121</v>
      </c>
      <c r="B305" s="23">
        <f t="shared" si="40"/>
        <v>46113</v>
      </c>
      <c r="C305" s="2" t="s">
        <v>160</v>
      </c>
      <c r="D305" s="2" t="s">
        <v>162</v>
      </c>
      <c r="E305" s="2">
        <v>3227</v>
      </c>
      <c r="F305" s="2">
        <v>66</v>
      </c>
      <c r="G305" s="2">
        <f t="shared" si="48"/>
        <v>20</v>
      </c>
      <c r="H305" s="2">
        <f t="shared" si="49"/>
        <v>18</v>
      </c>
      <c r="I305" s="2">
        <v>2</v>
      </c>
      <c r="J305" s="44" t="s">
        <v>67</v>
      </c>
      <c r="K305" s="2" t="s">
        <v>49</v>
      </c>
      <c r="L305" s="2">
        <v>1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1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/>
      <c r="AM305" s="2" t="s">
        <v>93</v>
      </c>
      <c r="AN305" s="2">
        <f t="shared" si="41"/>
        <v>1</v>
      </c>
      <c r="AO305" s="2">
        <f t="shared" si="42"/>
        <v>0</v>
      </c>
      <c r="AP305" s="2">
        <f t="shared" si="43"/>
        <v>0</v>
      </c>
      <c r="AQ305" s="2">
        <f t="shared" si="44"/>
        <v>0</v>
      </c>
      <c r="AR305" s="2">
        <f t="shared" si="45"/>
        <v>1</v>
      </c>
      <c r="AS305" s="2">
        <f t="shared" si="46"/>
        <v>0</v>
      </c>
      <c r="AT305" s="25">
        <f t="shared" si="47"/>
        <v>0</v>
      </c>
    </row>
    <row r="306" spans="1:46">
      <c r="A306" s="24">
        <v>46121</v>
      </c>
      <c r="B306" s="23">
        <f t="shared" si="40"/>
        <v>46113</v>
      </c>
      <c r="C306" s="2" t="s">
        <v>82</v>
      </c>
      <c r="D306" s="2" t="s">
        <v>104</v>
      </c>
      <c r="E306" s="2">
        <v>2638</v>
      </c>
      <c r="F306" s="2">
        <v>630</v>
      </c>
      <c r="G306" s="2">
        <f t="shared" si="48"/>
        <v>80</v>
      </c>
      <c r="H306" s="2">
        <f t="shared" si="49"/>
        <v>80</v>
      </c>
      <c r="I306" s="2">
        <v>0</v>
      </c>
      <c r="J306" s="44" t="s">
        <v>48</v>
      </c>
      <c r="K306" s="2" t="s">
        <v>49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/>
      <c r="AM306" s="2" t="s">
        <v>93</v>
      </c>
      <c r="AN306" s="2">
        <f t="shared" si="41"/>
        <v>0</v>
      </c>
      <c r="AO306" s="2">
        <f t="shared" si="42"/>
        <v>0</v>
      </c>
      <c r="AP306" s="2">
        <f t="shared" si="43"/>
        <v>0</v>
      </c>
      <c r="AQ306" s="2">
        <f t="shared" si="44"/>
        <v>0</v>
      </c>
      <c r="AR306" s="2">
        <f t="shared" si="45"/>
        <v>0</v>
      </c>
      <c r="AS306" s="2">
        <f t="shared" si="46"/>
        <v>0</v>
      </c>
      <c r="AT306" s="25">
        <f t="shared" si="47"/>
        <v>0</v>
      </c>
    </row>
    <row r="307" spans="1:46">
      <c r="A307" s="24">
        <v>46121</v>
      </c>
      <c r="B307" s="23">
        <f t="shared" si="40"/>
        <v>46113</v>
      </c>
      <c r="C307" s="2" t="s">
        <v>160</v>
      </c>
      <c r="D307" s="2" t="s">
        <v>162</v>
      </c>
      <c r="E307" s="2">
        <v>3227</v>
      </c>
      <c r="F307" s="2">
        <v>60</v>
      </c>
      <c r="G307" s="2">
        <f t="shared" si="48"/>
        <v>20</v>
      </c>
      <c r="H307" s="2">
        <f t="shared" si="49"/>
        <v>20</v>
      </c>
      <c r="I307" s="2">
        <v>0</v>
      </c>
      <c r="J307" s="44" t="s">
        <v>48</v>
      </c>
      <c r="K307" s="2" t="s">
        <v>49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/>
      <c r="AM307" s="2" t="s">
        <v>93</v>
      </c>
      <c r="AN307" s="2">
        <f t="shared" si="41"/>
        <v>0</v>
      </c>
      <c r="AO307" s="2">
        <f t="shared" si="42"/>
        <v>0</v>
      </c>
      <c r="AP307" s="2">
        <f t="shared" si="43"/>
        <v>0</v>
      </c>
      <c r="AQ307" s="2">
        <f t="shared" si="44"/>
        <v>0</v>
      </c>
      <c r="AR307" s="2">
        <f t="shared" si="45"/>
        <v>0</v>
      </c>
      <c r="AS307" s="2">
        <f t="shared" si="46"/>
        <v>0</v>
      </c>
      <c r="AT307" s="25">
        <f t="shared" si="47"/>
        <v>0</v>
      </c>
    </row>
    <row r="308" spans="1:46">
      <c r="A308" s="24">
        <v>46121</v>
      </c>
      <c r="B308" s="23">
        <f t="shared" si="40"/>
        <v>46113</v>
      </c>
      <c r="C308" s="2" t="s">
        <v>82</v>
      </c>
      <c r="D308" s="2" t="s">
        <v>130</v>
      </c>
      <c r="E308" s="2">
        <v>2656</v>
      </c>
      <c r="F308" s="2">
        <v>510</v>
      </c>
      <c r="G308" s="2">
        <f t="shared" si="48"/>
        <v>80</v>
      </c>
      <c r="H308" s="2">
        <f t="shared" si="49"/>
        <v>80</v>
      </c>
      <c r="I308" s="2">
        <v>0</v>
      </c>
      <c r="J308" s="44" t="s">
        <v>48</v>
      </c>
      <c r="K308" s="2" t="s">
        <v>49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/>
      <c r="AM308" s="2" t="s">
        <v>93</v>
      </c>
      <c r="AN308" s="2">
        <f t="shared" si="41"/>
        <v>0</v>
      </c>
      <c r="AO308" s="2">
        <f t="shared" si="42"/>
        <v>0</v>
      </c>
      <c r="AP308" s="2">
        <f t="shared" si="43"/>
        <v>0</v>
      </c>
      <c r="AQ308" s="2">
        <f t="shared" si="44"/>
        <v>0</v>
      </c>
      <c r="AR308" s="2">
        <f t="shared" si="45"/>
        <v>0</v>
      </c>
      <c r="AS308" s="2">
        <f t="shared" si="46"/>
        <v>0</v>
      </c>
      <c r="AT308" s="25">
        <f t="shared" si="47"/>
        <v>0</v>
      </c>
    </row>
    <row r="309" spans="1:46">
      <c r="A309" s="24">
        <v>46121</v>
      </c>
      <c r="B309" s="23">
        <f t="shared" si="40"/>
        <v>46113</v>
      </c>
      <c r="C309" s="2" t="s">
        <v>97</v>
      </c>
      <c r="D309" s="2" t="s">
        <v>1386</v>
      </c>
      <c r="E309" s="2">
        <v>3327</v>
      </c>
      <c r="F309" s="2">
        <v>59</v>
      </c>
      <c r="G309" s="2">
        <f t="shared" si="48"/>
        <v>20</v>
      </c>
      <c r="H309" s="2">
        <f t="shared" si="49"/>
        <v>20</v>
      </c>
      <c r="I309" s="2">
        <v>0</v>
      </c>
      <c r="J309" s="44" t="s">
        <v>48</v>
      </c>
      <c r="K309" s="2" t="s">
        <v>49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/>
      <c r="AM309" s="2" t="s">
        <v>93</v>
      </c>
      <c r="AN309" s="2">
        <f t="shared" si="41"/>
        <v>0</v>
      </c>
      <c r="AO309" s="2">
        <f t="shared" si="42"/>
        <v>0</v>
      </c>
      <c r="AP309" s="2">
        <f t="shared" si="43"/>
        <v>0</v>
      </c>
      <c r="AQ309" s="2">
        <f t="shared" si="44"/>
        <v>0</v>
      </c>
      <c r="AR309" s="2">
        <f t="shared" si="45"/>
        <v>0</v>
      </c>
      <c r="AS309" s="2">
        <f t="shared" si="46"/>
        <v>0</v>
      </c>
      <c r="AT309" s="25">
        <f t="shared" si="47"/>
        <v>0</v>
      </c>
    </row>
    <row r="310" spans="1:46">
      <c r="A310" s="24">
        <v>46122</v>
      </c>
      <c r="B310" s="23">
        <f t="shared" si="40"/>
        <v>46113</v>
      </c>
      <c r="C310" s="2" t="s">
        <v>72</v>
      </c>
      <c r="D310" s="2" t="s">
        <v>184</v>
      </c>
      <c r="E310" s="2">
        <v>3317</v>
      </c>
      <c r="F310" s="2">
        <v>62</v>
      </c>
      <c r="G310" s="2">
        <f t="shared" si="48"/>
        <v>20</v>
      </c>
      <c r="H310" s="2">
        <f t="shared" si="49"/>
        <v>20</v>
      </c>
      <c r="I310" s="2">
        <v>0</v>
      </c>
      <c r="J310" s="44" t="s">
        <v>48</v>
      </c>
      <c r="K310" s="2" t="s">
        <v>49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/>
      <c r="AM310" s="2" t="s">
        <v>103</v>
      </c>
      <c r="AN310" s="2">
        <f t="shared" si="41"/>
        <v>0</v>
      </c>
      <c r="AO310" s="2">
        <f t="shared" si="42"/>
        <v>0</v>
      </c>
      <c r="AP310" s="2">
        <f t="shared" si="43"/>
        <v>0</v>
      </c>
      <c r="AQ310" s="2">
        <f t="shared" si="44"/>
        <v>0</v>
      </c>
      <c r="AR310" s="2">
        <f t="shared" si="45"/>
        <v>0</v>
      </c>
      <c r="AS310" s="2">
        <f t="shared" si="46"/>
        <v>0</v>
      </c>
      <c r="AT310" s="25">
        <f t="shared" si="47"/>
        <v>0</v>
      </c>
    </row>
    <row r="311" spans="1:46">
      <c r="A311" s="24">
        <v>46122</v>
      </c>
      <c r="B311" s="23">
        <f t="shared" si="40"/>
        <v>46113</v>
      </c>
      <c r="C311" s="2" t="s">
        <v>72</v>
      </c>
      <c r="D311" s="2" t="s">
        <v>84</v>
      </c>
      <c r="E311" s="2">
        <v>1825</v>
      </c>
      <c r="F311" s="2">
        <v>220</v>
      </c>
      <c r="G311" s="2">
        <f t="shared" si="48"/>
        <v>32</v>
      </c>
      <c r="H311" s="2">
        <f t="shared" si="49"/>
        <v>32</v>
      </c>
      <c r="I311" s="2">
        <v>0</v>
      </c>
      <c r="J311" s="44" t="s">
        <v>48</v>
      </c>
      <c r="K311" s="2" t="s">
        <v>49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/>
      <c r="AM311" s="2" t="s">
        <v>103</v>
      </c>
      <c r="AN311" s="2">
        <f t="shared" si="41"/>
        <v>0</v>
      </c>
      <c r="AO311" s="2">
        <f t="shared" si="42"/>
        <v>0</v>
      </c>
      <c r="AP311" s="2">
        <f t="shared" si="43"/>
        <v>0</v>
      </c>
      <c r="AQ311" s="2">
        <f t="shared" si="44"/>
        <v>0</v>
      </c>
      <c r="AR311" s="2">
        <f t="shared" si="45"/>
        <v>0</v>
      </c>
      <c r="AS311" s="2">
        <f t="shared" si="46"/>
        <v>0</v>
      </c>
      <c r="AT311" s="25">
        <f t="shared" si="47"/>
        <v>0</v>
      </c>
    </row>
    <row r="312" spans="1:46">
      <c r="A312" s="24">
        <v>46122</v>
      </c>
      <c r="B312" s="23">
        <f t="shared" si="40"/>
        <v>46113</v>
      </c>
      <c r="C312" s="2" t="s">
        <v>72</v>
      </c>
      <c r="D312" s="2" t="s">
        <v>151</v>
      </c>
      <c r="E312" s="2">
        <v>3290</v>
      </c>
      <c r="F312" s="2">
        <v>356</v>
      </c>
      <c r="G312" s="2">
        <f t="shared" si="48"/>
        <v>50</v>
      </c>
      <c r="H312" s="2">
        <f t="shared" si="49"/>
        <v>48</v>
      </c>
      <c r="I312" s="2">
        <v>2</v>
      </c>
      <c r="J312" s="44" t="s">
        <v>48</v>
      </c>
      <c r="K312" s="2" t="s">
        <v>49</v>
      </c>
      <c r="L312" s="2">
        <v>2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/>
      <c r="AM312" s="2" t="s">
        <v>103</v>
      </c>
      <c r="AN312" s="2">
        <f t="shared" si="41"/>
        <v>2</v>
      </c>
      <c r="AO312" s="2">
        <f t="shared" si="42"/>
        <v>0</v>
      </c>
      <c r="AP312" s="2">
        <f t="shared" si="43"/>
        <v>0</v>
      </c>
      <c r="AQ312" s="2">
        <f t="shared" si="44"/>
        <v>0</v>
      </c>
      <c r="AR312" s="2">
        <f t="shared" si="45"/>
        <v>0</v>
      </c>
      <c r="AS312" s="2">
        <f t="shared" si="46"/>
        <v>0</v>
      </c>
      <c r="AT312" s="25">
        <f t="shared" si="47"/>
        <v>0</v>
      </c>
    </row>
    <row r="313" spans="1:46">
      <c r="A313" s="24">
        <v>46122</v>
      </c>
      <c r="B313" s="23">
        <f t="shared" si="40"/>
        <v>46113</v>
      </c>
      <c r="C313" s="2" t="s">
        <v>72</v>
      </c>
      <c r="D313" s="2" t="s">
        <v>260</v>
      </c>
      <c r="E313" s="2">
        <v>3295</v>
      </c>
      <c r="F313" s="2">
        <v>312</v>
      </c>
      <c r="G313" s="2">
        <f t="shared" si="48"/>
        <v>50</v>
      </c>
      <c r="H313" s="2">
        <f t="shared" si="49"/>
        <v>50</v>
      </c>
      <c r="I313" s="2">
        <v>0</v>
      </c>
      <c r="J313" s="44" t="s">
        <v>48</v>
      </c>
      <c r="K313" s="2" t="s">
        <v>49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/>
      <c r="AM313" s="2" t="s">
        <v>103</v>
      </c>
      <c r="AN313" s="2">
        <f t="shared" si="41"/>
        <v>0</v>
      </c>
      <c r="AO313" s="2">
        <f t="shared" si="42"/>
        <v>0</v>
      </c>
      <c r="AP313" s="2">
        <f t="shared" si="43"/>
        <v>0</v>
      </c>
      <c r="AQ313" s="2">
        <f t="shared" si="44"/>
        <v>0</v>
      </c>
      <c r="AR313" s="2">
        <f t="shared" si="45"/>
        <v>0</v>
      </c>
      <c r="AS313" s="2">
        <f t="shared" si="46"/>
        <v>0</v>
      </c>
      <c r="AT313" s="25">
        <f t="shared" si="47"/>
        <v>0</v>
      </c>
    </row>
    <row r="314" spans="1:46">
      <c r="A314" s="24">
        <v>46122</v>
      </c>
      <c r="B314" s="23">
        <f t="shared" si="40"/>
        <v>46113</v>
      </c>
      <c r="C314" s="2" t="s">
        <v>72</v>
      </c>
      <c r="D314" s="2" t="s">
        <v>221</v>
      </c>
      <c r="E314" s="2">
        <v>6258</v>
      </c>
      <c r="F314" s="2">
        <v>62</v>
      </c>
      <c r="G314" s="2">
        <f t="shared" si="48"/>
        <v>20</v>
      </c>
      <c r="H314" s="2">
        <f t="shared" si="49"/>
        <v>20</v>
      </c>
      <c r="I314" s="2">
        <v>0</v>
      </c>
      <c r="J314" s="44" t="s">
        <v>48</v>
      </c>
      <c r="K314" s="2" t="s">
        <v>49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/>
      <c r="AM314" s="2" t="s">
        <v>103</v>
      </c>
      <c r="AN314" s="2">
        <f t="shared" si="41"/>
        <v>0</v>
      </c>
      <c r="AO314" s="2">
        <f t="shared" si="42"/>
        <v>0</v>
      </c>
      <c r="AP314" s="2">
        <f t="shared" si="43"/>
        <v>0</v>
      </c>
      <c r="AQ314" s="2">
        <f t="shared" si="44"/>
        <v>0</v>
      </c>
      <c r="AR314" s="2">
        <f t="shared" si="45"/>
        <v>0</v>
      </c>
      <c r="AS314" s="2">
        <f t="shared" si="46"/>
        <v>0</v>
      </c>
      <c r="AT314" s="25">
        <f t="shared" si="47"/>
        <v>0</v>
      </c>
    </row>
    <row r="315" spans="1:46">
      <c r="A315" s="24">
        <v>46122</v>
      </c>
      <c r="B315" s="23">
        <f t="shared" si="40"/>
        <v>46113</v>
      </c>
      <c r="C315" s="2" t="s">
        <v>114</v>
      </c>
      <c r="D315" s="2" t="s">
        <v>1411</v>
      </c>
      <c r="E315" s="2">
        <v>6206</v>
      </c>
      <c r="F315" s="2">
        <v>700</v>
      </c>
      <c r="G315" s="2">
        <f t="shared" si="48"/>
        <v>80</v>
      </c>
      <c r="H315" s="2">
        <f t="shared" si="49"/>
        <v>80</v>
      </c>
      <c r="I315" s="2">
        <v>0</v>
      </c>
      <c r="J315" s="44" t="s">
        <v>48</v>
      </c>
      <c r="K315" s="2" t="s">
        <v>49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/>
      <c r="AM315" s="2" t="s">
        <v>103</v>
      </c>
      <c r="AN315" s="2">
        <f t="shared" si="41"/>
        <v>0</v>
      </c>
      <c r="AO315" s="2">
        <f t="shared" si="42"/>
        <v>0</v>
      </c>
      <c r="AP315" s="2">
        <f t="shared" si="43"/>
        <v>0</v>
      </c>
      <c r="AQ315" s="2">
        <f t="shared" si="44"/>
        <v>0</v>
      </c>
      <c r="AR315" s="2">
        <f t="shared" si="45"/>
        <v>0</v>
      </c>
      <c r="AS315" s="2">
        <f t="shared" si="46"/>
        <v>0</v>
      </c>
      <c r="AT315" s="25">
        <f t="shared" si="47"/>
        <v>0</v>
      </c>
    </row>
    <row r="316" spans="1:46">
      <c r="A316" s="24">
        <v>46122</v>
      </c>
      <c r="B316" s="23">
        <f t="shared" si="40"/>
        <v>46113</v>
      </c>
      <c r="C316" s="2" t="s">
        <v>72</v>
      </c>
      <c r="D316" s="2" t="s">
        <v>184</v>
      </c>
      <c r="E316" s="2">
        <v>3317</v>
      </c>
      <c r="F316" s="2">
        <v>61</v>
      </c>
      <c r="G316" s="2">
        <f t="shared" si="48"/>
        <v>20</v>
      </c>
      <c r="H316" s="2">
        <f t="shared" si="49"/>
        <v>20</v>
      </c>
      <c r="I316" s="2">
        <v>0</v>
      </c>
      <c r="J316" s="44" t="s">
        <v>48</v>
      </c>
      <c r="K316" s="2" t="s">
        <v>49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/>
      <c r="AM316" s="2" t="s">
        <v>103</v>
      </c>
      <c r="AN316" s="2">
        <f t="shared" si="41"/>
        <v>0</v>
      </c>
      <c r="AO316" s="2">
        <f t="shared" si="42"/>
        <v>0</v>
      </c>
      <c r="AP316" s="2">
        <f t="shared" si="43"/>
        <v>0</v>
      </c>
      <c r="AQ316" s="2">
        <f t="shared" si="44"/>
        <v>0</v>
      </c>
      <c r="AR316" s="2">
        <f t="shared" si="45"/>
        <v>0</v>
      </c>
      <c r="AS316" s="2">
        <f t="shared" si="46"/>
        <v>0</v>
      </c>
      <c r="AT316" s="25">
        <f t="shared" si="47"/>
        <v>0</v>
      </c>
    </row>
    <row r="317" spans="1:46">
      <c r="A317" s="24">
        <v>46122</v>
      </c>
      <c r="B317" s="23">
        <f t="shared" si="40"/>
        <v>46113</v>
      </c>
      <c r="C317" s="2" t="s">
        <v>72</v>
      </c>
      <c r="D317" s="2" t="s">
        <v>361</v>
      </c>
      <c r="E317" s="2">
        <v>6291</v>
      </c>
      <c r="F317" s="2">
        <v>422</v>
      </c>
      <c r="G317" s="2">
        <f t="shared" si="48"/>
        <v>50</v>
      </c>
      <c r="H317" s="2">
        <f t="shared" si="49"/>
        <v>49</v>
      </c>
      <c r="I317" s="2">
        <v>1</v>
      </c>
      <c r="J317" s="44" t="s">
        <v>48</v>
      </c>
      <c r="K317" s="2" t="s">
        <v>49</v>
      </c>
      <c r="L317" s="2">
        <v>1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/>
      <c r="AM317" s="2" t="s">
        <v>103</v>
      </c>
      <c r="AN317" s="2">
        <f t="shared" si="41"/>
        <v>1</v>
      </c>
      <c r="AO317" s="2">
        <f t="shared" si="42"/>
        <v>0</v>
      </c>
      <c r="AP317" s="2">
        <f t="shared" si="43"/>
        <v>0</v>
      </c>
      <c r="AQ317" s="2">
        <f t="shared" si="44"/>
        <v>0</v>
      </c>
      <c r="AR317" s="2">
        <f t="shared" si="45"/>
        <v>0</v>
      </c>
      <c r="AS317" s="2">
        <f t="shared" si="46"/>
        <v>0</v>
      </c>
      <c r="AT317" s="25">
        <f t="shared" si="47"/>
        <v>0</v>
      </c>
    </row>
    <row r="318" spans="1:46">
      <c r="A318" s="24">
        <v>46122</v>
      </c>
      <c r="B318" s="23">
        <f t="shared" si="40"/>
        <v>46113</v>
      </c>
      <c r="C318" s="2" t="s">
        <v>72</v>
      </c>
      <c r="D318" s="2" t="s">
        <v>1514</v>
      </c>
      <c r="E318" s="2">
        <v>3341</v>
      </c>
      <c r="F318" s="2">
        <v>91</v>
      </c>
      <c r="G318" s="2">
        <f t="shared" si="48"/>
        <v>20</v>
      </c>
      <c r="H318" s="2">
        <f t="shared" si="49"/>
        <v>19</v>
      </c>
      <c r="I318" s="2">
        <v>1</v>
      </c>
      <c r="J318" s="44" t="s">
        <v>48</v>
      </c>
      <c r="K318" s="2" t="s">
        <v>49</v>
      </c>
      <c r="L318" s="2">
        <v>1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/>
      <c r="AM318" s="2" t="s">
        <v>103</v>
      </c>
      <c r="AN318" s="2">
        <f t="shared" si="41"/>
        <v>1</v>
      </c>
      <c r="AO318" s="2">
        <f t="shared" si="42"/>
        <v>0</v>
      </c>
      <c r="AP318" s="2">
        <f t="shared" si="43"/>
        <v>0</v>
      </c>
      <c r="AQ318" s="2">
        <f t="shared" si="44"/>
        <v>0</v>
      </c>
      <c r="AR318" s="2">
        <f t="shared" si="45"/>
        <v>0</v>
      </c>
      <c r="AS318" s="2">
        <f t="shared" si="46"/>
        <v>0</v>
      </c>
      <c r="AT318" s="25">
        <f t="shared" si="47"/>
        <v>0</v>
      </c>
    </row>
    <row r="319" spans="1:46">
      <c r="A319" s="24">
        <v>46122</v>
      </c>
      <c r="B319" s="23">
        <f t="shared" si="40"/>
        <v>46113</v>
      </c>
      <c r="C319" s="2" t="s">
        <v>72</v>
      </c>
      <c r="D319" s="2" t="s">
        <v>157</v>
      </c>
      <c r="E319" s="2">
        <v>6225</v>
      </c>
      <c r="F319" s="2">
        <v>100</v>
      </c>
      <c r="G319" s="2">
        <f t="shared" si="48"/>
        <v>20</v>
      </c>
      <c r="H319" s="2">
        <f t="shared" si="49"/>
        <v>20</v>
      </c>
      <c r="I319" s="2">
        <v>0</v>
      </c>
      <c r="J319" s="44" t="s">
        <v>48</v>
      </c>
      <c r="K319" s="2" t="s">
        <v>49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/>
      <c r="AM319" s="2" t="s">
        <v>103</v>
      </c>
      <c r="AN319" s="2">
        <f t="shared" si="41"/>
        <v>0</v>
      </c>
      <c r="AO319" s="2">
        <f t="shared" si="42"/>
        <v>0</v>
      </c>
      <c r="AP319" s="2">
        <f t="shared" si="43"/>
        <v>0</v>
      </c>
      <c r="AQ319" s="2">
        <f t="shared" si="44"/>
        <v>0</v>
      </c>
      <c r="AR319" s="2">
        <f t="shared" si="45"/>
        <v>0</v>
      </c>
      <c r="AS319" s="2">
        <f t="shared" si="46"/>
        <v>0</v>
      </c>
      <c r="AT319" s="25">
        <f t="shared" si="47"/>
        <v>0</v>
      </c>
    </row>
    <row r="320" spans="1:46">
      <c r="A320" s="24">
        <v>46122</v>
      </c>
      <c r="B320" s="23">
        <f t="shared" si="40"/>
        <v>46113</v>
      </c>
      <c r="C320" s="2" t="s">
        <v>82</v>
      </c>
      <c r="D320" s="2" t="s">
        <v>293</v>
      </c>
      <c r="E320" s="2">
        <v>3247</v>
      </c>
      <c r="F320" s="2">
        <v>135</v>
      </c>
      <c r="G320" s="2">
        <f t="shared" si="48"/>
        <v>20</v>
      </c>
      <c r="H320" s="2">
        <f t="shared" si="49"/>
        <v>20</v>
      </c>
      <c r="I320" s="2">
        <v>0</v>
      </c>
      <c r="J320" s="44" t="s">
        <v>48</v>
      </c>
      <c r="K320" s="2" t="s">
        <v>49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/>
      <c r="AM320" s="2" t="s">
        <v>93</v>
      </c>
      <c r="AN320" s="2">
        <f t="shared" si="41"/>
        <v>0</v>
      </c>
      <c r="AO320" s="2">
        <f t="shared" si="42"/>
        <v>0</v>
      </c>
      <c r="AP320" s="2">
        <f t="shared" si="43"/>
        <v>0</v>
      </c>
      <c r="AQ320" s="2">
        <f t="shared" si="44"/>
        <v>0</v>
      </c>
      <c r="AR320" s="2">
        <f t="shared" si="45"/>
        <v>0</v>
      </c>
      <c r="AS320" s="2">
        <f t="shared" si="46"/>
        <v>0</v>
      </c>
      <c r="AT320" s="25">
        <f t="shared" si="47"/>
        <v>0</v>
      </c>
    </row>
    <row r="321" spans="1:46">
      <c r="A321" s="24">
        <v>46122</v>
      </c>
      <c r="B321" s="23">
        <f t="shared" si="40"/>
        <v>46113</v>
      </c>
      <c r="C321" s="2" t="s">
        <v>82</v>
      </c>
      <c r="D321" s="2" t="s">
        <v>206</v>
      </c>
      <c r="E321" s="2">
        <v>8141</v>
      </c>
      <c r="F321" s="2">
        <v>391</v>
      </c>
      <c r="G321" s="2">
        <f t="shared" si="48"/>
        <v>50</v>
      </c>
      <c r="H321" s="2">
        <f t="shared" si="49"/>
        <v>50</v>
      </c>
      <c r="I321" s="2">
        <v>0</v>
      </c>
      <c r="J321" s="44" t="s">
        <v>48</v>
      </c>
      <c r="K321" s="2" t="s">
        <v>49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/>
      <c r="AM321" s="2" t="s">
        <v>93</v>
      </c>
      <c r="AN321" s="2">
        <f t="shared" si="41"/>
        <v>0</v>
      </c>
      <c r="AO321" s="2">
        <f t="shared" si="42"/>
        <v>0</v>
      </c>
      <c r="AP321" s="2">
        <f t="shared" si="43"/>
        <v>0</v>
      </c>
      <c r="AQ321" s="2">
        <f t="shared" si="44"/>
        <v>0</v>
      </c>
      <c r="AR321" s="2">
        <f t="shared" si="45"/>
        <v>0</v>
      </c>
      <c r="AS321" s="2">
        <f t="shared" si="46"/>
        <v>0</v>
      </c>
      <c r="AT321" s="25">
        <f t="shared" si="47"/>
        <v>0</v>
      </c>
    </row>
    <row r="322" spans="1:46">
      <c r="A322" s="24">
        <v>46122</v>
      </c>
      <c r="B322" s="23">
        <f t="shared" ref="B322:B385" si="50">EOMONTH(A322,-1)+1</f>
        <v>46113</v>
      </c>
      <c r="C322" s="2" t="s">
        <v>82</v>
      </c>
      <c r="D322" s="2" t="s">
        <v>260</v>
      </c>
      <c r="E322" s="2">
        <v>3295</v>
      </c>
      <c r="F322" s="2">
        <v>67</v>
      </c>
      <c r="G322" s="2">
        <f t="shared" si="48"/>
        <v>20</v>
      </c>
      <c r="H322" s="2">
        <f t="shared" si="49"/>
        <v>20</v>
      </c>
      <c r="I322" s="2">
        <v>0</v>
      </c>
      <c r="J322" s="44" t="s">
        <v>48</v>
      </c>
      <c r="K322" s="2" t="s">
        <v>49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/>
      <c r="AM322" s="2" t="s">
        <v>93</v>
      </c>
      <c r="AN322" s="2">
        <f t="shared" ref="AN322:AN385" si="51">+L322+AI322</f>
        <v>0</v>
      </c>
      <c r="AO322" s="2">
        <f t="shared" ref="AO322:AO385" si="52">+M322+N322+O322+P322+Q322+R322+S322+T322+U322+V322</f>
        <v>0</v>
      </c>
      <c r="AP322" s="2">
        <f t="shared" ref="AP322:AP385" si="53">+AE322+AF322</f>
        <v>0</v>
      </c>
      <c r="AQ322" s="2">
        <f t="shared" ref="AQ322:AQ385" si="54">+AK322+AD322+AC322+AJ322</f>
        <v>0</v>
      </c>
      <c r="AR322" s="2">
        <f t="shared" ref="AR322:AR385" si="55">+W322+X322+Y322+Z322+AA322+AB322</f>
        <v>0</v>
      </c>
      <c r="AS322" s="2">
        <f t="shared" ref="AS322:AS385" si="56">+AG322</f>
        <v>0</v>
      </c>
      <c r="AT322" s="25">
        <f t="shared" ref="AT322:AT385" si="57">+AH322</f>
        <v>0</v>
      </c>
    </row>
    <row r="323" spans="1:46">
      <c r="A323" s="24">
        <v>46122</v>
      </c>
      <c r="B323" s="23">
        <f t="shared" si="50"/>
        <v>46113</v>
      </c>
      <c r="C323" s="2" t="s">
        <v>82</v>
      </c>
      <c r="D323" s="2" t="s">
        <v>1409</v>
      </c>
      <c r="E323" s="2">
        <v>6248</v>
      </c>
      <c r="F323" s="2">
        <v>160</v>
      </c>
      <c r="G323" s="2">
        <f t="shared" ref="G323:G386" si="58">IF(F323&lt;1001,IF(F323&gt;500,80,IF(F323&gt;280,50,IF(F323&gt;150,32,IF(F323&lt;51,F323,20)))),125)</f>
        <v>32</v>
      </c>
      <c r="H323" s="2">
        <f t="shared" ref="H323:H386" si="59">G323-I323</f>
        <v>32</v>
      </c>
      <c r="I323" s="2">
        <v>0</v>
      </c>
      <c r="J323" s="44" t="s">
        <v>48</v>
      </c>
      <c r="K323" s="2" t="s">
        <v>49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/>
      <c r="AM323" s="2" t="s">
        <v>93</v>
      </c>
      <c r="AN323" s="2">
        <f t="shared" si="51"/>
        <v>0</v>
      </c>
      <c r="AO323" s="2">
        <f t="shared" si="52"/>
        <v>0</v>
      </c>
      <c r="AP323" s="2">
        <f t="shared" si="53"/>
        <v>0</v>
      </c>
      <c r="AQ323" s="2">
        <f t="shared" si="54"/>
        <v>0</v>
      </c>
      <c r="AR323" s="2">
        <f t="shared" si="55"/>
        <v>0</v>
      </c>
      <c r="AS323" s="2">
        <f t="shared" si="56"/>
        <v>0</v>
      </c>
      <c r="AT323" s="25">
        <f t="shared" si="57"/>
        <v>0</v>
      </c>
    </row>
    <row r="324" spans="1:46">
      <c r="A324" s="24">
        <v>46122</v>
      </c>
      <c r="B324" s="23">
        <f t="shared" si="50"/>
        <v>46113</v>
      </c>
      <c r="C324" s="2" t="s">
        <v>82</v>
      </c>
      <c r="D324" s="2" t="s">
        <v>68</v>
      </c>
      <c r="E324" s="2">
        <v>2638</v>
      </c>
      <c r="F324" s="2">
        <v>150</v>
      </c>
      <c r="G324" s="2">
        <f t="shared" si="58"/>
        <v>20</v>
      </c>
      <c r="H324" s="2">
        <f t="shared" si="59"/>
        <v>20</v>
      </c>
      <c r="I324" s="2">
        <v>0</v>
      </c>
      <c r="J324" s="44" t="s">
        <v>48</v>
      </c>
      <c r="K324" s="2" t="s">
        <v>49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/>
      <c r="AM324" s="2" t="s">
        <v>93</v>
      </c>
      <c r="AN324" s="2">
        <f t="shared" si="51"/>
        <v>0</v>
      </c>
      <c r="AO324" s="2">
        <f t="shared" si="52"/>
        <v>0</v>
      </c>
      <c r="AP324" s="2">
        <f t="shared" si="53"/>
        <v>0</v>
      </c>
      <c r="AQ324" s="2">
        <f t="shared" si="54"/>
        <v>0</v>
      </c>
      <c r="AR324" s="2">
        <f t="shared" si="55"/>
        <v>0</v>
      </c>
      <c r="AS324" s="2">
        <f t="shared" si="56"/>
        <v>0</v>
      </c>
      <c r="AT324" s="25">
        <f t="shared" si="57"/>
        <v>0</v>
      </c>
    </row>
    <row r="325" spans="1:46">
      <c r="A325" s="24">
        <v>46122</v>
      </c>
      <c r="B325" s="23">
        <f t="shared" si="50"/>
        <v>46113</v>
      </c>
      <c r="C325" s="2" t="s">
        <v>82</v>
      </c>
      <c r="D325" s="2" t="s">
        <v>146</v>
      </c>
      <c r="E325" s="2">
        <v>2638</v>
      </c>
      <c r="F325" s="2">
        <v>500</v>
      </c>
      <c r="G325" s="2">
        <f t="shared" si="58"/>
        <v>50</v>
      </c>
      <c r="H325" s="2">
        <f t="shared" si="59"/>
        <v>50</v>
      </c>
      <c r="I325" s="2">
        <v>0</v>
      </c>
      <c r="J325" s="44" t="s">
        <v>48</v>
      </c>
      <c r="K325" s="2" t="s">
        <v>49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/>
      <c r="AM325" s="2" t="s">
        <v>93</v>
      </c>
      <c r="AN325" s="2">
        <f t="shared" si="51"/>
        <v>0</v>
      </c>
      <c r="AO325" s="2">
        <f t="shared" si="52"/>
        <v>0</v>
      </c>
      <c r="AP325" s="2">
        <f t="shared" si="53"/>
        <v>0</v>
      </c>
      <c r="AQ325" s="2">
        <f t="shared" si="54"/>
        <v>0</v>
      </c>
      <c r="AR325" s="2">
        <f t="shared" si="55"/>
        <v>0</v>
      </c>
      <c r="AS325" s="2">
        <f t="shared" si="56"/>
        <v>0</v>
      </c>
      <c r="AT325" s="25">
        <f t="shared" si="57"/>
        <v>0</v>
      </c>
    </row>
    <row r="326" spans="1:46">
      <c r="A326" s="24">
        <v>46122</v>
      </c>
      <c r="B326" s="23">
        <f t="shared" si="50"/>
        <v>46113</v>
      </c>
      <c r="C326" s="2" t="s">
        <v>82</v>
      </c>
      <c r="D326" s="2" t="s">
        <v>146</v>
      </c>
      <c r="E326" s="2">
        <v>2638</v>
      </c>
      <c r="F326" s="2">
        <v>480</v>
      </c>
      <c r="G326" s="2">
        <f t="shared" si="58"/>
        <v>50</v>
      </c>
      <c r="H326" s="2">
        <f t="shared" si="59"/>
        <v>50</v>
      </c>
      <c r="I326" s="2">
        <v>0</v>
      </c>
      <c r="J326" s="44" t="s">
        <v>48</v>
      </c>
      <c r="K326" s="2" t="s">
        <v>49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/>
      <c r="AM326" s="2" t="s">
        <v>93</v>
      </c>
      <c r="AN326" s="2">
        <f t="shared" si="51"/>
        <v>0</v>
      </c>
      <c r="AO326" s="2">
        <f t="shared" si="52"/>
        <v>0</v>
      </c>
      <c r="AP326" s="2">
        <f t="shared" si="53"/>
        <v>0</v>
      </c>
      <c r="AQ326" s="2">
        <f t="shared" si="54"/>
        <v>0</v>
      </c>
      <c r="AR326" s="2">
        <f t="shared" si="55"/>
        <v>0</v>
      </c>
      <c r="AS326" s="2">
        <f t="shared" si="56"/>
        <v>0</v>
      </c>
      <c r="AT326" s="25">
        <f t="shared" si="57"/>
        <v>0</v>
      </c>
    </row>
    <row r="327" spans="1:46">
      <c r="A327" s="24">
        <v>46122</v>
      </c>
      <c r="B327" s="23">
        <f t="shared" si="50"/>
        <v>46113</v>
      </c>
      <c r="C327" s="2" t="s">
        <v>63</v>
      </c>
      <c r="D327" s="3" t="s">
        <v>113</v>
      </c>
      <c r="E327" s="2">
        <v>2598</v>
      </c>
      <c r="F327" s="2">
        <v>171</v>
      </c>
      <c r="G327" s="2">
        <f t="shared" si="58"/>
        <v>32</v>
      </c>
      <c r="H327" s="2">
        <f t="shared" si="59"/>
        <v>32</v>
      </c>
      <c r="I327" s="2">
        <v>0</v>
      </c>
      <c r="J327" s="44" t="s">
        <v>48</v>
      </c>
      <c r="K327" s="2" t="s">
        <v>49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/>
      <c r="AM327" s="2" t="s">
        <v>1568</v>
      </c>
      <c r="AN327" s="2">
        <f t="shared" si="51"/>
        <v>0</v>
      </c>
      <c r="AO327" s="2">
        <f t="shared" si="52"/>
        <v>0</v>
      </c>
      <c r="AP327" s="2">
        <f t="shared" si="53"/>
        <v>0</v>
      </c>
      <c r="AQ327" s="2">
        <f t="shared" si="54"/>
        <v>0</v>
      </c>
      <c r="AR327" s="2">
        <f t="shared" si="55"/>
        <v>0</v>
      </c>
      <c r="AS327" s="2">
        <f t="shared" si="56"/>
        <v>0</v>
      </c>
      <c r="AT327" s="25">
        <f t="shared" si="57"/>
        <v>0</v>
      </c>
    </row>
    <row r="328" spans="1:46">
      <c r="A328" s="24">
        <v>46122</v>
      </c>
      <c r="B328" s="23">
        <f t="shared" si="50"/>
        <v>46113</v>
      </c>
      <c r="C328" s="2" t="s">
        <v>62</v>
      </c>
      <c r="D328" s="2" t="s">
        <v>105</v>
      </c>
      <c r="E328" s="2">
        <v>3291</v>
      </c>
      <c r="F328" s="2">
        <v>85</v>
      </c>
      <c r="G328" s="2">
        <f t="shared" si="58"/>
        <v>20</v>
      </c>
      <c r="H328" s="2">
        <f t="shared" si="59"/>
        <v>20</v>
      </c>
      <c r="I328" s="2">
        <v>0</v>
      </c>
      <c r="J328" s="44" t="s">
        <v>48</v>
      </c>
      <c r="K328" s="2" t="s">
        <v>49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/>
      <c r="AM328" s="2" t="s">
        <v>1568</v>
      </c>
      <c r="AN328" s="2">
        <f t="shared" si="51"/>
        <v>0</v>
      </c>
      <c r="AO328" s="2">
        <f t="shared" si="52"/>
        <v>0</v>
      </c>
      <c r="AP328" s="2">
        <f t="shared" si="53"/>
        <v>0</v>
      </c>
      <c r="AQ328" s="2">
        <f t="shared" si="54"/>
        <v>0</v>
      </c>
      <c r="AR328" s="2">
        <f t="shared" si="55"/>
        <v>0</v>
      </c>
      <c r="AS328" s="2">
        <f t="shared" si="56"/>
        <v>0</v>
      </c>
      <c r="AT328" s="25">
        <f t="shared" si="57"/>
        <v>0</v>
      </c>
    </row>
    <row r="329" spans="1:46">
      <c r="A329" s="24">
        <v>46122</v>
      </c>
      <c r="B329" s="23">
        <f t="shared" si="50"/>
        <v>46113</v>
      </c>
      <c r="C329" s="2" t="s">
        <v>62</v>
      </c>
      <c r="D329" s="2" t="s">
        <v>1408</v>
      </c>
      <c r="E329" s="2">
        <v>3330</v>
      </c>
      <c r="F329" s="2">
        <v>192</v>
      </c>
      <c r="G329" s="2">
        <f t="shared" si="58"/>
        <v>32</v>
      </c>
      <c r="H329" s="2">
        <f t="shared" si="59"/>
        <v>32</v>
      </c>
      <c r="I329" s="2">
        <v>0</v>
      </c>
      <c r="J329" s="44" t="s">
        <v>48</v>
      </c>
      <c r="K329" s="2" t="s">
        <v>49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/>
      <c r="AM329" s="2" t="s">
        <v>1568</v>
      </c>
      <c r="AN329" s="2">
        <f t="shared" si="51"/>
        <v>0</v>
      </c>
      <c r="AO329" s="2">
        <f t="shared" si="52"/>
        <v>0</v>
      </c>
      <c r="AP329" s="2">
        <f t="shared" si="53"/>
        <v>0</v>
      </c>
      <c r="AQ329" s="2">
        <f t="shared" si="54"/>
        <v>0</v>
      </c>
      <c r="AR329" s="2">
        <f t="shared" si="55"/>
        <v>0</v>
      </c>
      <c r="AS329" s="2">
        <f t="shared" si="56"/>
        <v>0</v>
      </c>
      <c r="AT329" s="25">
        <f t="shared" si="57"/>
        <v>0</v>
      </c>
    </row>
    <row r="330" spans="1:46">
      <c r="A330" s="24">
        <v>46122</v>
      </c>
      <c r="B330" s="23">
        <f t="shared" si="50"/>
        <v>46113</v>
      </c>
      <c r="C330" s="2" t="s">
        <v>63</v>
      </c>
      <c r="D330" s="2" t="s">
        <v>135</v>
      </c>
      <c r="E330" s="2">
        <v>1802</v>
      </c>
      <c r="F330" s="2">
        <v>57</v>
      </c>
      <c r="G330" s="2">
        <f t="shared" si="58"/>
        <v>20</v>
      </c>
      <c r="H330" s="2">
        <f t="shared" si="59"/>
        <v>19</v>
      </c>
      <c r="I330" s="2">
        <v>1</v>
      </c>
      <c r="J330" s="44" t="s">
        <v>48</v>
      </c>
      <c r="K330" s="2" t="s">
        <v>49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1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/>
      <c r="AM330" s="2" t="s">
        <v>1568</v>
      </c>
      <c r="AN330" s="2">
        <f t="shared" si="51"/>
        <v>0</v>
      </c>
      <c r="AO330" s="2">
        <f t="shared" si="52"/>
        <v>1</v>
      </c>
      <c r="AP330" s="2">
        <f t="shared" si="53"/>
        <v>0</v>
      </c>
      <c r="AQ330" s="2">
        <f t="shared" si="54"/>
        <v>0</v>
      </c>
      <c r="AR330" s="2">
        <f t="shared" si="55"/>
        <v>0</v>
      </c>
      <c r="AS330" s="2">
        <f t="shared" si="56"/>
        <v>0</v>
      </c>
      <c r="AT330" s="25">
        <f t="shared" si="57"/>
        <v>0</v>
      </c>
    </row>
    <row r="331" spans="1:46">
      <c r="A331" s="24">
        <v>46122</v>
      </c>
      <c r="B331" s="23">
        <f t="shared" si="50"/>
        <v>46113</v>
      </c>
      <c r="C331" s="2" t="s">
        <v>62</v>
      </c>
      <c r="D331" s="2" t="s">
        <v>311</v>
      </c>
      <c r="E331" s="2">
        <v>3305</v>
      </c>
      <c r="F331" s="2">
        <v>220</v>
      </c>
      <c r="G331" s="2">
        <f t="shared" si="58"/>
        <v>32</v>
      </c>
      <c r="H331" s="2">
        <f t="shared" si="59"/>
        <v>32</v>
      </c>
      <c r="I331" s="2">
        <v>0</v>
      </c>
      <c r="J331" s="44" t="s">
        <v>48</v>
      </c>
      <c r="K331" s="2" t="s">
        <v>49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/>
      <c r="AM331" s="2" t="s">
        <v>1568</v>
      </c>
      <c r="AN331" s="2">
        <f t="shared" si="51"/>
        <v>0</v>
      </c>
      <c r="AO331" s="2">
        <f t="shared" si="52"/>
        <v>0</v>
      </c>
      <c r="AP331" s="2">
        <f t="shared" si="53"/>
        <v>0</v>
      </c>
      <c r="AQ331" s="2">
        <f t="shared" si="54"/>
        <v>0</v>
      </c>
      <c r="AR331" s="2">
        <f t="shared" si="55"/>
        <v>0</v>
      </c>
      <c r="AS331" s="2">
        <f t="shared" si="56"/>
        <v>0</v>
      </c>
      <c r="AT331" s="25">
        <f t="shared" si="57"/>
        <v>0</v>
      </c>
    </row>
    <row r="332" spans="1:46">
      <c r="A332" s="24">
        <v>46122</v>
      </c>
      <c r="B332" s="23">
        <f t="shared" si="50"/>
        <v>46113</v>
      </c>
      <c r="C332" s="2" t="s">
        <v>62</v>
      </c>
      <c r="D332" s="2" t="s">
        <v>158</v>
      </c>
      <c r="E332" s="2">
        <v>3305</v>
      </c>
      <c r="F332" s="2">
        <v>142</v>
      </c>
      <c r="G332" s="2">
        <f t="shared" si="58"/>
        <v>20</v>
      </c>
      <c r="H332" s="2">
        <f t="shared" si="59"/>
        <v>19</v>
      </c>
      <c r="I332" s="2">
        <v>1</v>
      </c>
      <c r="J332" s="44" t="s">
        <v>48</v>
      </c>
      <c r="K332" s="2" t="s">
        <v>49</v>
      </c>
      <c r="L332" s="2">
        <v>1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/>
      <c r="AM332" s="2" t="s">
        <v>1568</v>
      </c>
      <c r="AN332" s="2">
        <f t="shared" si="51"/>
        <v>1</v>
      </c>
      <c r="AO332" s="2">
        <f t="shared" si="52"/>
        <v>0</v>
      </c>
      <c r="AP332" s="2">
        <f t="shared" si="53"/>
        <v>0</v>
      </c>
      <c r="AQ332" s="2">
        <f t="shared" si="54"/>
        <v>0</v>
      </c>
      <c r="AR332" s="2">
        <f t="shared" si="55"/>
        <v>0</v>
      </c>
      <c r="AS332" s="2">
        <f t="shared" si="56"/>
        <v>0</v>
      </c>
      <c r="AT332" s="25">
        <f t="shared" si="57"/>
        <v>0</v>
      </c>
    </row>
    <row r="333" spans="1:46">
      <c r="A333" s="24">
        <v>46122</v>
      </c>
      <c r="B333" s="23">
        <f t="shared" si="50"/>
        <v>46113</v>
      </c>
      <c r="C333" s="2" t="s">
        <v>63</v>
      </c>
      <c r="D333" s="2" t="s">
        <v>279</v>
      </c>
      <c r="E333" s="2">
        <v>8164</v>
      </c>
      <c r="F333" s="2">
        <v>211</v>
      </c>
      <c r="G333" s="2">
        <f t="shared" si="58"/>
        <v>32</v>
      </c>
      <c r="H333" s="2">
        <f t="shared" si="59"/>
        <v>32</v>
      </c>
      <c r="I333" s="2">
        <v>0</v>
      </c>
      <c r="J333" s="44" t="s">
        <v>48</v>
      </c>
      <c r="K333" s="2" t="s">
        <v>49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/>
      <c r="AM333" s="2" t="s">
        <v>1568</v>
      </c>
      <c r="AN333" s="2">
        <f t="shared" si="51"/>
        <v>0</v>
      </c>
      <c r="AO333" s="2">
        <f t="shared" si="52"/>
        <v>0</v>
      </c>
      <c r="AP333" s="2">
        <f t="shared" si="53"/>
        <v>0</v>
      </c>
      <c r="AQ333" s="2">
        <f t="shared" si="54"/>
        <v>0</v>
      </c>
      <c r="AR333" s="2">
        <f t="shared" si="55"/>
        <v>0</v>
      </c>
      <c r="AS333" s="2">
        <f t="shared" si="56"/>
        <v>0</v>
      </c>
      <c r="AT333" s="25">
        <f t="shared" si="57"/>
        <v>0</v>
      </c>
    </row>
    <row r="334" spans="1:46">
      <c r="A334" s="24">
        <v>46122</v>
      </c>
      <c r="B334" s="23">
        <f t="shared" si="50"/>
        <v>46113</v>
      </c>
      <c r="C334" s="2" t="s">
        <v>62</v>
      </c>
      <c r="D334" s="2" t="s">
        <v>287</v>
      </c>
      <c r="E334" s="2">
        <v>6282</v>
      </c>
      <c r="F334" s="2">
        <v>253</v>
      </c>
      <c r="G334" s="2">
        <f t="shared" si="58"/>
        <v>32</v>
      </c>
      <c r="H334" s="2">
        <f t="shared" si="59"/>
        <v>32</v>
      </c>
      <c r="I334" s="2">
        <v>0</v>
      </c>
      <c r="J334" s="44" t="s">
        <v>48</v>
      </c>
      <c r="K334" s="2" t="s">
        <v>49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/>
      <c r="AM334" s="2" t="s">
        <v>1568</v>
      </c>
      <c r="AN334" s="2">
        <f t="shared" si="51"/>
        <v>0</v>
      </c>
      <c r="AO334" s="2">
        <f t="shared" si="52"/>
        <v>0</v>
      </c>
      <c r="AP334" s="2">
        <f t="shared" si="53"/>
        <v>0</v>
      </c>
      <c r="AQ334" s="2">
        <f t="shared" si="54"/>
        <v>0</v>
      </c>
      <c r="AR334" s="2">
        <f t="shared" si="55"/>
        <v>0</v>
      </c>
      <c r="AS334" s="2">
        <f t="shared" si="56"/>
        <v>0</v>
      </c>
      <c r="AT334" s="25">
        <f t="shared" si="57"/>
        <v>0</v>
      </c>
    </row>
    <row r="335" spans="1:46">
      <c r="A335" s="24">
        <v>46122</v>
      </c>
      <c r="B335" s="23">
        <f t="shared" si="50"/>
        <v>46113</v>
      </c>
      <c r="C335" s="2" t="s">
        <v>62</v>
      </c>
      <c r="D335" s="2" t="s">
        <v>185</v>
      </c>
      <c r="E335" s="2">
        <v>8068</v>
      </c>
      <c r="F335" s="2">
        <v>150</v>
      </c>
      <c r="G335" s="2">
        <f t="shared" si="58"/>
        <v>20</v>
      </c>
      <c r="H335" s="2">
        <f t="shared" si="59"/>
        <v>20</v>
      </c>
      <c r="I335" s="2">
        <v>0</v>
      </c>
      <c r="J335" s="44" t="s">
        <v>48</v>
      </c>
      <c r="K335" s="2" t="s">
        <v>49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/>
      <c r="AM335" s="2" t="s">
        <v>1568</v>
      </c>
      <c r="AN335" s="2">
        <f t="shared" si="51"/>
        <v>0</v>
      </c>
      <c r="AO335" s="2">
        <f t="shared" si="52"/>
        <v>0</v>
      </c>
      <c r="AP335" s="2">
        <f t="shared" si="53"/>
        <v>0</v>
      </c>
      <c r="AQ335" s="2">
        <f t="shared" si="54"/>
        <v>0</v>
      </c>
      <c r="AR335" s="2">
        <f t="shared" si="55"/>
        <v>0</v>
      </c>
      <c r="AS335" s="2">
        <f t="shared" si="56"/>
        <v>0</v>
      </c>
      <c r="AT335" s="25">
        <f t="shared" si="57"/>
        <v>0</v>
      </c>
    </row>
    <row r="336" spans="1:46">
      <c r="A336" s="24">
        <v>46122</v>
      </c>
      <c r="B336" s="23">
        <f t="shared" si="50"/>
        <v>46113</v>
      </c>
      <c r="C336" s="2" t="s">
        <v>95</v>
      </c>
      <c r="D336" s="2" t="s">
        <v>113</v>
      </c>
      <c r="E336" s="2">
        <v>2598</v>
      </c>
      <c r="F336" s="2">
        <v>377</v>
      </c>
      <c r="G336" s="2">
        <f t="shared" si="58"/>
        <v>50</v>
      </c>
      <c r="H336" s="2">
        <f t="shared" si="59"/>
        <v>50</v>
      </c>
      <c r="I336" s="2">
        <v>0</v>
      </c>
      <c r="J336" s="44" t="s">
        <v>48</v>
      </c>
      <c r="K336" s="2" t="s">
        <v>49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/>
      <c r="AM336" s="2" t="s">
        <v>1568</v>
      </c>
      <c r="AN336" s="2">
        <f t="shared" si="51"/>
        <v>0</v>
      </c>
      <c r="AO336" s="2">
        <f t="shared" si="52"/>
        <v>0</v>
      </c>
      <c r="AP336" s="2">
        <f t="shared" si="53"/>
        <v>0</v>
      </c>
      <c r="AQ336" s="2">
        <f t="shared" si="54"/>
        <v>0</v>
      </c>
      <c r="AR336" s="2">
        <f t="shared" si="55"/>
        <v>0</v>
      </c>
      <c r="AS336" s="2">
        <f t="shared" si="56"/>
        <v>0</v>
      </c>
      <c r="AT336" s="25">
        <f t="shared" si="57"/>
        <v>0</v>
      </c>
    </row>
    <row r="337" spans="1:46">
      <c r="A337" s="24">
        <v>46122</v>
      </c>
      <c r="B337" s="23">
        <f t="shared" si="50"/>
        <v>46113</v>
      </c>
      <c r="C337" s="2" t="s">
        <v>55</v>
      </c>
      <c r="D337" s="2" t="s">
        <v>59</v>
      </c>
      <c r="E337" s="2">
        <v>1775</v>
      </c>
      <c r="F337" s="2">
        <v>176</v>
      </c>
      <c r="G337" s="2">
        <f t="shared" si="58"/>
        <v>32</v>
      </c>
      <c r="H337" s="2">
        <f t="shared" si="59"/>
        <v>32</v>
      </c>
      <c r="I337" s="2">
        <v>0</v>
      </c>
      <c r="J337" s="44" t="s">
        <v>48</v>
      </c>
      <c r="K337" s="2" t="s">
        <v>49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/>
      <c r="AM337" s="2" t="s">
        <v>1566</v>
      </c>
      <c r="AN337" s="2">
        <f t="shared" si="51"/>
        <v>0</v>
      </c>
      <c r="AO337" s="2">
        <f t="shared" si="52"/>
        <v>0</v>
      </c>
      <c r="AP337" s="2">
        <f t="shared" si="53"/>
        <v>0</v>
      </c>
      <c r="AQ337" s="2">
        <f t="shared" si="54"/>
        <v>0</v>
      </c>
      <c r="AR337" s="2">
        <f t="shared" si="55"/>
        <v>0</v>
      </c>
      <c r="AS337" s="2">
        <f t="shared" si="56"/>
        <v>0</v>
      </c>
      <c r="AT337" s="25">
        <f t="shared" si="57"/>
        <v>0</v>
      </c>
    </row>
    <row r="338" spans="1:46">
      <c r="A338" s="24">
        <v>46122</v>
      </c>
      <c r="B338" s="23">
        <f t="shared" si="50"/>
        <v>46113</v>
      </c>
      <c r="C338" s="2" t="s">
        <v>55</v>
      </c>
      <c r="D338" s="2" t="s">
        <v>57</v>
      </c>
      <c r="E338" s="2">
        <v>2760</v>
      </c>
      <c r="F338" s="2">
        <v>103</v>
      </c>
      <c r="G338" s="2">
        <f t="shared" si="58"/>
        <v>20</v>
      </c>
      <c r="H338" s="2">
        <f t="shared" si="59"/>
        <v>15</v>
      </c>
      <c r="I338" s="2">
        <v>5</v>
      </c>
      <c r="J338" s="44" t="s">
        <v>67</v>
      </c>
      <c r="K338" s="2" t="s">
        <v>49</v>
      </c>
      <c r="L338" s="2">
        <v>1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4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/>
      <c r="AM338" s="2" t="s">
        <v>1566</v>
      </c>
      <c r="AN338" s="2">
        <f t="shared" si="51"/>
        <v>1</v>
      </c>
      <c r="AO338" s="2">
        <f t="shared" si="52"/>
        <v>4</v>
      </c>
      <c r="AP338" s="2">
        <f t="shared" si="53"/>
        <v>0</v>
      </c>
      <c r="AQ338" s="2">
        <f t="shared" si="54"/>
        <v>0</v>
      </c>
      <c r="AR338" s="2">
        <f t="shared" si="55"/>
        <v>0</v>
      </c>
      <c r="AS338" s="2">
        <f t="shared" si="56"/>
        <v>0</v>
      </c>
      <c r="AT338" s="25">
        <f t="shared" si="57"/>
        <v>0</v>
      </c>
    </row>
    <row r="339" spans="1:46">
      <c r="A339" s="24">
        <v>46122</v>
      </c>
      <c r="B339" s="23">
        <f t="shared" si="50"/>
        <v>46113</v>
      </c>
      <c r="C339" s="2" t="s">
        <v>55</v>
      </c>
      <c r="D339" s="2" t="s">
        <v>1398</v>
      </c>
      <c r="E339" s="2">
        <v>8193</v>
      </c>
      <c r="F339" s="2">
        <v>267</v>
      </c>
      <c r="G339" s="2">
        <f t="shared" si="58"/>
        <v>32</v>
      </c>
      <c r="H339" s="2">
        <f t="shared" si="59"/>
        <v>32</v>
      </c>
      <c r="I339" s="2">
        <v>0</v>
      </c>
      <c r="J339" s="44" t="s">
        <v>48</v>
      </c>
      <c r="K339" s="2" t="s">
        <v>49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/>
      <c r="AM339" s="2" t="s">
        <v>1566</v>
      </c>
      <c r="AN339" s="2">
        <f t="shared" si="51"/>
        <v>0</v>
      </c>
      <c r="AO339" s="2">
        <f t="shared" si="52"/>
        <v>0</v>
      </c>
      <c r="AP339" s="2">
        <f t="shared" si="53"/>
        <v>0</v>
      </c>
      <c r="AQ339" s="2">
        <f t="shared" si="54"/>
        <v>0</v>
      </c>
      <c r="AR339" s="2">
        <f t="shared" si="55"/>
        <v>0</v>
      </c>
      <c r="AS339" s="2">
        <f t="shared" si="56"/>
        <v>0</v>
      </c>
      <c r="AT339" s="25">
        <f t="shared" si="57"/>
        <v>0</v>
      </c>
    </row>
    <row r="340" spans="1:46">
      <c r="A340" s="24">
        <v>46122</v>
      </c>
      <c r="B340" s="23">
        <f t="shared" si="50"/>
        <v>46113</v>
      </c>
      <c r="C340" s="2" t="s">
        <v>55</v>
      </c>
      <c r="D340" s="2" t="s">
        <v>418</v>
      </c>
      <c r="E340" s="2">
        <v>7152</v>
      </c>
      <c r="F340" s="2">
        <v>266</v>
      </c>
      <c r="G340" s="2">
        <f t="shared" si="58"/>
        <v>32</v>
      </c>
      <c r="H340" s="2">
        <f t="shared" si="59"/>
        <v>32</v>
      </c>
      <c r="I340" s="2">
        <v>0</v>
      </c>
      <c r="J340" s="44" t="s">
        <v>48</v>
      </c>
      <c r="K340" s="2" t="s">
        <v>49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/>
      <c r="AM340" s="2" t="s">
        <v>1566</v>
      </c>
      <c r="AN340" s="2">
        <f t="shared" si="51"/>
        <v>0</v>
      </c>
      <c r="AO340" s="2">
        <f t="shared" si="52"/>
        <v>0</v>
      </c>
      <c r="AP340" s="2">
        <f t="shared" si="53"/>
        <v>0</v>
      </c>
      <c r="AQ340" s="2">
        <f t="shared" si="54"/>
        <v>0</v>
      </c>
      <c r="AR340" s="2">
        <f t="shared" si="55"/>
        <v>0</v>
      </c>
      <c r="AS340" s="2">
        <f t="shared" si="56"/>
        <v>0</v>
      </c>
      <c r="AT340" s="25">
        <f t="shared" si="57"/>
        <v>0</v>
      </c>
    </row>
    <row r="341" spans="1:46">
      <c r="A341" s="24">
        <v>46122</v>
      </c>
      <c r="B341" s="23">
        <f t="shared" si="50"/>
        <v>46113</v>
      </c>
      <c r="C341" s="2" t="s">
        <v>55</v>
      </c>
      <c r="D341" s="2" t="s">
        <v>152</v>
      </c>
      <c r="E341" s="2">
        <v>2593</v>
      </c>
      <c r="F341" s="2">
        <v>210</v>
      </c>
      <c r="G341" s="2">
        <f t="shared" si="58"/>
        <v>32</v>
      </c>
      <c r="H341" s="2">
        <f t="shared" si="59"/>
        <v>31</v>
      </c>
      <c r="I341" s="2">
        <v>1</v>
      </c>
      <c r="J341" s="44" t="s">
        <v>48</v>
      </c>
      <c r="K341" s="2" t="s">
        <v>49</v>
      </c>
      <c r="L341" s="2">
        <v>1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/>
      <c r="AM341" s="2" t="s">
        <v>1566</v>
      </c>
      <c r="AN341" s="2">
        <f t="shared" si="51"/>
        <v>1</v>
      </c>
      <c r="AO341" s="2">
        <f t="shared" si="52"/>
        <v>0</v>
      </c>
      <c r="AP341" s="2">
        <f t="shared" si="53"/>
        <v>0</v>
      </c>
      <c r="AQ341" s="2">
        <f t="shared" si="54"/>
        <v>0</v>
      </c>
      <c r="AR341" s="2">
        <f t="shared" si="55"/>
        <v>0</v>
      </c>
      <c r="AS341" s="2">
        <f t="shared" si="56"/>
        <v>0</v>
      </c>
      <c r="AT341" s="25">
        <f t="shared" si="57"/>
        <v>0</v>
      </c>
    </row>
    <row r="342" spans="1:46">
      <c r="A342" s="24">
        <v>46122</v>
      </c>
      <c r="B342" s="23">
        <f t="shared" si="50"/>
        <v>46113</v>
      </c>
      <c r="C342" s="2" t="s">
        <v>55</v>
      </c>
      <c r="D342" s="2" t="s">
        <v>169</v>
      </c>
      <c r="E342" s="2">
        <v>2593</v>
      </c>
      <c r="F342" s="2">
        <v>128</v>
      </c>
      <c r="G342" s="2">
        <f t="shared" si="58"/>
        <v>20</v>
      </c>
      <c r="H342" s="2">
        <f t="shared" si="59"/>
        <v>20</v>
      </c>
      <c r="I342" s="2">
        <v>0</v>
      </c>
      <c r="J342" s="44" t="s">
        <v>48</v>
      </c>
      <c r="K342" s="2" t="s">
        <v>49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/>
      <c r="AM342" s="2" t="s">
        <v>1566</v>
      </c>
      <c r="AN342" s="2">
        <f t="shared" si="51"/>
        <v>0</v>
      </c>
      <c r="AO342" s="2">
        <f t="shared" si="52"/>
        <v>0</v>
      </c>
      <c r="AP342" s="2">
        <f t="shared" si="53"/>
        <v>0</v>
      </c>
      <c r="AQ342" s="2">
        <f t="shared" si="54"/>
        <v>0</v>
      </c>
      <c r="AR342" s="2">
        <f t="shared" si="55"/>
        <v>0</v>
      </c>
      <c r="AS342" s="2">
        <f t="shared" si="56"/>
        <v>0</v>
      </c>
      <c r="AT342" s="25">
        <f t="shared" si="57"/>
        <v>0</v>
      </c>
    </row>
    <row r="343" spans="1:46">
      <c r="A343" s="24">
        <v>46122</v>
      </c>
      <c r="B343" s="23">
        <f t="shared" si="50"/>
        <v>46113</v>
      </c>
      <c r="C343" s="2" t="s">
        <v>55</v>
      </c>
      <c r="D343" s="2" t="s">
        <v>222</v>
      </c>
      <c r="E343" s="2">
        <v>2593</v>
      </c>
      <c r="F343" s="2">
        <v>192</v>
      </c>
      <c r="G343" s="2">
        <f t="shared" si="58"/>
        <v>32</v>
      </c>
      <c r="H343" s="2">
        <f t="shared" si="59"/>
        <v>32</v>
      </c>
      <c r="I343" s="2">
        <v>0</v>
      </c>
      <c r="J343" s="44" t="s">
        <v>48</v>
      </c>
      <c r="K343" s="2" t="s">
        <v>49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/>
      <c r="AM343" s="2" t="s">
        <v>1566</v>
      </c>
      <c r="AN343" s="2">
        <f t="shared" si="51"/>
        <v>0</v>
      </c>
      <c r="AO343" s="2">
        <f t="shared" si="52"/>
        <v>0</v>
      </c>
      <c r="AP343" s="2">
        <f t="shared" si="53"/>
        <v>0</v>
      </c>
      <c r="AQ343" s="2">
        <f t="shared" si="54"/>
        <v>0</v>
      </c>
      <c r="AR343" s="2">
        <f t="shared" si="55"/>
        <v>0</v>
      </c>
      <c r="AS343" s="2">
        <f t="shared" si="56"/>
        <v>0</v>
      </c>
      <c r="AT343" s="25">
        <f t="shared" si="57"/>
        <v>0</v>
      </c>
    </row>
    <row r="344" spans="1:46">
      <c r="A344" s="24">
        <v>46122</v>
      </c>
      <c r="B344" s="23">
        <f t="shared" si="50"/>
        <v>46113</v>
      </c>
      <c r="C344" s="2" t="s">
        <v>55</v>
      </c>
      <c r="D344" s="2" t="s">
        <v>153</v>
      </c>
      <c r="E344" s="2">
        <v>1730</v>
      </c>
      <c r="F344" s="2">
        <v>67</v>
      </c>
      <c r="G344" s="2">
        <f t="shared" si="58"/>
        <v>20</v>
      </c>
      <c r="H344" s="2">
        <f t="shared" si="59"/>
        <v>19</v>
      </c>
      <c r="I344" s="2">
        <v>1</v>
      </c>
      <c r="J344" s="44" t="s">
        <v>48</v>
      </c>
      <c r="K344" s="2" t="s">
        <v>49</v>
      </c>
      <c r="L344" s="2">
        <v>1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/>
      <c r="AM344" s="2" t="s">
        <v>1566</v>
      </c>
      <c r="AN344" s="2">
        <f t="shared" si="51"/>
        <v>1</v>
      </c>
      <c r="AO344" s="2">
        <f t="shared" si="52"/>
        <v>0</v>
      </c>
      <c r="AP344" s="2">
        <f t="shared" si="53"/>
        <v>0</v>
      </c>
      <c r="AQ344" s="2">
        <f t="shared" si="54"/>
        <v>0</v>
      </c>
      <c r="AR344" s="2">
        <f t="shared" si="55"/>
        <v>0</v>
      </c>
      <c r="AS344" s="2">
        <f t="shared" si="56"/>
        <v>0</v>
      </c>
      <c r="AT344" s="25">
        <f t="shared" si="57"/>
        <v>0</v>
      </c>
    </row>
    <row r="345" spans="1:46">
      <c r="A345" s="24">
        <v>46122</v>
      </c>
      <c r="B345" s="23">
        <f t="shared" si="50"/>
        <v>46113</v>
      </c>
      <c r="C345" s="2" t="s">
        <v>46</v>
      </c>
      <c r="D345" s="2" t="s">
        <v>159</v>
      </c>
      <c r="E345" s="2">
        <v>6296</v>
      </c>
      <c r="F345" s="2">
        <v>147</v>
      </c>
      <c r="G345" s="2">
        <f t="shared" si="58"/>
        <v>20</v>
      </c>
      <c r="H345" s="2">
        <f t="shared" si="59"/>
        <v>19</v>
      </c>
      <c r="I345" s="2">
        <v>1</v>
      </c>
      <c r="J345" s="44" t="s">
        <v>48</v>
      </c>
      <c r="K345" s="2" t="s">
        <v>49</v>
      </c>
      <c r="L345" s="2">
        <v>1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/>
      <c r="AM345" s="2" t="s">
        <v>1567</v>
      </c>
      <c r="AN345" s="2">
        <f t="shared" si="51"/>
        <v>1</v>
      </c>
      <c r="AO345" s="2">
        <f t="shared" si="52"/>
        <v>0</v>
      </c>
      <c r="AP345" s="2">
        <f t="shared" si="53"/>
        <v>0</v>
      </c>
      <c r="AQ345" s="2">
        <f t="shared" si="54"/>
        <v>0</v>
      </c>
      <c r="AR345" s="2">
        <f t="shared" si="55"/>
        <v>0</v>
      </c>
      <c r="AS345" s="2">
        <f t="shared" si="56"/>
        <v>0</v>
      </c>
      <c r="AT345" s="25">
        <f t="shared" si="57"/>
        <v>0</v>
      </c>
    </row>
    <row r="346" spans="1:46">
      <c r="A346" s="24">
        <v>46122</v>
      </c>
      <c r="B346" s="23">
        <f t="shared" si="50"/>
        <v>46113</v>
      </c>
      <c r="C346" s="2" t="s">
        <v>95</v>
      </c>
      <c r="D346" s="2" t="s">
        <v>240</v>
      </c>
      <c r="E346" s="2">
        <v>7134</v>
      </c>
      <c r="F346" s="2">
        <v>440</v>
      </c>
      <c r="G346" s="2">
        <f t="shared" si="58"/>
        <v>50</v>
      </c>
      <c r="H346" s="2">
        <f t="shared" si="59"/>
        <v>50</v>
      </c>
      <c r="I346" s="2">
        <v>0</v>
      </c>
      <c r="J346" s="44" t="s">
        <v>48</v>
      </c>
      <c r="K346" s="2" t="s">
        <v>49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/>
      <c r="AM346" s="2" t="s">
        <v>1567</v>
      </c>
      <c r="AN346" s="2">
        <f t="shared" si="51"/>
        <v>0</v>
      </c>
      <c r="AO346" s="2">
        <f t="shared" si="52"/>
        <v>0</v>
      </c>
      <c r="AP346" s="2">
        <f t="shared" si="53"/>
        <v>0</v>
      </c>
      <c r="AQ346" s="2">
        <f t="shared" si="54"/>
        <v>0</v>
      </c>
      <c r="AR346" s="2">
        <f t="shared" si="55"/>
        <v>0</v>
      </c>
      <c r="AS346" s="2">
        <f t="shared" si="56"/>
        <v>0</v>
      </c>
      <c r="AT346" s="25">
        <f t="shared" si="57"/>
        <v>0</v>
      </c>
    </row>
    <row r="347" spans="1:46">
      <c r="A347" s="24">
        <v>46122</v>
      </c>
      <c r="B347" s="23">
        <f t="shared" si="50"/>
        <v>46113</v>
      </c>
      <c r="C347" s="2" t="s">
        <v>46</v>
      </c>
      <c r="D347" s="2" t="s">
        <v>195</v>
      </c>
      <c r="E347" s="2">
        <v>3277</v>
      </c>
      <c r="F347" s="2">
        <v>53</v>
      </c>
      <c r="G347" s="2">
        <f t="shared" si="58"/>
        <v>20</v>
      </c>
      <c r="H347" s="2">
        <f t="shared" si="59"/>
        <v>20</v>
      </c>
      <c r="I347" s="2">
        <v>0</v>
      </c>
      <c r="J347" s="44" t="s">
        <v>48</v>
      </c>
      <c r="K347" s="2" t="s">
        <v>49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/>
      <c r="AM347" s="2" t="s">
        <v>1567</v>
      </c>
      <c r="AN347" s="2">
        <f t="shared" si="51"/>
        <v>0</v>
      </c>
      <c r="AO347" s="2">
        <f t="shared" si="52"/>
        <v>0</v>
      </c>
      <c r="AP347" s="2">
        <f t="shared" si="53"/>
        <v>0</v>
      </c>
      <c r="AQ347" s="2">
        <f t="shared" si="54"/>
        <v>0</v>
      </c>
      <c r="AR347" s="2">
        <f t="shared" si="55"/>
        <v>0</v>
      </c>
      <c r="AS347" s="2">
        <f t="shared" si="56"/>
        <v>0</v>
      </c>
      <c r="AT347" s="25">
        <f t="shared" si="57"/>
        <v>0</v>
      </c>
    </row>
    <row r="348" spans="1:46">
      <c r="A348" s="24">
        <v>46122</v>
      </c>
      <c r="B348" s="23">
        <f t="shared" si="50"/>
        <v>46113</v>
      </c>
      <c r="C348" s="2" t="s">
        <v>46</v>
      </c>
      <c r="D348" s="2" t="s">
        <v>54</v>
      </c>
      <c r="E348" s="2">
        <v>1774</v>
      </c>
      <c r="F348" s="2">
        <v>85</v>
      </c>
      <c r="G348" s="2">
        <f t="shared" si="58"/>
        <v>20</v>
      </c>
      <c r="H348" s="2">
        <f t="shared" si="59"/>
        <v>20</v>
      </c>
      <c r="I348" s="2">
        <v>0</v>
      </c>
      <c r="J348" s="44" t="s">
        <v>48</v>
      </c>
      <c r="K348" s="2" t="s">
        <v>49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/>
      <c r="AM348" s="2" t="s">
        <v>1567</v>
      </c>
      <c r="AN348" s="2">
        <f t="shared" si="51"/>
        <v>0</v>
      </c>
      <c r="AO348" s="2">
        <f t="shared" si="52"/>
        <v>0</v>
      </c>
      <c r="AP348" s="2">
        <f t="shared" si="53"/>
        <v>0</v>
      </c>
      <c r="AQ348" s="2">
        <f t="shared" si="54"/>
        <v>0</v>
      </c>
      <c r="AR348" s="2">
        <f t="shared" si="55"/>
        <v>0</v>
      </c>
      <c r="AS348" s="2">
        <f t="shared" si="56"/>
        <v>0</v>
      </c>
      <c r="AT348" s="25">
        <f t="shared" si="57"/>
        <v>0</v>
      </c>
    </row>
    <row r="349" spans="1:46">
      <c r="A349" s="24">
        <v>46122</v>
      </c>
      <c r="B349" s="23">
        <f t="shared" si="50"/>
        <v>46113</v>
      </c>
      <c r="C349" s="2" t="s">
        <v>95</v>
      </c>
      <c r="D349" s="2" t="s">
        <v>301</v>
      </c>
      <c r="E349" s="2">
        <v>8080</v>
      </c>
      <c r="F349" s="2">
        <v>63</v>
      </c>
      <c r="G349" s="2">
        <f t="shared" si="58"/>
        <v>20</v>
      </c>
      <c r="H349" s="2">
        <f t="shared" si="59"/>
        <v>18</v>
      </c>
      <c r="I349" s="2">
        <v>2</v>
      </c>
      <c r="J349" s="44" t="s">
        <v>67</v>
      </c>
      <c r="K349" s="2" t="s">
        <v>49</v>
      </c>
      <c r="L349" s="2">
        <v>2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/>
      <c r="AM349" s="2" t="s">
        <v>1567</v>
      </c>
      <c r="AN349" s="2">
        <f t="shared" si="51"/>
        <v>2</v>
      </c>
      <c r="AO349" s="2">
        <f t="shared" si="52"/>
        <v>0</v>
      </c>
      <c r="AP349" s="2">
        <f t="shared" si="53"/>
        <v>0</v>
      </c>
      <c r="AQ349" s="2">
        <f t="shared" si="54"/>
        <v>0</v>
      </c>
      <c r="AR349" s="2">
        <f t="shared" si="55"/>
        <v>0</v>
      </c>
      <c r="AS349" s="2">
        <f t="shared" si="56"/>
        <v>0</v>
      </c>
      <c r="AT349" s="25">
        <f t="shared" si="57"/>
        <v>0</v>
      </c>
    </row>
    <row r="350" spans="1:46">
      <c r="A350" s="24">
        <v>46122</v>
      </c>
      <c r="B350" s="23">
        <f t="shared" si="50"/>
        <v>46113</v>
      </c>
      <c r="C350" s="2" t="s">
        <v>95</v>
      </c>
      <c r="D350" s="2" t="s">
        <v>319</v>
      </c>
      <c r="E350" s="2">
        <v>8109</v>
      </c>
      <c r="F350" s="2">
        <v>95</v>
      </c>
      <c r="G350" s="2">
        <f t="shared" si="58"/>
        <v>20</v>
      </c>
      <c r="H350" s="2">
        <f t="shared" si="59"/>
        <v>19</v>
      </c>
      <c r="I350" s="2">
        <v>1</v>
      </c>
      <c r="J350" s="44" t="s">
        <v>48</v>
      </c>
      <c r="K350" s="2" t="s">
        <v>49</v>
      </c>
      <c r="L350" s="2">
        <v>1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/>
      <c r="AM350" s="2" t="s">
        <v>1567</v>
      </c>
      <c r="AN350" s="2">
        <f t="shared" si="51"/>
        <v>1</v>
      </c>
      <c r="AO350" s="2">
        <f t="shared" si="52"/>
        <v>0</v>
      </c>
      <c r="AP350" s="2">
        <f t="shared" si="53"/>
        <v>0</v>
      </c>
      <c r="AQ350" s="2">
        <f t="shared" si="54"/>
        <v>0</v>
      </c>
      <c r="AR350" s="2">
        <f t="shared" si="55"/>
        <v>0</v>
      </c>
      <c r="AS350" s="2">
        <f t="shared" si="56"/>
        <v>0</v>
      </c>
      <c r="AT350" s="25">
        <f t="shared" si="57"/>
        <v>0</v>
      </c>
    </row>
    <row r="351" spans="1:46">
      <c r="A351" s="24">
        <v>46122</v>
      </c>
      <c r="B351" s="23">
        <f t="shared" si="50"/>
        <v>46113</v>
      </c>
      <c r="C351" s="2" t="s">
        <v>95</v>
      </c>
      <c r="D351" s="2" t="s">
        <v>1389</v>
      </c>
      <c r="E351" s="2">
        <v>1802</v>
      </c>
      <c r="F351" s="2">
        <v>350</v>
      </c>
      <c r="G351" s="2">
        <f t="shared" si="58"/>
        <v>50</v>
      </c>
      <c r="H351" s="2">
        <f t="shared" si="59"/>
        <v>49</v>
      </c>
      <c r="I351" s="2">
        <v>1</v>
      </c>
      <c r="J351" s="44" t="s">
        <v>48</v>
      </c>
      <c r="K351" s="2" t="s">
        <v>49</v>
      </c>
      <c r="L351" s="2">
        <v>1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/>
      <c r="AM351" s="2" t="s">
        <v>1567</v>
      </c>
      <c r="AN351" s="2">
        <f t="shared" si="51"/>
        <v>1</v>
      </c>
      <c r="AO351" s="2">
        <f t="shared" si="52"/>
        <v>0</v>
      </c>
      <c r="AP351" s="2">
        <f t="shared" si="53"/>
        <v>0</v>
      </c>
      <c r="AQ351" s="2">
        <f t="shared" si="54"/>
        <v>0</v>
      </c>
      <c r="AR351" s="2">
        <f t="shared" si="55"/>
        <v>0</v>
      </c>
      <c r="AS351" s="2">
        <f t="shared" si="56"/>
        <v>0</v>
      </c>
      <c r="AT351" s="25">
        <f t="shared" si="57"/>
        <v>0</v>
      </c>
    </row>
    <row r="352" spans="1:46">
      <c r="A352" s="24">
        <v>46122</v>
      </c>
      <c r="B352" s="23">
        <f t="shared" si="50"/>
        <v>46113</v>
      </c>
      <c r="C352" s="2" t="s">
        <v>95</v>
      </c>
      <c r="D352" s="2" t="s">
        <v>150</v>
      </c>
      <c r="E352" s="2">
        <v>1584</v>
      </c>
      <c r="F352" s="2">
        <v>220</v>
      </c>
      <c r="G352" s="2">
        <f t="shared" si="58"/>
        <v>32</v>
      </c>
      <c r="H352" s="2">
        <f t="shared" si="59"/>
        <v>32</v>
      </c>
      <c r="I352" s="2">
        <v>0</v>
      </c>
      <c r="J352" s="44" t="s">
        <v>48</v>
      </c>
      <c r="K352" s="2" t="s">
        <v>49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/>
      <c r="AM352" s="2" t="s">
        <v>1567</v>
      </c>
      <c r="AN352" s="2">
        <f t="shared" si="51"/>
        <v>0</v>
      </c>
      <c r="AO352" s="2">
        <f t="shared" si="52"/>
        <v>0</v>
      </c>
      <c r="AP352" s="2">
        <f t="shared" si="53"/>
        <v>0</v>
      </c>
      <c r="AQ352" s="2">
        <f t="shared" si="54"/>
        <v>0</v>
      </c>
      <c r="AR352" s="2">
        <f t="shared" si="55"/>
        <v>0</v>
      </c>
      <c r="AS352" s="2">
        <f t="shared" si="56"/>
        <v>0</v>
      </c>
      <c r="AT352" s="25">
        <f t="shared" si="57"/>
        <v>0</v>
      </c>
    </row>
    <row r="353" spans="1:46">
      <c r="A353" s="24">
        <v>46122</v>
      </c>
      <c r="B353" s="23">
        <f t="shared" si="50"/>
        <v>46113</v>
      </c>
      <c r="C353" s="2" t="s">
        <v>46</v>
      </c>
      <c r="D353" s="2" t="s">
        <v>318</v>
      </c>
      <c r="E353" s="2">
        <v>8091</v>
      </c>
      <c r="F353" s="2">
        <v>150</v>
      </c>
      <c r="G353" s="2">
        <f t="shared" si="58"/>
        <v>20</v>
      </c>
      <c r="H353" s="2">
        <f t="shared" si="59"/>
        <v>20</v>
      </c>
      <c r="I353" s="2">
        <v>0</v>
      </c>
      <c r="J353" s="44" t="s">
        <v>48</v>
      </c>
      <c r="K353" s="2" t="s">
        <v>49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/>
      <c r="AM353" s="2" t="s">
        <v>1567</v>
      </c>
      <c r="AN353" s="2">
        <f t="shared" si="51"/>
        <v>0</v>
      </c>
      <c r="AO353" s="2">
        <f t="shared" si="52"/>
        <v>0</v>
      </c>
      <c r="AP353" s="2">
        <f t="shared" si="53"/>
        <v>0</v>
      </c>
      <c r="AQ353" s="2">
        <f t="shared" si="54"/>
        <v>0</v>
      </c>
      <c r="AR353" s="2">
        <f t="shared" si="55"/>
        <v>0</v>
      </c>
      <c r="AS353" s="2">
        <f t="shared" si="56"/>
        <v>0</v>
      </c>
      <c r="AT353" s="25">
        <f t="shared" si="57"/>
        <v>0</v>
      </c>
    </row>
    <row r="354" spans="1:46">
      <c r="A354" s="24">
        <v>46122</v>
      </c>
      <c r="B354" s="23">
        <f t="shared" si="50"/>
        <v>46113</v>
      </c>
      <c r="C354" s="2" t="s">
        <v>97</v>
      </c>
      <c r="D354" s="2" t="s">
        <v>98</v>
      </c>
      <c r="E354" s="2">
        <v>6172</v>
      </c>
      <c r="F354" s="2">
        <v>95</v>
      </c>
      <c r="G354" s="2">
        <f t="shared" si="58"/>
        <v>20</v>
      </c>
      <c r="H354" s="2">
        <f t="shared" si="59"/>
        <v>20</v>
      </c>
      <c r="I354" s="2">
        <v>0</v>
      </c>
      <c r="J354" s="44" t="s">
        <v>48</v>
      </c>
      <c r="K354" s="2" t="s">
        <v>49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/>
      <c r="AM354" s="2" t="s">
        <v>110</v>
      </c>
      <c r="AN354" s="2">
        <f t="shared" si="51"/>
        <v>0</v>
      </c>
      <c r="AO354" s="2">
        <f t="shared" si="52"/>
        <v>0</v>
      </c>
      <c r="AP354" s="2">
        <f t="shared" si="53"/>
        <v>0</v>
      </c>
      <c r="AQ354" s="2">
        <f t="shared" si="54"/>
        <v>0</v>
      </c>
      <c r="AR354" s="2">
        <f t="shared" si="55"/>
        <v>0</v>
      </c>
      <c r="AS354" s="2">
        <f t="shared" si="56"/>
        <v>0</v>
      </c>
      <c r="AT354" s="25">
        <f t="shared" si="57"/>
        <v>0</v>
      </c>
    </row>
    <row r="355" spans="1:46">
      <c r="A355" s="24">
        <v>46122</v>
      </c>
      <c r="B355" s="23">
        <f t="shared" si="50"/>
        <v>46113</v>
      </c>
      <c r="C355" s="2" t="s">
        <v>66</v>
      </c>
      <c r="D355" s="2" t="s">
        <v>145</v>
      </c>
      <c r="E355" s="2">
        <v>2656</v>
      </c>
      <c r="F355" s="2">
        <v>149</v>
      </c>
      <c r="G355" s="2">
        <f t="shared" si="58"/>
        <v>20</v>
      </c>
      <c r="H355" s="2">
        <f t="shared" si="59"/>
        <v>20</v>
      </c>
      <c r="I355" s="2">
        <v>0</v>
      </c>
      <c r="J355" s="44" t="s">
        <v>48</v>
      </c>
      <c r="K355" s="2" t="s">
        <v>49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/>
      <c r="AM355" s="2" t="s">
        <v>110</v>
      </c>
      <c r="AN355" s="2">
        <f t="shared" si="51"/>
        <v>0</v>
      </c>
      <c r="AO355" s="2">
        <f t="shared" si="52"/>
        <v>0</v>
      </c>
      <c r="AP355" s="2">
        <f t="shared" si="53"/>
        <v>0</v>
      </c>
      <c r="AQ355" s="2">
        <f t="shared" si="54"/>
        <v>0</v>
      </c>
      <c r="AR355" s="2">
        <f t="shared" si="55"/>
        <v>0</v>
      </c>
      <c r="AS355" s="2">
        <f t="shared" si="56"/>
        <v>0</v>
      </c>
      <c r="AT355" s="25">
        <f t="shared" si="57"/>
        <v>0</v>
      </c>
    </row>
    <row r="356" spans="1:46">
      <c r="A356" s="24">
        <v>46122</v>
      </c>
      <c r="B356" s="23">
        <f t="shared" si="50"/>
        <v>46113</v>
      </c>
      <c r="C356" s="2" t="s">
        <v>66</v>
      </c>
      <c r="D356" s="2" t="s">
        <v>230</v>
      </c>
      <c r="E356" s="2">
        <v>2131</v>
      </c>
      <c r="F356" s="2">
        <v>96</v>
      </c>
      <c r="G356" s="2">
        <f t="shared" si="58"/>
        <v>20</v>
      </c>
      <c r="H356" s="2">
        <f t="shared" si="59"/>
        <v>19</v>
      </c>
      <c r="I356" s="2">
        <v>1</v>
      </c>
      <c r="J356" s="44" t="s">
        <v>48</v>
      </c>
      <c r="K356" s="2" t="s">
        <v>49</v>
      </c>
      <c r="L356" s="2">
        <v>1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/>
      <c r="AM356" s="2" t="s">
        <v>110</v>
      </c>
      <c r="AN356" s="2">
        <f t="shared" si="51"/>
        <v>1</v>
      </c>
      <c r="AO356" s="2">
        <f t="shared" si="52"/>
        <v>0</v>
      </c>
      <c r="AP356" s="2">
        <f t="shared" si="53"/>
        <v>0</v>
      </c>
      <c r="AQ356" s="2">
        <f t="shared" si="54"/>
        <v>0</v>
      </c>
      <c r="AR356" s="2">
        <f t="shared" si="55"/>
        <v>0</v>
      </c>
      <c r="AS356" s="2">
        <f t="shared" si="56"/>
        <v>0</v>
      </c>
      <c r="AT356" s="25">
        <f t="shared" si="57"/>
        <v>0</v>
      </c>
    </row>
    <row r="357" spans="1:46">
      <c r="A357" s="24">
        <v>46122</v>
      </c>
      <c r="B357" s="23">
        <f t="shared" si="50"/>
        <v>46113</v>
      </c>
      <c r="C357" s="2" t="s">
        <v>97</v>
      </c>
      <c r="D357" s="2" t="s">
        <v>284</v>
      </c>
      <c r="E357" s="2">
        <v>3304</v>
      </c>
      <c r="F357" s="2">
        <v>297</v>
      </c>
      <c r="G357" s="2">
        <f t="shared" si="58"/>
        <v>50</v>
      </c>
      <c r="H357" s="2">
        <f t="shared" si="59"/>
        <v>50</v>
      </c>
      <c r="I357" s="2">
        <v>0</v>
      </c>
      <c r="J357" s="44" t="s">
        <v>48</v>
      </c>
      <c r="K357" s="2" t="s">
        <v>49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/>
      <c r="AM357" s="2" t="s">
        <v>110</v>
      </c>
      <c r="AN357" s="2">
        <f t="shared" si="51"/>
        <v>0</v>
      </c>
      <c r="AO357" s="2">
        <f t="shared" si="52"/>
        <v>0</v>
      </c>
      <c r="AP357" s="2">
        <f t="shared" si="53"/>
        <v>0</v>
      </c>
      <c r="AQ357" s="2">
        <f t="shared" si="54"/>
        <v>0</v>
      </c>
      <c r="AR357" s="2">
        <f t="shared" si="55"/>
        <v>0</v>
      </c>
      <c r="AS357" s="2">
        <f t="shared" si="56"/>
        <v>0</v>
      </c>
      <c r="AT357" s="25">
        <f t="shared" si="57"/>
        <v>0</v>
      </c>
    </row>
    <row r="358" spans="1:46">
      <c r="A358" s="24">
        <v>46122</v>
      </c>
      <c r="B358" s="23">
        <f t="shared" si="50"/>
        <v>46113</v>
      </c>
      <c r="C358" s="2" t="s">
        <v>66</v>
      </c>
      <c r="D358" s="2" t="s">
        <v>68</v>
      </c>
      <c r="E358" s="2">
        <v>2638</v>
      </c>
      <c r="F358" s="2">
        <v>52</v>
      </c>
      <c r="G358" s="2">
        <f t="shared" si="58"/>
        <v>20</v>
      </c>
      <c r="H358" s="2">
        <f t="shared" si="59"/>
        <v>20</v>
      </c>
      <c r="I358" s="2">
        <v>0</v>
      </c>
      <c r="J358" s="44" t="s">
        <v>48</v>
      </c>
      <c r="K358" s="2" t="s">
        <v>49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/>
      <c r="AM358" s="2" t="s">
        <v>110</v>
      </c>
      <c r="AN358" s="2">
        <f t="shared" si="51"/>
        <v>0</v>
      </c>
      <c r="AO358" s="2">
        <f t="shared" si="52"/>
        <v>0</v>
      </c>
      <c r="AP358" s="2">
        <f t="shared" si="53"/>
        <v>0</v>
      </c>
      <c r="AQ358" s="2">
        <f t="shared" si="54"/>
        <v>0</v>
      </c>
      <c r="AR358" s="2">
        <f t="shared" si="55"/>
        <v>0</v>
      </c>
      <c r="AS358" s="2">
        <f t="shared" si="56"/>
        <v>0</v>
      </c>
      <c r="AT358" s="25">
        <f t="shared" si="57"/>
        <v>0</v>
      </c>
    </row>
    <row r="359" spans="1:46">
      <c r="A359" s="24">
        <v>46122</v>
      </c>
      <c r="B359" s="23">
        <f t="shared" si="50"/>
        <v>46113</v>
      </c>
      <c r="C359" s="2" t="s">
        <v>66</v>
      </c>
      <c r="D359" s="2" t="s">
        <v>146</v>
      </c>
      <c r="E359" s="2">
        <v>2638</v>
      </c>
      <c r="F359" s="2">
        <v>345</v>
      </c>
      <c r="G359" s="2">
        <f t="shared" si="58"/>
        <v>50</v>
      </c>
      <c r="H359" s="2">
        <f t="shared" si="59"/>
        <v>50</v>
      </c>
      <c r="I359" s="2">
        <v>0</v>
      </c>
      <c r="J359" s="44" t="s">
        <v>48</v>
      </c>
      <c r="K359" s="2" t="s">
        <v>49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/>
      <c r="AM359" s="2" t="s">
        <v>110</v>
      </c>
      <c r="AN359" s="2">
        <f t="shared" si="51"/>
        <v>0</v>
      </c>
      <c r="AO359" s="2">
        <f t="shared" si="52"/>
        <v>0</v>
      </c>
      <c r="AP359" s="2">
        <f t="shared" si="53"/>
        <v>0</v>
      </c>
      <c r="AQ359" s="2">
        <f t="shared" si="54"/>
        <v>0</v>
      </c>
      <c r="AR359" s="2">
        <f t="shared" si="55"/>
        <v>0</v>
      </c>
      <c r="AS359" s="2">
        <f t="shared" si="56"/>
        <v>0</v>
      </c>
      <c r="AT359" s="25">
        <f t="shared" si="57"/>
        <v>0</v>
      </c>
    </row>
    <row r="360" spans="1:46">
      <c r="A360" s="24">
        <v>46122</v>
      </c>
      <c r="B360" s="23">
        <f t="shared" si="50"/>
        <v>46113</v>
      </c>
      <c r="C360" s="2" t="s">
        <v>97</v>
      </c>
      <c r="D360" s="2" t="s">
        <v>285</v>
      </c>
      <c r="E360" s="2">
        <v>3304</v>
      </c>
      <c r="F360" s="2">
        <v>230</v>
      </c>
      <c r="G360" s="2">
        <f t="shared" si="58"/>
        <v>32</v>
      </c>
      <c r="H360" s="2">
        <f t="shared" si="59"/>
        <v>32</v>
      </c>
      <c r="I360" s="2">
        <v>0</v>
      </c>
      <c r="J360" s="44" t="s">
        <v>48</v>
      </c>
      <c r="K360" s="2" t="s">
        <v>49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/>
      <c r="AM360" s="2" t="s">
        <v>110</v>
      </c>
      <c r="AN360" s="2">
        <f t="shared" si="51"/>
        <v>0</v>
      </c>
      <c r="AO360" s="2">
        <f t="shared" si="52"/>
        <v>0</v>
      </c>
      <c r="AP360" s="2">
        <f t="shared" si="53"/>
        <v>0</v>
      </c>
      <c r="AQ360" s="2">
        <f t="shared" si="54"/>
        <v>0</v>
      </c>
      <c r="AR360" s="2">
        <f t="shared" si="55"/>
        <v>0</v>
      </c>
      <c r="AS360" s="2">
        <f t="shared" si="56"/>
        <v>0</v>
      </c>
      <c r="AT360" s="25">
        <f t="shared" si="57"/>
        <v>0</v>
      </c>
    </row>
    <row r="361" spans="1:46">
      <c r="A361" s="24">
        <v>46122</v>
      </c>
      <c r="B361" s="23">
        <f t="shared" si="50"/>
        <v>46113</v>
      </c>
      <c r="C361" s="2" t="s">
        <v>97</v>
      </c>
      <c r="D361" s="2" t="s">
        <v>1318</v>
      </c>
      <c r="E361" s="2">
        <v>3327</v>
      </c>
      <c r="F361" s="2">
        <v>350</v>
      </c>
      <c r="G361" s="2">
        <f t="shared" si="58"/>
        <v>50</v>
      </c>
      <c r="H361" s="2">
        <f t="shared" si="59"/>
        <v>49</v>
      </c>
      <c r="I361" s="2">
        <v>1</v>
      </c>
      <c r="J361" s="44" t="s">
        <v>48</v>
      </c>
      <c r="K361" s="2" t="s">
        <v>49</v>
      </c>
      <c r="L361" s="2">
        <v>1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/>
      <c r="AM361" s="2" t="s">
        <v>110</v>
      </c>
      <c r="AN361" s="2">
        <f t="shared" si="51"/>
        <v>1</v>
      </c>
      <c r="AO361" s="2">
        <f t="shared" si="52"/>
        <v>0</v>
      </c>
      <c r="AP361" s="2">
        <f t="shared" si="53"/>
        <v>0</v>
      </c>
      <c r="AQ361" s="2">
        <f t="shared" si="54"/>
        <v>0</v>
      </c>
      <c r="AR361" s="2">
        <f t="shared" si="55"/>
        <v>0</v>
      </c>
      <c r="AS361" s="2">
        <f t="shared" si="56"/>
        <v>0</v>
      </c>
      <c r="AT361" s="25">
        <f t="shared" si="57"/>
        <v>0</v>
      </c>
    </row>
    <row r="362" spans="1:46">
      <c r="A362" s="24">
        <v>46123</v>
      </c>
      <c r="B362" s="23">
        <f t="shared" si="50"/>
        <v>46113</v>
      </c>
      <c r="C362" s="2" t="s">
        <v>114</v>
      </c>
      <c r="D362" s="3" t="s">
        <v>1411</v>
      </c>
      <c r="E362" s="2">
        <v>6206</v>
      </c>
      <c r="F362" s="2">
        <v>300</v>
      </c>
      <c r="G362" s="2">
        <f t="shared" si="58"/>
        <v>50</v>
      </c>
      <c r="H362" s="2">
        <f t="shared" si="59"/>
        <v>49</v>
      </c>
      <c r="I362" s="2">
        <v>1</v>
      </c>
      <c r="J362" s="44" t="s">
        <v>48</v>
      </c>
      <c r="K362" s="2" t="s">
        <v>49</v>
      </c>
      <c r="L362" s="2">
        <v>1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/>
      <c r="AM362" s="2" t="s">
        <v>80</v>
      </c>
      <c r="AN362" s="2">
        <f t="shared" si="51"/>
        <v>1</v>
      </c>
      <c r="AO362" s="2">
        <f t="shared" si="52"/>
        <v>0</v>
      </c>
      <c r="AP362" s="2">
        <f t="shared" si="53"/>
        <v>0</v>
      </c>
      <c r="AQ362" s="2">
        <f t="shared" si="54"/>
        <v>0</v>
      </c>
      <c r="AR362" s="2">
        <f t="shared" si="55"/>
        <v>0</v>
      </c>
      <c r="AS362" s="2">
        <f t="shared" si="56"/>
        <v>0</v>
      </c>
      <c r="AT362" s="25">
        <f t="shared" si="57"/>
        <v>0</v>
      </c>
    </row>
    <row r="363" spans="1:46">
      <c r="A363" s="24">
        <v>46123</v>
      </c>
      <c r="B363" s="23">
        <f t="shared" si="50"/>
        <v>46113</v>
      </c>
      <c r="C363" s="2" t="s">
        <v>95</v>
      </c>
      <c r="D363" s="2" t="s">
        <v>227</v>
      </c>
      <c r="E363" s="2">
        <v>2679</v>
      </c>
      <c r="F363" s="2">
        <v>122</v>
      </c>
      <c r="G363" s="2">
        <f t="shared" si="58"/>
        <v>20</v>
      </c>
      <c r="H363" s="2">
        <f t="shared" si="59"/>
        <v>19</v>
      </c>
      <c r="I363" s="2">
        <v>1</v>
      </c>
      <c r="J363" s="44" t="s">
        <v>48</v>
      </c>
      <c r="K363" s="2" t="s">
        <v>49</v>
      </c>
      <c r="L363" s="2">
        <v>1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/>
      <c r="AM363" s="2" t="s">
        <v>1567</v>
      </c>
      <c r="AN363" s="2">
        <f t="shared" si="51"/>
        <v>1</v>
      </c>
      <c r="AO363" s="2">
        <f t="shared" si="52"/>
        <v>0</v>
      </c>
      <c r="AP363" s="2">
        <f t="shared" si="53"/>
        <v>0</v>
      </c>
      <c r="AQ363" s="2">
        <f t="shared" si="54"/>
        <v>0</v>
      </c>
      <c r="AR363" s="2">
        <f t="shared" si="55"/>
        <v>0</v>
      </c>
      <c r="AS363" s="2">
        <f t="shared" si="56"/>
        <v>0</v>
      </c>
      <c r="AT363" s="25">
        <f t="shared" si="57"/>
        <v>0</v>
      </c>
    </row>
    <row r="364" spans="1:46">
      <c r="A364" s="24">
        <v>46123</v>
      </c>
      <c r="B364" s="23">
        <f t="shared" si="50"/>
        <v>46113</v>
      </c>
      <c r="C364" s="2" t="s">
        <v>95</v>
      </c>
      <c r="D364" s="2" t="s">
        <v>214</v>
      </c>
      <c r="E364" s="2">
        <v>2679</v>
      </c>
      <c r="F364" s="2">
        <v>450</v>
      </c>
      <c r="G364" s="2">
        <f t="shared" si="58"/>
        <v>50</v>
      </c>
      <c r="H364" s="2">
        <f t="shared" si="59"/>
        <v>47</v>
      </c>
      <c r="I364" s="2">
        <v>3</v>
      </c>
      <c r="J364" s="44" t="s">
        <v>48</v>
      </c>
      <c r="K364" s="2" t="s">
        <v>49</v>
      </c>
      <c r="L364" s="2">
        <v>3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/>
      <c r="AM364" s="2" t="s">
        <v>1567</v>
      </c>
      <c r="AN364" s="2">
        <f t="shared" si="51"/>
        <v>3</v>
      </c>
      <c r="AO364" s="2">
        <f t="shared" si="52"/>
        <v>0</v>
      </c>
      <c r="AP364" s="2">
        <f t="shared" si="53"/>
        <v>0</v>
      </c>
      <c r="AQ364" s="2">
        <f t="shared" si="54"/>
        <v>0</v>
      </c>
      <c r="AR364" s="2">
        <f t="shared" si="55"/>
        <v>0</v>
      </c>
      <c r="AS364" s="2">
        <f t="shared" si="56"/>
        <v>0</v>
      </c>
      <c r="AT364" s="25">
        <f t="shared" si="57"/>
        <v>0</v>
      </c>
    </row>
    <row r="365" spans="1:46">
      <c r="A365" s="24">
        <v>46123</v>
      </c>
      <c r="B365" s="23">
        <f t="shared" si="50"/>
        <v>46113</v>
      </c>
      <c r="C365" s="2" t="s">
        <v>46</v>
      </c>
      <c r="D365" s="2" t="s">
        <v>50</v>
      </c>
      <c r="E365" s="2">
        <v>7153</v>
      </c>
      <c r="F365" s="2">
        <v>342</v>
      </c>
      <c r="G365" s="2">
        <f t="shared" si="58"/>
        <v>50</v>
      </c>
      <c r="H365" s="2">
        <f t="shared" si="59"/>
        <v>50</v>
      </c>
      <c r="I365" s="2">
        <v>0</v>
      </c>
      <c r="J365" s="44" t="s">
        <v>48</v>
      </c>
      <c r="K365" s="2" t="s">
        <v>49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/>
      <c r="AM365" s="2" t="s">
        <v>1567</v>
      </c>
      <c r="AN365" s="2">
        <f t="shared" si="51"/>
        <v>0</v>
      </c>
      <c r="AO365" s="2">
        <f t="shared" si="52"/>
        <v>0</v>
      </c>
      <c r="AP365" s="2">
        <f t="shared" si="53"/>
        <v>0</v>
      </c>
      <c r="AQ365" s="2">
        <f t="shared" si="54"/>
        <v>0</v>
      </c>
      <c r="AR365" s="2">
        <f t="shared" si="55"/>
        <v>0</v>
      </c>
      <c r="AS365" s="2">
        <f t="shared" si="56"/>
        <v>0</v>
      </c>
      <c r="AT365" s="25">
        <f t="shared" si="57"/>
        <v>0</v>
      </c>
    </row>
    <row r="366" spans="1:46">
      <c r="A366" s="24">
        <v>46123</v>
      </c>
      <c r="B366" s="23">
        <f t="shared" si="50"/>
        <v>46113</v>
      </c>
      <c r="C366" s="2" t="s">
        <v>95</v>
      </c>
      <c r="D366" s="2" t="s">
        <v>212</v>
      </c>
      <c r="E366" s="2">
        <v>2679</v>
      </c>
      <c r="F366" s="2">
        <v>130</v>
      </c>
      <c r="G366" s="2">
        <f t="shared" si="58"/>
        <v>20</v>
      </c>
      <c r="H366" s="2">
        <f t="shared" si="59"/>
        <v>20</v>
      </c>
      <c r="I366" s="2">
        <v>0</v>
      </c>
      <c r="J366" s="44" t="s">
        <v>48</v>
      </c>
      <c r="K366" s="2" t="s">
        <v>49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/>
      <c r="AM366" s="2" t="s">
        <v>1567</v>
      </c>
      <c r="AN366" s="2">
        <f t="shared" si="51"/>
        <v>0</v>
      </c>
      <c r="AO366" s="2">
        <f t="shared" si="52"/>
        <v>0</v>
      </c>
      <c r="AP366" s="2">
        <f t="shared" si="53"/>
        <v>0</v>
      </c>
      <c r="AQ366" s="2">
        <f t="shared" si="54"/>
        <v>0</v>
      </c>
      <c r="AR366" s="2">
        <f t="shared" si="55"/>
        <v>0</v>
      </c>
      <c r="AS366" s="2">
        <f t="shared" si="56"/>
        <v>0</v>
      </c>
      <c r="AT366" s="25">
        <f t="shared" si="57"/>
        <v>0</v>
      </c>
    </row>
    <row r="367" spans="1:46">
      <c r="A367" s="24">
        <v>46123</v>
      </c>
      <c r="B367" s="23">
        <f t="shared" si="50"/>
        <v>46113</v>
      </c>
      <c r="C367" s="2" t="s">
        <v>95</v>
      </c>
      <c r="D367" s="2" t="s">
        <v>213</v>
      </c>
      <c r="E367" s="2">
        <v>2679</v>
      </c>
      <c r="F367" s="2">
        <v>370</v>
      </c>
      <c r="G367" s="2">
        <f t="shared" si="58"/>
        <v>50</v>
      </c>
      <c r="H367" s="2">
        <f t="shared" si="59"/>
        <v>48</v>
      </c>
      <c r="I367" s="2">
        <v>2</v>
      </c>
      <c r="J367" s="44" t="s">
        <v>48</v>
      </c>
      <c r="K367" s="2" t="s">
        <v>49</v>
      </c>
      <c r="L367" s="2">
        <v>2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/>
      <c r="AM367" s="2" t="s">
        <v>1567</v>
      </c>
      <c r="AN367" s="2">
        <f t="shared" si="51"/>
        <v>2</v>
      </c>
      <c r="AO367" s="2">
        <f t="shared" si="52"/>
        <v>0</v>
      </c>
      <c r="AP367" s="2">
        <f t="shared" si="53"/>
        <v>0</v>
      </c>
      <c r="AQ367" s="2">
        <f t="shared" si="54"/>
        <v>0</v>
      </c>
      <c r="AR367" s="2">
        <f t="shared" si="55"/>
        <v>0</v>
      </c>
      <c r="AS367" s="2">
        <f t="shared" si="56"/>
        <v>0</v>
      </c>
      <c r="AT367" s="25">
        <f t="shared" si="57"/>
        <v>0</v>
      </c>
    </row>
    <row r="368" spans="1:46">
      <c r="A368" s="24">
        <v>46123</v>
      </c>
      <c r="B368" s="23">
        <f t="shared" si="50"/>
        <v>46113</v>
      </c>
      <c r="C368" s="2" t="s">
        <v>46</v>
      </c>
      <c r="D368" s="2" t="s">
        <v>73</v>
      </c>
      <c r="E368" s="2">
        <v>2702</v>
      </c>
      <c r="F368" s="2">
        <v>360</v>
      </c>
      <c r="G368" s="2">
        <f t="shared" si="58"/>
        <v>50</v>
      </c>
      <c r="H368" s="2">
        <f t="shared" si="59"/>
        <v>47</v>
      </c>
      <c r="I368" s="2">
        <v>3</v>
      </c>
      <c r="J368" s="44" t="s">
        <v>48</v>
      </c>
      <c r="K368" s="2" t="s">
        <v>49</v>
      </c>
      <c r="L368" s="2">
        <v>3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/>
      <c r="AM368" s="2" t="s">
        <v>1567</v>
      </c>
      <c r="AN368" s="2">
        <f t="shared" si="51"/>
        <v>3</v>
      </c>
      <c r="AO368" s="2">
        <f t="shared" si="52"/>
        <v>0</v>
      </c>
      <c r="AP368" s="2">
        <f t="shared" si="53"/>
        <v>0</v>
      </c>
      <c r="AQ368" s="2">
        <f t="shared" si="54"/>
        <v>0</v>
      </c>
      <c r="AR368" s="2">
        <f t="shared" si="55"/>
        <v>0</v>
      </c>
      <c r="AS368" s="2">
        <f t="shared" si="56"/>
        <v>0</v>
      </c>
      <c r="AT368" s="25">
        <f t="shared" si="57"/>
        <v>0</v>
      </c>
    </row>
    <row r="369" spans="1:46">
      <c r="A369" s="24">
        <v>46123</v>
      </c>
      <c r="B369" s="23">
        <f t="shared" si="50"/>
        <v>46113</v>
      </c>
      <c r="C369" s="2" t="s">
        <v>46</v>
      </c>
      <c r="D369" s="2" t="s">
        <v>228</v>
      </c>
      <c r="E369" s="2">
        <v>6221</v>
      </c>
      <c r="F369" s="2">
        <v>280</v>
      </c>
      <c r="G369" s="2">
        <f t="shared" si="58"/>
        <v>32</v>
      </c>
      <c r="H369" s="2">
        <f t="shared" si="59"/>
        <v>32</v>
      </c>
      <c r="I369" s="2">
        <v>0</v>
      </c>
      <c r="J369" s="44" t="s">
        <v>48</v>
      </c>
      <c r="K369" s="2" t="s">
        <v>49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/>
      <c r="AM369" s="2" t="s">
        <v>1567</v>
      </c>
      <c r="AN369" s="2">
        <f t="shared" si="51"/>
        <v>0</v>
      </c>
      <c r="AO369" s="2">
        <f t="shared" si="52"/>
        <v>0</v>
      </c>
      <c r="AP369" s="2">
        <f t="shared" si="53"/>
        <v>0</v>
      </c>
      <c r="AQ369" s="2">
        <f t="shared" si="54"/>
        <v>0</v>
      </c>
      <c r="AR369" s="2">
        <f t="shared" si="55"/>
        <v>0</v>
      </c>
      <c r="AS369" s="2">
        <f t="shared" si="56"/>
        <v>0</v>
      </c>
      <c r="AT369" s="25">
        <f t="shared" si="57"/>
        <v>0</v>
      </c>
    </row>
    <row r="370" spans="1:46">
      <c r="A370" s="24">
        <v>46123</v>
      </c>
      <c r="B370" s="23">
        <f t="shared" si="50"/>
        <v>46113</v>
      </c>
      <c r="C370" s="2" t="s">
        <v>46</v>
      </c>
      <c r="D370" s="2" t="s">
        <v>217</v>
      </c>
      <c r="E370" s="2">
        <v>7152</v>
      </c>
      <c r="F370" s="2">
        <v>310</v>
      </c>
      <c r="G370" s="2">
        <f t="shared" si="58"/>
        <v>50</v>
      </c>
      <c r="H370" s="2">
        <f t="shared" si="59"/>
        <v>48</v>
      </c>
      <c r="I370" s="2">
        <v>2</v>
      </c>
      <c r="J370" s="44" t="s">
        <v>48</v>
      </c>
      <c r="K370" s="2" t="s">
        <v>49</v>
      </c>
      <c r="L370" s="2">
        <v>2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/>
      <c r="AM370" s="2" t="s">
        <v>1567</v>
      </c>
      <c r="AN370" s="2">
        <f t="shared" si="51"/>
        <v>2</v>
      </c>
      <c r="AO370" s="2">
        <f t="shared" si="52"/>
        <v>0</v>
      </c>
      <c r="AP370" s="2">
        <f t="shared" si="53"/>
        <v>0</v>
      </c>
      <c r="AQ370" s="2">
        <f t="shared" si="54"/>
        <v>0</v>
      </c>
      <c r="AR370" s="2">
        <f t="shared" si="55"/>
        <v>0</v>
      </c>
      <c r="AS370" s="2">
        <f t="shared" si="56"/>
        <v>0</v>
      </c>
      <c r="AT370" s="25">
        <f t="shared" si="57"/>
        <v>0</v>
      </c>
    </row>
    <row r="371" spans="1:46">
      <c r="A371" s="24">
        <v>46123</v>
      </c>
      <c r="B371" s="23">
        <f t="shared" si="50"/>
        <v>46113</v>
      </c>
      <c r="C371" s="2" t="s">
        <v>46</v>
      </c>
      <c r="D371" s="2" t="s">
        <v>320</v>
      </c>
      <c r="E371" s="2">
        <v>2781</v>
      </c>
      <c r="F371" s="2">
        <v>92</v>
      </c>
      <c r="G371" s="2">
        <f t="shared" si="58"/>
        <v>20</v>
      </c>
      <c r="H371" s="2">
        <f t="shared" si="59"/>
        <v>20</v>
      </c>
      <c r="I371" s="2">
        <v>0</v>
      </c>
      <c r="J371" s="44" t="s">
        <v>48</v>
      </c>
      <c r="K371" s="2" t="s">
        <v>49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/>
      <c r="AM371" s="2" t="s">
        <v>1567</v>
      </c>
      <c r="AN371" s="2">
        <f t="shared" si="51"/>
        <v>0</v>
      </c>
      <c r="AO371" s="2">
        <f t="shared" si="52"/>
        <v>0</v>
      </c>
      <c r="AP371" s="2">
        <f t="shared" si="53"/>
        <v>0</v>
      </c>
      <c r="AQ371" s="2">
        <f t="shared" si="54"/>
        <v>0</v>
      </c>
      <c r="AR371" s="2">
        <f t="shared" si="55"/>
        <v>0</v>
      </c>
      <c r="AS371" s="2">
        <f t="shared" si="56"/>
        <v>0</v>
      </c>
      <c r="AT371" s="25">
        <f t="shared" si="57"/>
        <v>0</v>
      </c>
    </row>
    <row r="372" spans="1:46">
      <c r="A372" s="24">
        <v>46123</v>
      </c>
      <c r="B372" s="23">
        <f t="shared" si="50"/>
        <v>46113</v>
      </c>
      <c r="C372" s="2" t="s">
        <v>46</v>
      </c>
      <c r="D372" s="2" t="s">
        <v>1542</v>
      </c>
      <c r="E372" s="2">
        <v>6285</v>
      </c>
      <c r="F372" s="2">
        <v>243</v>
      </c>
      <c r="G372" s="2">
        <f t="shared" si="58"/>
        <v>32</v>
      </c>
      <c r="H372" s="2">
        <f t="shared" si="59"/>
        <v>30</v>
      </c>
      <c r="I372" s="2">
        <v>2</v>
      </c>
      <c r="J372" s="44" t="s">
        <v>48</v>
      </c>
      <c r="K372" s="2" t="s">
        <v>49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2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/>
      <c r="AM372" s="2" t="s">
        <v>99</v>
      </c>
      <c r="AN372" s="2">
        <f t="shared" si="51"/>
        <v>0</v>
      </c>
      <c r="AO372" s="2">
        <f t="shared" si="52"/>
        <v>0</v>
      </c>
      <c r="AP372" s="2">
        <f t="shared" si="53"/>
        <v>2</v>
      </c>
      <c r="AQ372" s="2">
        <f t="shared" si="54"/>
        <v>0</v>
      </c>
      <c r="AR372" s="2">
        <f t="shared" si="55"/>
        <v>0</v>
      </c>
      <c r="AS372" s="2">
        <f t="shared" si="56"/>
        <v>0</v>
      </c>
      <c r="AT372" s="25">
        <f t="shared" si="57"/>
        <v>0</v>
      </c>
    </row>
    <row r="373" spans="1:46">
      <c r="A373" s="24">
        <v>46123</v>
      </c>
      <c r="B373" s="23">
        <f t="shared" si="50"/>
        <v>46113</v>
      </c>
      <c r="C373" s="2" t="s">
        <v>95</v>
      </c>
      <c r="D373" s="2" t="s">
        <v>246</v>
      </c>
      <c r="E373" s="2">
        <v>8166</v>
      </c>
      <c r="F373" s="2">
        <v>54</v>
      </c>
      <c r="G373" s="2">
        <f t="shared" si="58"/>
        <v>20</v>
      </c>
      <c r="H373" s="2">
        <f t="shared" si="59"/>
        <v>20</v>
      </c>
      <c r="I373" s="2">
        <v>0</v>
      </c>
      <c r="J373" s="44" t="s">
        <v>48</v>
      </c>
      <c r="K373" s="2" t="s">
        <v>49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/>
      <c r="AM373" s="2" t="s">
        <v>1567</v>
      </c>
      <c r="AN373" s="2">
        <f t="shared" si="51"/>
        <v>0</v>
      </c>
      <c r="AO373" s="2">
        <f t="shared" si="52"/>
        <v>0</v>
      </c>
      <c r="AP373" s="2">
        <f t="shared" si="53"/>
        <v>0</v>
      </c>
      <c r="AQ373" s="2">
        <f t="shared" si="54"/>
        <v>0</v>
      </c>
      <c r="AR373" s="2">
        <f t="shared" si="55"/>
        <v>0</v>
      </c>
      <c r="AS373" s="2">
        <f t="shared" si="56"/>
        <v>0</v>
      </c>
      <c r="AT373" s="25">
        <f t="shared" si="57"/>
        <v>0</v>
      </c>
    </row>
    <row r="374" spans="1:46">
      <c r="A374" s="24">
        <v>46123</v>
      </c>
      <c r="B374" s="23">
        <f t="shared" si="50"/>
        <v>46113</v>
      </c>
      <c r="C374" s="2" t="s">
        <v>95</v>
      </c>
      <c r="D374" s="2" t="s">
        <v>1410</v>
      </c>
      <c r="E374" s="2">
        <v>6215</v>
      </c>
      <c r="F374" s="2">
        <v>86</v>
      </c>
      <c r="G374" s="2">
        <f t="shared" si="58"/>
        <v>20</v>
      </c>
      <c r="H374" s="2">
        <f t="shared" si="59"/>
        <v>19</v>
      </c>
      <c r="I374" s="2">
        <v>1</v>
      </c>
      <c r="J374" s="44" t="s">
        <v>48</v>
      </c>
      <c r="K374" s="2" t="s">
        <v>49</v>
      </c>
      <c r="L374" s="2">
        <v>1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/>
      <c r="AM374" s="2" t="s">
        <v>1567</v>
      </c>
      <c r="AN374" s="2">
        <f t="shared" si="51"/>
        <v>1</v>
      </c>
      <c r="AO374" s="2">
        <f t="shared" si="52"/>
        <v>0</v>
      </c>
      <c r="AP374" s="2">
        <f t="shared" si="53"/>
        <v>0</v>
      </c>
      <c r="AQ374" s="2">
        <f t="shared" si="54"/>
        <v>0</v>
      </c>
      <c r="AR374" s="2">
        <f t="shared" si="55"/>
        <v>0</v>
      </c>
      <c r="AS374" s="2">
        <f t="shared" si="56"/>
        <v>0</v>
      </c>
      <c r="AT374" s="25">
        <f t="shared" si="57"/>
        <v>0</v>
      </c>
    </row>
    <row r="375" spans="1:46">
      <c r="A375" s="24">
        <v>46123</v>
      </c>
      <c r="B375" s="23">
        <f t="shared" si="50"/>
        <v>46113</v>
      </c>
      <c r="C375" s="2" t="s">
        <v>95</v>
      </c>
      <c r="D375" s="2" t="s">
        <v>283</v>
      </c>
      <c r="E375" s="2">
        <v>6274</v>
      </c>
      <c r="F375" s="2">
        <v>51</v>
      </c>
      <c r="G375" s="2">
        <f t="shared" si="58"/>
        <v>20</v>
      </c>
      <c r="H375" s="2">
        <f t="shared" si="59"/>
        <v>19</v>
      </c>
      <c r="I375" s="2">
        <v>1</v>
      </c>
      <c r="J375" s="44" t="s">
        <v>48</v>
      </c>
      <c r="K375" s="2" t="s">
        <v>49</v>
      </c>
      <c r="L375" s="2">
        <v>0</v>
      </c>
      <c r="M375" s="2">
        <v>0</v>
      </c>
      <c r="N375" s="2">
        <v>1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/>
      <c r="AM375" s="2" t="s">
        <v>1567</v>
      </c>
      <c r="AN375" s="2">
        <f t="shared" si="51"/>
        <v>0</v>
      </c>
      <c r="AO375" s="2">
        <f t="shared" si="52"/>
        <v>1</v>
      </c>
      <c r="AP375" s="2">
        <f t="shared" si="53"/>
        <v>0</v>
      </c>
      <c r="AQ375" s="2">
        <f t="shared" si="54"/>
        <v>0</v>
      </c>
      <c r="AR375" s="2">
        <f t="shared" si="55"/>
        <v>0</v>
      </c>
      <c r="AS375" s="2">
        <f t="shared" si="56"/>
        <v>0</v>
      </c>
      <c r="AT375" s="25">
        <f t="shared" si="57"/>
        <v>0</v>
      </c>
    </row>
    <row r="376" spans="1:46">
      <c r="A376" s="24">
        <v>46123</v>
      </c>
      <c r="B376" s="23">
        <f t="shared" si="50"/>
        <v>46113</v>
      </c>
      <c r="C376" s="2" t="s">
        <v>72</v>
      </c>
      <c r="D376" s="2" t="s">
        <v>1544</v>
      </c>
      <c r="E376" s="2">
        <v>6327</v>
      </c>
      <c r="F376" s="2">
        <v>190</v>
      </c>
      <c r="G376" s="2">
        <f t="shared" si="58"/>
        <v>32</v>
      </c>
      <c r="H376" s="2">
        <f t="shared" si="59"/>
        <v>32</v>
      </c>
      <c r="I376" s="2">
        <v>0</v>
      </c>
      <c r="J376" s="44" t="s">
        <v>48</v>
      </c>
      <c r="K376" s="2" t="s">
        <v>49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/>
      <c r="AM376" s="2" t="s">
        <v>103</v>
      </c>
      <c r="AN376" s="2">
        <f t="shared" si="51"/>
        <v>0</v>
      </c>
      <c r="AO376" s="2">
        <f t="shared" si="52"/>
        <v>0</v>
      </c>
      <c r="AP376" s="2">
        <f t="shared" si="53"/>
        <v>0</v>
      </c>
      <c r="AQ376" s="2">
        <f t="shared" si="54"/>
        <v>0</v>
      </c>
      <c r="AR376" s="2">
        <f t="shared" si="55"/>
        <v>0</v>
      </c>
      <c r="AS376" s="2">
        <f t="shared" si="56"/>
        <v>0</v>
      </c>
      <c r="AT376" s="25">
        <f t="shared" si="57"/>
        <v>0</v>
      </c>
    </row>
    <row r="377" spans="1:46">
      <c r="A377" s="24">
        <v>46123</v>
      </c>
      <c r="B377" s="23">
        <f t="shared" si="50"/>
        <v>46113</v>
      </c>
      <c r="C377" s="2" t="s">
        <v>72</v>
      </c>
      <c r="D377" s="2" t="s">
        <v>84</v>
      </c>
      <c r="E377" s="2">
        <v>1825</v>
      </c>
      <c r="F377" s="2">
        <v>172</v>
      </c>
      <c r="G377" s="2">
        <f t="shared" si="58"/>
        <v>32</v>
      </c>
      <c r="H377" s="2">
        <f t="shared" si="59"/>
        <v>30</v>
      </c>
      <c r="I377" s="2">
        <v>2</v>
      </c>
      <c r="J377" s="44" t="s">
        <v>48</v>
      </c>
      <c r="K377" s="2" t="s">
        <v>49</v>
      </c>
      <c r="L377" s="2">
        <v>2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/>
      <c r="AM377" s="2" t="s">
        <v>103</v>
      </c>
      <c r="AN377" s="2">
        <f t="shared" si="51"/>
        <v>2</v>
      </c>
      <c r="AO377" s="2">
        <f t="shared" si="52"/>
        <v>0</v>
      </c>
      <c r="AP377" s="2">
        <f t="shared" si="53"/>
        <v>0</v>
      </c>
      <c r="AQ377" s="2">
        <f t="shared" si="54"/>
        <v>0</v>
      </c>
      <c r="AR377" s="2">
        <f t="shared" si="55"/>
        <v>0</v>
      </c>
      <c r="AS377" s="2">
        <f t="shared" si="56"/>
        <v>0</v>
      </c>
      <c r="AT377" s="25">
        <f t="shared" si="57"/>
        <v>0</v>
      </c>
    </row>
    <row r="378" spans="1:46">
      <c r="A378" s="24">
        <v>46123</v>
      </c>
      <c r="B378" s="23">
        <f t="shared" si="50"/>
        <v>46113</v>
      </c>
      <c r="C378" s="2" t="s">
        <v>72</v>
      </c>
      <c r="D378" s="2" t="s">
        <v>71</v>
      </c>
      <c r="E378" s="2">
        <v>1825</v>
      </c>
      <c r="F378" s="2">
        <v>107</v>
      </c>
      <c r="G378" s="2">
        <f t="shared" si="58"/>
        <v>20</v>
      </c>
      <c r="H378" s="2">
        <f t="shared" si="59"/>
        <v>20</v>
      </c>
      <c r="I378" s="2">
        <v>0</v>
      </c>
      <c r="J378" s="44" t="s">
        <v>48</v>
      </c>
      <c r="K378" s="2" t="s">
        <v>49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/>
      <c r="AM378" s="2" t="s">
        <v>103</v>
      </c>
      <c r="AN378" s="2">
        <f t="shared" si="51"/>
        <v>0</v>
      </c>
      <c r="AO378" s="2">
        <f t="shared" si="52"/>
        <v>0</v>
      </c>
      <c r="AP378" s="2">
        <f t="shared" si="53"/>
        <v>0</v>
      </c>
      <c r="AQ378" s="2">
        <f t="shared" si="54"/>
        <v>0</v>
      </c>
      <c r="AR378" s="2">
        <f t="shared" si="55"/>
        <v>0</v>
      </c>
      <c r="AS378" s="2">
        <f t="shared" si="56"/>
        <v>0</v>
      </c>
      <c r="AT378" s="25">
        <f t="shared" si="57"/>
        <v>0</v>
      </c>
    </row>
    <row r="379" spans="1:46">
      <c r="A379" s="24">
        <v>46123</v>
      </c>
      <c r="B379" s="23">
        <f t="shared" si="50"/>
        <v>46113</v>
      </c>
      <c r="C379" s="2" t="s">
        <v>72</v>
      </c>
      <c r="D379" s="2" t="s">
        <v>87</v>
      </c>
      <c r="E379" s="2">
        <v>1825</v>
      </c>
      <c r="F379" s="2">
        <v>168</v>
      </c>
      <c r="G379" s="2">
        <f t="shared" si="58"/>
        <v>32</v>
      </c>
      <c r="H379" s="2">
        <f t="shared" si="59"/>
        <v>32</v>
      </c>
      <c r="I379" s="2">
        <v>0</v>
      </c>
      <c r="J379" s="44" t="s">
        <v>48</v>
      </c>
      <c r="K379" s="2" t="s">
        <v>49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/>
      <c r="AM379" s="2" t="s">
        <v>103</v>
      </c>
      <c r="AN379" s="2">
        <f t="shared" si="51"/>
        <v>0</v>
      </c>
      <c r="AO379" s="2">
        <f t="shared" si="52"/>
        <v>0</v>
      </c>
      <c r="AP379" s="2">
        <f t="shared" si="53"/>
        <v>0</v>
      </c>
      <c r="AQ379" s="2">
        <f t="shared" si="54"/>
        <v>0</v>
      </c>
      <c r="AR379" s="2">
        <f t="shared" si="55"/>
        <v>0</v>
      </c>
      <c r="AS379" s="2">
        <f t="shared" si="56"/>
        <v>0</v>
      </c>
      <c r="AT379" s="25">
        <f t="shared" si="57"/>
        <v>0</v>
      </c>
    </row>
    <row r="380" spans="1:46">
      <c r="A380" s="24">
        <v>46123</v>
      </c>
      <c r="B380" s="23">
        <f t="shared" si="50"/>
        <v>46113</v>
      </c>
      <c r="C380" s="2" t="s">
        <v>114</v>
      </c>
      <c r="D380" s="2" t="s">
        <v>122</v>
      </c>
      <c r="E380" s="2">
        <v>3326</v>
      </c>
      <c r="F380" s="2">
        <v>117</v>
      </c>
      <c r="G380" s="2">
        <f t="shared" si="58"/>
        <v>20</v>
      </c>
      <c r="H380" s="2">
        <f t="shared" si="59"/>
        <v>20</v>
      </c>
      <c r="I380" s="2">
        <v>0</v>
      </c>
      <c r="J380" s="44" t="s">
        <v>48</v>
      </c>
      <c r="K380" s="2" t="s">
        <v>49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/>
      <c r="AM380" s="2" t="s">
        <v>103</v>
      </c>
      <c r="AN380" s="2">
        <f t="shared" si="51"/>
        <v>0</v>
      </c>
      <c r="AO380" s="2">
        <f t="shared" si="52"/>
        <v>0</v>
      </c>
      <c r="AP380" s="2">
        <f t="shared" si="53"/>
        <v>0</v>
      </c>
      <c r="AQ380" s="2">
        <f t="shared" si="54"/>
        <v>0</v>
      </c>
      <c r="AR380" s="2">
        <f t="shared" si="55"/>
        <v>0</v>
      </c>
      <c r="AS380" s="2">
        <f t="shared" si="56"/>
        <v>0</v>
      </c>
      <c r="AT380" s="25">
        <f t="shared" si="57"/>
        <v>0</v>
      </c>
    </row>
    <row r="381" spans="1:46">
      <c r="A381" s="24">
        <v>46123</v>
      </c>
      <c r="B381" s="23">
        <f t="shared" si="50"/>
        <v>46113</v>
      </c>
      <c r="C381" s="2" t="s">
        <v>114</v>
      </c>
      <c r="D381" s="2" t="s">
        <v>292</v>
      </c>
      <c r="E381" s="2">
        <v>6315</v>
      </c>
      <c r="F381" s="2">
        <v>57</v>
      </c>
      <c r="G381" s="2">
        <f t="shared" si="58"/>
        <v>20</v>
      </c>
      <c r="H381" s="2">
        <f t="shared" si="59"/>
        <v>20</v>
      </c>
      <c r="I381" s="2">
        <v>0</v>
      </c>
      <c r="J381" s="44" t="s">
        <v>48</v>
      </c>
      <c r="K381" s="2" t="s">
        <v>49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/>
      <c r="AM381" s="2" t="s">
        <v>103</v>
      </c>
      <c r="AN381" s="2">
        <f t="shared" si="51"/>
        <v>0</v>
      </c>
      <c r="AO381" s="2">
        <f t="shared" si="52"/>
        <v>0</v>
      </c>
      <c r="AP381" s="2">
        <f t="shared" si="53"/>
        <v>0</v>
      </c>
      <c r="AQ381" s="2">
        <f t="shared" si="54"/>
        <v>0</v>
      </c>
      <c r="AR381" s="2">
        <f t="shared" si="55"/>
        <v>0</v>
      </c>
      <c r="AS381" s="2">
        <f t="shared" si="56"/>
        <v>0</v>
      </c>
      <c r="AT381" s="25">
        <f t="shared" si="57"/>
        <v>0</v>
      </c>
    </row>
    <row r="382" spans="1:46">
      <c r="A382" s="24">
        <v>46123</v>
      </c>
      <c r="B382" s="23">
        <f t="shared" si="50"/>
        <v>46113</v>
      </c>
      <c r="C382" s="2" t="s">
        <v>72</v>
      </c>
      <c r="D382" s="2" t="s">
        <v>113</v>
      </c>
      <c r="E382" s="2">
        <v>2598</v>
      </c>
      <c r="F382" s="2">
        <v>1000</v>
      </c>
      <c r="G382" s="2">
        <f t="shared" si="58"/>
        <v>80</v>
      </c>
      <c r="H382" s="2">
        <f t="shared" si="59"/>
        <v>78</v>
      </c>
      <c r="I382" s="2">
        <v>2</v>
      </c>
      <c r="J382" s="44" t="s">
        <v>48</v>
      </c>
      <c r="K382" s="2" t="s">
        <v>49</v>
      </c>
      <c r="L382" s="2">
        <v>1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1</v>
      </c>
      <c r="AH382" s="2">
        <v>0</v>
      </c>
      <c r="AI382" s="2">
        <v>0</v>
      </c>
      <c r="AJ382" s="2">
        <v>0</v>
      </c>
      <c r="AK382" s="2">
        <v>0</v>
      </c>
      <c r="AL382" s="2"/>
      <c r="AM382" s="2" t="s">
        <v>103</v>
      </c>
      <c r="AN382" s="2">
        <f t="shared" si="51"/>
        <v>1</v>
      </c>
      <c r="AO382" s="2">
        <f t="shared" si="52"/>
        <v>0</v>
      </c>
      <c r="AP382" s="2">
        <f t="shared" si="53"/>
        <v>0</v>
      </c>
      <c r="AQ382" s="2">
        <f t="shared" si="54"/>
        <v>0</v>
      </c>
      <c r="AR382" s="2">
        <f t="shared" si="55"/>
        <v>0</v>
      </c>
      <c r="AS382" s="2">
        <f t="shared" si="56"/>
        <v>1</v>
      </c>
      <c r="AT382" s="25">
        <f t="shared" si="57"/>
        <v>0</v>
      </c>
    </row>
    <row r="383" spans="1:46">
      <c r="A383" s="24">
        <v>46123</v>
      </c>
      <c r="B383" s="23">
        <f t="shared" si="50"/>
        <v>46113</v>
      </c>
      <c r="C383" s="2" t="s">
        <v>66</v>
      </c>
      <c r="D383" s="2" t="s">
        <v>377</v>
      </c>
      <c r="E383" s="2">
        <v>1585</v>
      </c>
      <c r="F383" s="2">
        <v>65</v>
      </c>
      <c r="G383" s="2">
        <f t="shared" si="58"/>
        <v>20</v>
      </c>
      <c r="H383" s="2">
        <f t="shared" si="59"/>
        <v>20</v>
      </c>
      <c r="I383" s="2">
        <v>0</v>
      </c>
      <c r="J383" s="44" t="s">
        <v>48</v>
      </c>
      <c r="K383" s="2" t="s">
        <v>49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/>
      <c r="AM383" s="2" t="s">
        <v>110</v>
      </c>
      <c r="AN383" s="2">
        <f t="shared" si="51"/>
        <v>0</v>
      </c>
      <c r="AO383" s="2">
        <f t="shared" si="52"/>
        <v>0</v>
      </c>
      <c r="AP383" s="2">
        <f t="shared" si="53"/>
        <v>0</v>
      </c>
      <c r="AQ383" s="2">
        <f t="shared" si="54"/>
        <v>0</v>
      </c>
      <c r="AR383" s="2">
        <f t="shared" si="55"/>
        <v>0</v>
      </c>
      <c r="AS383" s="2">
        <f t="shared" si="56"/>
        <v>0</v>
      </c>
      <c r="AT383" s="25">
        <f t="shared" si="57"/>
        <v>0</v>
      </c>
    </row>
    <row r="384" spans="1:46">
      <c r="A384" s="24">
        <v>46123</v>
      </c>
      <c r="B384" s="23">
        <f t="shared" si="50"/>
        <v>46113</v>
      </c>
      <c r="C384" s="2" t="s">
        <v>66</v>
      </c>
      <c r="D384" s="2" t="s">
        <v>120</v>
      </c>
      <c r="E384" s="2">
        <v>3326</v>
      </c>
      <c r="F384" s="2">
        <v>52</v>
      </c>
      <c r="G384" s="2">
        <f t="shared" si="58"/>
        <v>20</v>
      </c>
      <c r="H384" s="2">
        <f t="shared" si="59"/>
        <v>20</v>
      </c>
      <c r="I384" s="2">
        <v>0</v>
      </c>
      <c r="J384" s="44" t="s">
        <v>48</v>
      </c>
      <c r="K384" s="2" t="s">
        <v>49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/>
      <c r="AM384" s="2" t="s">
        <v>110</v>
      </c>
      <c r="AN384" s="2">
        <f t="shared" si="51"/>
        <v>0</v>
      </c>
      <c r="AO384" s="2">
        <f t="shared" si="52"/>
        <v>0</v>
      </c>
      <c r="AP384" s="2">
        <f t="shared" si="53"/>
        <v>0</v>
      </c>
      <c r="AQ384" s="2">
        <f t="shared" si="54"/>
        <v>0</v>
      </c>
      <c r="AR384" s="2">
        <f t="shared" si="55"/>
        <v>0</v>
      </c>
      <c r="AS384" s="2">
        <f t="shared" si="56"/>
        <v>0</v>
      </c>
      <c r="AT384" s="25">
        <f t="shared" si="57"/>
        <v>0</v>
      </c>
    </row>
    <row r="385" spans="1:46">
      <c r="A385" s="24">
        <v>46123</v>
      </c>
      <c r="B385" s="23">
        <f t="shared" si="50"/>
        <v>46113</v>
      </c>
      <c r="C385" s="2" t="s">
        <v>66</v>
      </c>
      <c r="D385" s="2" t="s">
        <v>1512</v>
      </c>
      <c r="E385" s="2">
        <v>3326</v>
      </c>
      <c r="F385" s="2">
        <v>84</v>
      </c>
      <c r="G385" s="2">
        <f t="shared" si="58"/>
        <v>20</v>
      </c>
      <c r="H385" s="2">
        <f t="shared" si="59"/>
        <v>20</v>
      </c>
      <c r="I385" s="2">
        <v>0</v>
      </c>
      <c r="J385" s="44" t="s">
        <v>48</v>
      </c>
      <c r="K385" s="2" t="s">
        <v>49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/>
      <c r="AM385" s="2" t="s">
        <v>110</v>
      </c>
      <c r="AN385" s="2">
        <f t="shared" si="51"/>
        <v>0</v>
      </c>
      <c r="AO385" s="2">
        <f t="shared" si="52"/>
        <v>0</v>
      </c>
      <c r="AP385" s="2">
        <f t="shared" si="53"/>
        <v>0</v>
      </c>
      <c r="AQ385" s="2">
        <f t="shared" si="54"/>
        <v>0</v>
      </c>
      <c r="AR385" s="2">
        <f t="shared" si="55"/>
        <v>0</v>
      </c>
      <c r="AS385" s="2">
        <f t="shared" si="56"/>
        <v>0</v>
      </c>
      <c r="AT385" s="25">
        <f t="shared" si="57"/>
        <v>0</v>
      </c>
    </row>
    <row r="386" spans="1:46">
      <c r="A386" s="24">
        <v>46123</v>
      </c>
      <c r="B386" s="23">
        <f t="shared" ref="B386:B449" si="60">EOMONTH(A386,-1)+1</f>
        <v>46113</v>
      </c>
      <c r="C386" s="2" t="s">
        <v>97</v>
      </c>
      <c r="D386" s="2" t="s">
        <v>1309</v>
      </c>
      <c r="E386" s="2">
        <v>3327</v>
      </c>
      <c r="F386" s="2">
        <v>500</v>
      </c>
      <c r="G386" s="2">
        <f t="shared" si="58"/>
        <v>50</v>
      </c>
      <c r="H386" s="2">
        <f t="shared" si="59"/>
        <v>50</v>
      </c>
      <c r="I386" s="2">
        <v>0</v>
      </c>
      <c r="J386" s="44" t="s">
        <v>48</v>
      </c>
      <c r="K386" s="2" t="s">
        <v>49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/>
      <c r="AM386" s="2" t="s">
        <v>110</v>
      </c>
      <c r="AN386" s="2">
        <f t="shared" ref="AN386:AN449" si="61">+L386+AI386</f>
        <v>0</v>
      </c>
      <c r="AO386" s="2">
        <f t="shared" ref="AO386:AO449" si="62">+M386+N386+O386+P386+Q386+R386+S386+T386+U386+V386</f>
        <v>0</v>
      </c>
      <c r="AP386" s="2">
        <f t="shared" ref="AP386:AP449" si="63">+AE386+AF386</f>
        <v>0</v>
      </c>
      <c r="AQ386" s="2">
        <f t="shared" ref="AQ386:AQ449" si="64">+AK386+AD386+AC386+AJ386</f>
        <v>0</v>
      </c>
      <c r="AR386" s="2">
        <f t="shared" ref="AR386:AR449" si="65">+W386+X386+Y386+Z386+AA386+AB386</f>
        <v>0</v>
      </c>
      <c r="AS386" s="2">
        <f t="shared" ref="AS386:AS449" si="66">+AG386</f>
        <v>0</v>
      </c>
      <c r="AT386" s="25">
        <f t="shared" ref="AT386:AT449" si="67">+AH386</f>
        <v>0</v>
      </c>
    </row>
    <row r="387" spans="1:46">
      <c r="A387" s="24">
        <v>46123</v>
      </c>
      <c r="B387" s="23">
        <f t="shared" si="60"/>
        <v>46113</v>
      </c>
      <c r="C387" s="2" t="s">
        <v>97</v>
      </c>
      <c r="D387" s="2" t="s">
        <v>1386</v>
      </c>
      <c r="E387" s="2">
        <v>3327</v>
      </c>
      <c r="F387" s="2">
        <v>90</v>
      </c>
      <c r="G387" s="2">
        <f t="shared" ref="G387:G450" si="68">IF(F387&lt;1001,IF(F387&gt;500,80,IF(F387&gt;280,50,IF(F387&gt;150,32,IF(F387&lt;51,F387,20)))),125)</f>
        <v>20</v>
      </c>
      <c r="H387" s="2">
        <f t="shared" ref="H387:H450" si="69">G387-I387</f>
        <v>19</v>
      </c>
      <c r="I387" s="2">
        <v>1</v>
      </c>
      <c r="J387" s="44" t="s">
        <v>48</v>
      </c>
      <c r="K387" s="2" t="s">
        <v>49</v>
      </c>
      <c r="L387" s="2">
        <v>1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/>
      <c r="AM387" s="2" t="s">
        <v>110</v>
      </c>
      <c r="AN387" s="2">
        <f t="shared" si="61"/>
        <v>1</v>
      </c>
      <c r="AO387" s="2">
        <f t="shared" si="62"/>
        <v>0</v>
      </c>
      <c r="AP387" s="2">
        <f t="shared" si="63"/>
        <v>0</v>
      </c>
      <c r="AQ387" s="2">
        <f t="shared" si="64"/>
        <v>0</v>
      </c>
      <c r="AR387" s="2">
        <f t="shared" si="65"/>
        <v>0</v>
      </c>
      <c r="AS387" s="2">
        <f t="shared" si="66"/>
        <v>0</v>
      </c>
      <c r="AT387" s="25">
        <f t="shared" si="67"/>
        <v>0</v>
      </c>
    </row>
    <row r="388" spans="1:46">
      <c r="A388" s="24">
        <v>46123</v>
      </c>
      <c r="B388" s="23">
        <f t="shared" si="60"/>
        <v>46113</v>
      </c>
      <c r="C388" s="2" t="s">
        <v>66</v>
      </c>
      <c r="D388" s="2" t="s">
        <v>113</v>
      </c>
      <c r="E388" s="2">
        <v>2598</v>
      </c>
      <c r="F388" s="2">
        <v>658</v>
      </c>
      <c r="G388" s="2">
        <f t="shared" si="68"/>
        <v>80</v>
      </c>
      <c r="H388" s="2">
        <f t="shared" si="69"/>
        <v>80</v>
      </c>
      <c r="I388" s="2">
        <v>0</v>
      </c>
      <c r="J388" s="44" t="s">
        <v>48</v>
      </c>
      <c r="K388" s="2" t="s">
        <v>49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/>
      <c r="AM388" s="2" t="s">
        <v>110</v>
      </c>
      <c r="AN388" s="2">
        <f t="shared" si="61"/>
        <v>0</v>
      </c>
      <c r="AO388" s="2">
        <f t="shared" si="62"/>
        <v>0</v>
      </c>
      <c r="AP388" s="2">
        <f t="shared" si="63"/>
        <v>0</v>
      </c>
      <c r="AQ388" s="2">
        <f t="shared" si="64"/>
        <v>0</v>
      </c>
      <c r="AR388" s="2">
        <f t="shared" si="65"/>
        <v>0</v>
      </c>
      <c r="AS388" s="2">
        <f t="shared" si="66"/>
        <v>0</v>
      </c>
      <c r="AT388" s="25">
        <f t="shared" si="67"/>
        <v>0</v>
      </c>
    </row>
    <row r="389" spans="1:46">
      <c r="A389" s="24">
        <v>46123</v>
      </c>
      <c r="B389" s="23">
        <f t="shared" si="60"/>
        <v>46113</v>
      </c>
      <c r="C389" s="2" t="s">
        <v>66</v>
      </c>
      <c r="D389" s="2" t="s">
        <v>1572</v>
      </c>
      <c r="E389" s="2">
        <v>6328</v>
      </c>
      <c r="F389" s="2">
        <v>69</v>
      </c>
      <c r="G389" s="2">
        <f t="shared" si="68"/>
        <v>20</v>
      </c>
      <c r="H389" s="2">
        <f t="shared" si="69"/>
        <v>20</v>
      </c>
      <c r="I389" s="2">
        <v>0</v>
      </c>
      <c r="J389" s="44" t="s">
        <v>48</v>
      </c>
      <c r="K389" s="2" t="s">
        <v>49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/>
      <c r="AM389" s="2" t="s">
        <v>110</v>
      </c>
      <c r="AN389" s="2">
        <f t="shared" si="61"/>
        <v>0</v>
      </c>
      <c r="AO389" s="2">
        <f t="shared" si="62"/>
        <v>0</v>
      </c>
      <c r="AP389" s="2">
        <f t="shared" si="63"/>
        <v>0</v>
      </c>
      <c r="AQ389" s="2">
        <f t="shared" si="64"/>
        <v>0</v>
      </c>
      <c r="AR389" s="2">
        <f t="shared" si="65"/>
        <v>0</v>
      </c>
      <c r="AS389" s="2">
        <f t="shared" si="66"/>
        <v>0</v>
      </c>
      <c r="AT389" s="25">
        <f t="shared" si="67"/>
        <v>0</v>
      </c>
    </row>
    <row r="390" spans="1:46">
      <c r="A390" s="24">
        <v>46123</v>
      </c>
      <c r="B390" s="23">
        <f t="shared" si="60"/>
        <v>46113</v>
      </c>
      <c r="C390" s="2" t="s">
        <v>97</v>
      </c>
      <c r="D390" s="2" t="s">
        <v>1318</v>
      </c>
      <c r="E390" s="2">
        <v>3327</v>
      </c>
      <c r="F390" s="2">
        <v>280</v>
      </c>
      <c r="G390" s="2">
        <f t="shared" si="68"/>
        <v>32</v>
      </c>
      <c r="H390" s="2">
        <f t="shared" si="69"/>
        <v>32</v>
      </c>
      <c r="I390" s="2">
        <v>0</v>
      </c>
      <c r="J390" s="44" t="s">
        <v>48</v>
      </c>
      <c r="K390" s="2" t="s">
        <v>49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/>
      <c r="AM390" s="2" t="s">
        <v>110</v>
      </c>
      <c r="AN390" s="2">
        <f t="shared" si="61"/>
        <v>0</v>
      </c>
      <c r="AO390" s="2">
        <f t="shared" si="62"/>
        <v>0</v>
      </c>
      <c r="AP390" s="2">
        <f t="shared" si="63"/>
        <v>0</v>
      </c>
      <c r="AQ390" s="2">
        <f t="shared" si="64"/>
        <v>0</v>
      </c>
      <c r="AR390" s="2">
        <f t="shared" si="65"/>
        <v>0</v>
      </c>
      <c r="AS390" s="2">
        <f t="shared" si="66"/>
        <v>0</v>
      </c>
      <c r="AT390" s="25">
        <f t="shared" si="67"/>
        <v>0</v>
      </c>
    </row>
    <row r="391" spans="1:46">
      <c r="A391" s="24">
        <v>46123</v>
      </c>
      <c r="B391" s="23">
        <f t="shared" si="60"/>
        <v>46113</v>
      </c>
      <c r="C391" s="2" t="s">
        <v>1484</v>
      </c>
      <c r="D391" s="3" t="s">
        <v>79</v>
      </c>
      <c r="E391" s="2">
        <v>6265</v>
      </c>
      <c r="F391" s="2">
        <v>152</v>
      </c>
      <c r="G391" s="2">
        <f t="shared" si="68"/>
        <v>32</v>
      </c>
      <c r="H391" s="2">
        <f t="shared" si="69"/>
        <v>32</v>
      </c>
      <c r="I391" s="2">
        <v>0</v>
      </c>
      <c r="J391" s="44" t="s">
        <v>48</v>
      </c>
      <c r="K391" s="2" t="s">
        <v>49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/>
      <c r="AM391" s="2" t="s">
        <v>1566</v>
      </c>
      <c r="AN391" s="2">
        <f t="shared" si="61"/>
        <v>0</v>
      </c>
      <c r="AO391" s="2">
        <f t="shared" si="62"/>
        <v>0</v>
      </c>
      <c r="AP391" s="2">
        <f t="shared" si="63"/>
        <v>0</v>
      </c>
      <c r="AQ391" s="2">
        <f t="shared" si="64"/>
        <v>0</v>
      </c>
      <c r="AR391" s="2">
        <f t="shared" si="65"/>
        <v>0</v>
      </c>
      <c r="AS391" s="2">
        <f t="shared" si="66"/>
        <v>0</v>
      </c>
      <c r="AT391" s="25">
        <f t="shared" si="67"/>
        <v>0</v>
      </c>
    </row>
    <row r="392" spans="1:46">
      <c r="A392" s="24">
        <v>46123</v>
      </c>
      <c r="B392" s="23">
        <f t="shared" si="60"/>
        <v>46113</v>
      </c>
      <c r="C392" s="2" t="s">
        <v>55</v>
      </c>
      <c r="D392" s="2" t="s">
        <v>60</v>
      </c>
      <c r="E392" s="2">
        <v>2593</v>
      </c>
      <c r="F392" s="2">
        <v>718</v>
      </c>
      <c r="G392" s="2">
        <f t="shared" si="68"/>
        <v>80</v>
      </c>
      <c r="H392" s="2">
        <f t="shared" si="69"/>
        <v>78</v>
      </c>
      <c r="I392" s="2">
        <v>2</v>
      </c>
      <c r="J392" s="44" t="s">
        <v>48</v>
      </c>
      <c r="K392" s="2" t="s">
        <v>49</v>
      </c>
      <c r="L392" s="2">
        <v>1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1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/>
      <c r="AM392" s="2" t="s">
        <v>1566</v>
      </c>
      <c r="AN392" s="2">
        <f t="shared" si="61"/>
        <v>1</v>
      </c>
      <c r="AO392" s="2">
        <f t="shared" si="62"/>
        <v>1</v>
      </c>
      <c r="AP392" s="2">
        <f t="shared" si="63"/>
        <v>0</v>
      </c>
      <c r="AQ392" s="2">
        <f t="shared" si="64"/>
        <v>0</v>
      </c>
      <c r="AR392" s="2">
        <f t="shared" si="65"/>
        <v>0</v>
      </c>
      <c r="AS392" s="2">
        <f t="shared" si="66"/>
        <v>0</v>
      </c>
      <c r="AT392" s="25">
        <f t="shared" si="67"/>
        <v>0</v>
      </c>
    </row>
    <row r="393" spans="1:46">
      <c r="A393" s="24">
        <v>46123</v>
      </c>
      <c r="B393" s="23">
        <f t="shared" si="60"/>
        <v>46113</v>
      </c>
      <c r="C393" s="2" t="s">
        <v>55</v>
      </c>
      <c r="D393" s="2" t="s">
        <v>57</v>
      </c>
      <c r="E393" s="2">
        <v>2760</v>
      </c>
      <c r="F393" s="2">
        <v>103</v>
      </c>
      <c r="G393" s="2">
        <f t="shared" si="68"/>
        <v>20</v>
      </c>
      <c r="H393" s="2">
        <f t="shared" si="69"/>
        <v>20</v>
      </c>
      <c r="I393" s="2">
        <v>0</v>
      </c>
      <c r="J393" s="44" t="s">
        <v>48</v>
      </c>
      <c r="K393" s="2" t="s">
        <v>49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/>
      <c r="AM393" s="2" t="s">
        <v>1566</v>
      </c>
      <c r="AN393" s="2">
        <f t="shared" si="61"/>
        <v>0</v>
      </c>
      <c r="AO393" s="2">
        <f t="shared" si="62"/>
        <v>0</v>
      </c>
      <c r="AP393" s="2">
        <f t="shared" si="63"/>
        <v>0</v>
      </c>
      <c r="AQ393" s="2">
        <f t="shared" si="64"/>
        <v>0</v>
      </c>
      <c r="AR393" s="2">
        <f t="shared" si="65"/>
        <v>0</v>
      </c>
      <c r="AS393" s="2">
        <f t="shared" si="66"/>
        <v>0</v>
      </c>
      <c r="AT393" s="25">
        <f t="shared" si="67"/>
        <v>0</v>
      </c>
    </row>
    <row r="394" spans="1:46">
      <c r="A394" s="24">
        <v>46123</v>
      </c>
      <c r="B394" s="23">
        <f t="shared" si="60"/>
        <v>46113</v>
      </c>
      <c r="C394" s="2" t="s">
        <v>55</v>
      </c>
      <c r="D394" s="2" t="s">
        <v>154</v>
      </c>
      <c r="E394" s="2">
        <v>1729</v>
      </c>
      <c r="F394" s="2">
        <v>141</v>
      </c>
      <c r="G394" s="2">
        <f t="shared" si="68"/>
        <v>20</v>
      </c>
      <c r="H394" s="2">
        <f t="shared" si="69"/>
        <v>17</v>
      </c>
      <c r="I394" s="2">
        <v>3</v>
      </c>
      <c r="J394" s="44" t="s">
        <v>67</v>
      </c>
      <c r="K394" s="2" t="s">
        <v>49</v>
      </c>
      <c r="L394" s="2">
        <v>3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/>
      <c r="AM394" s="2" t="s">
        <v>1566</v>
      </c>
      <c r="AN394" s="2">
        <f t="shared" si="61"/>
        <v>3</v>
      </c>
      <c r="AO394" s="2">
        <f t="shared" si="62"/>
        <v>0</v>
      </c>
      <c r="AP394" s="2">
        <f t="shared" si="63"/>
        <v>0</v>
      </c>
      <c r="AQ394" s="2">
        <f t="shared" si="64"/>
        <v>0</v>
      </c>
      <c r="AR394" s="2">
        <f t="shared" si="65"/>
        <v>0</v>
      </c>
      <c r="AS394" s="2">
        <f t="shared" si="66"/>
        <v>0</v>
      </c>
      <c r="AT394" s="25">
        <f t="shared" si="67"/>
        <v>0</v>
      </c>
    </row>
    <row r="395" spans="1:46">
      <c r="A395" s="24">
        <v>46123</v>
      </c>
      <c r="B395" s="23">
        <f t="shared" si="60"/>
        <v>46113</v>
      </c>
      <c r="C395" s="2" t="s">
        <v>133</v>
      </c>
      <c r="D395" s="2" t="s">
        <v>268</v>
      </c>
      <c r="E395" s="2">
        <v>7148</v>
      </c>
      <c r="F395" s="2">
        <v>65</v>
      </c>
      <c r="G395" s="2">
        <f t="shared" si="68"/>
        <v>20</v>
      </c>
      <c r="H395" s="2">
        <f t="shared" si="69"/>
        <v>20</v>
      </c>
      <c r="I395" s="2">
        <v>0</v>
      </c>
      <c r="J395" s="44" t="s">
        <v>48</v>
      </c>
      <c r="K395" s="2" t="s">
        <v>49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/>
      <c r="AM395" s="2" t="s">
        <v>1566</v>
      </c>
      <c r="AN395" s="2">
        <f t="shared" si="61"/>
        <v>0</v>
      </c>
      <c r="AO395" s="2">
        <f t="shared" si="62"/>
        <v>0</v>
      </c>
      <c r="AP395" s="2">
        <f t="shared" si="63"/>
        <v>0</v>
      </c>
      <c r="AQ395" s="2">
        <f t="shared" si="64"/>
        <v>0</v>
      </c>
      <c r="AR395" s="2">
        <f t="shared" si="65"/>
        <v>0</v>
      </c>
      <c r="AS395" s="2">
        <f t="shared" si="66"/>
        <v>0</v>
      </c>
      <c r="AT395" s="25">
        <f t="shared" si="67"/>
        <v>0</v>
      </c>
    </row>
    <row r="396" spans="1:46">
      <c r="A396" s="24">
        <v>46123</v>
      </c>
      <c r="B396" s="23">
        <f t="shared" si="60"/>
        <v>46113</v>
      </c>
      <c r="C396" s="2" t="s">
        <v>55</v>
      </c>
      <c r="D396" s="2" t="s">
        <v>326</v>
      </c>
      <c r="E396" s="2">
        <v>3322</v>
      </c>
      <c r="F396" s="2">
        <v>235</v>
      </c>
      <c r="G396" s="2">
        <f t="shared" si="68"/>
        <v>32</v>
      </c>
      <c r="H396" s="2">
        <f t="shared" si="69"/>
        <v>32</v>
      </c>
      <c r="I396" s="2">
        <v>0</v>
      </c>
      <c r="J396" s="44" t="s">
        <v>48</v>
      </c>
      <c r="K396" s="2" t="s">
        <v>49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/>
      <c r="AM396" s="2" t="s">
        <v>1566</v>
      </c>
      <c r="AN396" s="2">
        <f t="shared" si="61"/>
        <v>0</v>
      </c>
      <c r="AO396" s="2">
        <f t="shared" si="62"/>
        <v>0</v>
      </c>
      <c r="AP396" s="2">
        <f t="shared" si="63"/>
        <v>0</v>
      </c>
      <c r="AQ396" s="2">
        <f t="shared" si="64"/>
        <v>0</v>
      </c>
      <c r="AR396" s="2">
        <f t="shared" si="65"/>
        <v>0</v>
      </c>
      <c r="AS396" s="2">
        <f t="shared" si="66"/>
        <v>0</v>
      </c>
      <c r="AT396" s="25">
        <f t="shared" si="67"/>
        <v>0</v>
      </c>
    </row>
    <row r="397" spans="1:46">
      <c r="A397" s="24">
        <v>46123</v>
      </c>
      <c r="B397" s="23">
        <f t="shared" si="60"/>
        <v>46113</v>
      </c>
      <c r="C397" s="2" t="s">
        <v>55</v>
      </c>
      <c r="D397" s="2" t="s">
        <v>154</v>
      </c>
      <c r="E397" s="2">
        <v>1729</v>
      </c>
      <c r="F397" s="2">
        <v>182</v>
      </c>
      <c r="G397" s="2">
        <f t="shared" si="68"/>
        <v>32</v>
      </c>
      <c r="H397" s="2">
        <f t="shared" si="69"/>
        <v>32</v>
      </c>
      <c r="I397" s="2">
        <v>0</v>
      </c>
      <c r="J397" s="44" t="s">
        <v>48</v>
      </c>
      <c r="K397" s="2" t="s">
        <v>49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/>
      <c r="AM397" s="2" t="s">
        <v>1566</v>
      </c>
      <c r="AN397" s="2">
        <f t="shared" si="61"/>
        <v>0</v>
      </c>
      <c r="AO397" s="2">
        <f t="shared" si="62"/>
        <v>0</v>
      </c>
      <c r="AP397" s="2">
        <f t="shared" si="63"/>
        <v>0</v>
      </c>
      <c r="AQ397" s="2">
        <f t="shared" si="64"/>
        <v>0</v>
      </c>
      <c r="AR397" s="2">
        <f t="shared" si="65"/>
        <v>0</v>
      </c>
      <c r="AS397" s="2">
        <f t="shared" si="66"/>
        <v>0</v>
      </c>
      <c r="AT397" s="25">
        <f t="shared" si="67"/>
        <v>0</v>
      </c>
    </row>
    <row r="398" spans="1:46">
      <c r="A398" s="24">
        <v>46123</v>
      </c>
      <c r="B398" s="23">
        <f t="shared" si="60"/>
        <v>46113</v>
      </c>
      <c r="C398" s="2" t="s">
        <v>55</v>
      </c>
      <c r="D398" s="2" t="s">
        <v>169</v>
      </c>
      <c r="E398" s="2">
        <v>2593</v>
      </c>
      <c r="F398" s="2">
        <v>59</v>
      </c>
      <c r="G398" s="2">
        <f t="shared" si="68"/>
        <v>20</v>
      </c>
      <c r="H398" s="2">
        <f t="shared" si="69"/>
        <v>20</v>
      </c>
      <c r="I398" s="2">
        <v>0</v>
      </c>
      <c r="J398" s="44" t="s">
        <v>48</v>
      </c>
      <c r="K398" s="2" t="s">
        <v>49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/>
      <c r="AM398" s="2" t="s">
        <v>1566</v>
      </c>
      <c r="AN398" s="2">
        <f t="shared" si="61"/>
        <v>0</v>
      </c>
      <c r="AO398" s="2">
        <f t="shared" si="62"/>
        <v>0</v>
      </c>
      <c r="AP398" s="2">
        <f t="shared" si="63"/>
        <v>0</v>
      </c>
      <c r="AQ398" s="2">
        <f t="shared" si="64"/>
        <v>0</v>
      </c>
      <c r="AR398" s="2">
        <f t="shared" si="65"/>
        <v>0</v>
      </c>
      <c r="AS398" s="2">
        <f t="shared" si="66"/>
        <v>0</v>
      </c>
      <c r="AT398" s="25">
        <f t="shared" si="67"/>
        <v>0</v>
      </c>
    </row>
    <row r="399" spans="1:46">
      <c r="A399" s="24">
        <v>46123</v>
      </c>
      <c r="B399" s="23">
        <f t="shared" si="60"/>
        <v>46113</v>
      </c>
      <c r="C399" s="2" t="s">
        <v>55</v>
      </c>
      <c r="D399" s="2" t="s">
        <v>1396</v>
      </c>
      <c r="E399" s="2">
        <v>8193</v>
      </c>
      <c r="F399" s="2">
        <v>121</v>
      </c>
      <c r="G399" s="2">
        <f t="shared" si="68"/>
        <v>20</v>
      </c>
      <c r="H399" s="2">
        <f t="shared" si="69"/>
        <v>20</v>
      </c>
      <c r="I399" s="2">
        <v>0</v>
      </c>
      <c r="J399" s="44" t="s">
        <v>48</v>
      </c>
      <c r="K399" s="2" t="s">
        <v>49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/>
      <c r="AM399" s="2" t="s">
        <v>1566</v>
      </c>
      <c r="AN399" s="2">
        <f t="shared" si="61"/>
        <v>0</v>
      </c>
      <c r="AO399" s="2">
        <f t="shared" si="62"/>
        <v>0</v>
      </c>
      <c r="AP399" s="2">
        <f t="shared" si="63"/>
        <v>0</v>
      </c>
      <c r="AQ399" s="2">
        <f t="shared" si="64"/>
        <v>0</v>
      </c>
      <c r="AR399" s="2">
        <f t="shared" si="65"/>
        <v>0</v>
      </c>
      <c r="AS399" s="2">
        <f t="shared" si="66"/>
        <v>0</v>
      </c>
      <c r="AT399" s="25">
        <f t="shared" si="67"/>
        <v>0</v>
      </c>
    </row>
    <row r="400" spans="1:46">
      <c r="A400" s="24">
        <v>46123</v>
      </c>
      <c r="B400" s="23">
        <f t="shared" si="60"/>
        <v>46113</v>
      </c>
      <c r="C400" s="2" t="s">
        <v>62</v>
      </c>
      <c r="D400" s="2" t="s">
        <v>151</v>
      </c>
      <c r="E400" s="2">
        <v>3290</v>
      </c>
      <c r="F400" s="2">
        <v>275</v>
      </c>
      <c r="G400" s="2">
        <f t="shared" si="68"/>
        <v>32</v>
      </c>
      <c r="H400" s="2">
        <f t="shared" si="69"/>
        <v>32</v>
      </c>
      <c r="I400" s="2">
        <v>0</v>
      </c>
      <c r="J400" s="44" t="s">
        <v>48</v>
      </c>
      <c r="K400" s="2" t="s">
        <v>49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/>
      <c r="AM400" s="2" t="s">
        <v>1568</v>
      </c>
      <c r="AN400" s="2">
        <f t="shared" si="61"/>
        <v>0</v>
      </c>
      <c r="AO400" s="2">
        <f t="shared" si="62"/>
        <v>0</v>
      </c>
      <c r="AP400" s="2">
        <f t="shared" si="63"/>
        <v>0</v>
      </c>
      <c r="AQ400" s="2">
        <f t="shared" si="64"/>
        <v>0</v>
      </c>
      <c r="AR400" s="2">
        <f t="shared" si="65"/>
        <v>0</v>
      </c>
      <c r="AS400" s="2">
        <f t="shared" si="66"/>
        <v>0</v>
      </c>
      <c r="AT400" s="25">
        <f t="shared" si="67"/>
        <v>0</v>
      </c>
    </row>
    <row r="401" spans="1:46">
      <c r="A401" s="24">
        <v>46123</v>
      </c>
      <c r="B401" s="23">
        <f t="shared" si="60"/>
        <v>46113</v>
      </c>
      <c r="C401" s="2" t="s">
        <v>62</v>
      </c>
      <c r="D401" s="2" t="s">
        <v>253</v>
      </c>
      <c r="E401" s="2">
        <v>3305</v>
      </c>
      <c r="F401" s="2">
        <v>237</v>
      </c>
      <c r="G401" s="2">
        <f t="shared" si="68"/>
        <v>32</v>
      </c>
      <c r="H401" s="2">
        <f t="shared" si="69"/>
        <v>32</v>
      </c>
      <c r="I401" s="2">
        <v>0</v>
      </c>
      <c r="J401" s="44" t="s">
        <v>48</v>
      </c>
      <c r="K401" s="2" t="s">
        <v>49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/>
      <c r="AM401" s="2" t="s">
        <v>1568</v>
      </c>
      <c r="AN401" s="2">
        <f t="shared" si="61"/>
        <v>0</v>
      </c>
      <c r="AO401" s="2">
        <f t="shared" si="62"/>
        <v>0</v>
      </c>
      <c r="AP401" s="2">
        <f t="shared" si="63"/>
        <v>0</v>
      </c>
      <c r="AQ401" s="2">
        <f t="shared" si="64"/>
        <v>0</v>
      </c>
      <c r="AR401" s="2">
        <f t="shared" si="65"/>
        <v>0</v>
      </c>
      <c r="AS401" s="2">
        <f t="shared" si="66"/>
        <v>0</v>
      </c>
      <c r="AT401" s="25">
        <f t="shared" si="67"/>
        <v>0</v>
      </c>
    </row>
    <row r="402" spans="1:46">
      <c r="A402" s="24">
        <v>46123</v>
      </c>
      <c r="B402" s="23">
        <f t="shared" si="60"/>
        <v>46113</v>
      </c>
      <c r="C402" s="2" t="s">
        <v>63</v>
      </c>
      <c r="D402" s="2" t="s">
        <v>202</v>
      </c>
      <c r="E402" s="2">
        <v>6247</v>
      </c>
      <c r="F402" s="2">
        <v>523</v>
      </c>
      <c r="G402" s="2">
        <f t="shared" si="68"/>
        <v>80</v>
      </c>
      <c r="H402" s="2">
        <f t="shared" si="69"/>
        <v>79</v>
      </c>
      <c r="I402" s="2">
        <v>1</v>
      </c>
      <c r="J402" s="44" t="s">
        <v>48</v>
      </c>
      <c r="K402" s="2" t="s">
        <v>49</v>
      </c>
      <c r="L402" s="2">
        <v>1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/>
      <c r="AM402" s="2" t="s">
        <v>1568</v>
      </c>
      <c r="AN402" s="2">
        <f t="shared" si="61"/>
        <v>1</v>
      </c>
      <c r="AO402" s="2">
        <f t="shared" si="62"/>
        <v>0</v>
      </c>
      <c r="AP402" s="2">
        <f t="shared" si="63"/>
        <v>0</v>
      </c>
      <c r="AQ402" s="2">
        <f t="shared" si="64"/>
        <v>0</v>
      </c>
      <c r="AR402" s="2">
        <f t="shared" si="65"/>
        <v>0</v>
      </c>
      <c r="AS402" s="2">
        <f t="shared" si="66"/>
        <v>0</v>
      </c>
      <c r="AT402" s="25">
        <f t="shared" si="67"/>
        <v>0</v>
      </c>
    </row>
    <row r="403" spans="1:46">
      <c r="A403" s="24">
        <v>46123</v>
      </c>
      <c r="B403" s="23">
        <f t="shared" si="60"/>
        <v>46113</v>
      </c>
      <c r="C403" s="2" t="s">
        <v>62</v>
      </c>
      <c r="D403" s="2" t="s">
        <v>130</v>
      </c>
      <c r="E403" s="2">
        <v>2656</v>
      </c>
      <c r="F403" s="2">
        <v>700</v>
      </c>
      <c r="G403" s="2">
        <f t="shared" si="68"/>
        <v>80</v>
      </c>
      <c r="H403" s="2">
        <f t="shared" si="69"/>
        <v>80</v>
      </c>
      <c r="I403" s="2">
        <v>0</v>
      </c>
      <c r="J403" s="44" t="s">
        <v>48</v>
      </c>
      <c r="K403" s="2" t="s">
        <v>49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/>
      <c r="AM403" s="2" t="s">
        <v>1568</v>
      </c>
      <c r="AN403" s="2">
        <f t="shared" si="61"/>
        <v>0</v>
      </c>
      <c r="AO403" s="2">
        <f t="shared" si="62"/>
        <v>0</v>
      </c>
      <c r="AP403" s="2">
        <f t="shared" si="63"/>
        <v>0</v>
      </c>
      <c r="AQ403" s="2">
        <f t="shared" si="64"/>
        <v>0</v>
      </c>
      <c r="AR403" s="2">
        <f t="shared" si="65"/>
        <v>0</v>
      </c>
      <c r="AS403" s="2">
        <f t="shared" si="66"/>
        <v>0</v>
      </c>
      <c r="AT403" s="25">
        <f t="shared" si="67"/>
        <v>0</v>
      </c>
    </row>
    <row r="404" spans="1:46">
      <c r="A404" s="24">
        <v>46123</v>
      </c>
      <c r="B404" s="23">
        <f t="shared" si="60"/>
        <v>46113</v>
      </c>
      <c r="C404" s="2" t="s">
        <v>82</v>
      </c>
      <c r="D404" s="2" t="s">
        <v>118</v>
      </c>
      <c r="E404" s="2">
        <v>1650</v>
      </c>
      <c r="F404" s="2">
        <v>58</v>
      </c>
      <c r="G404" s="2">
        <f t="shared" si="68"/>
        <v>20</v>
      </c>
      <c r="H404" s="2">
        <f t="shared" si="69"/>
        <v>20</v>
      </c>
      <c r="I404" s="2">
        <v>0</v>
      </c>
      <c r="J404" s="44" t="s">
        <v>48</v>
      </c>
      <c r="K404" s="2" t="s">
        <v>49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/>
      <c r="AM404" s="2" t="s">
        <v>93</v>
      </c>
      <c r="AN404" s="2">
        <f t="shared" si="61"/>
        <v>0</v>
      </c>
      <c r="AO404" s="2">
        <f t="shared" si="62"/>
        <v>0</v>
      </c>
      <c r="AP404" s="2">
        <f t="shared" si="63"/>
        <v>0</v>
      </c>
      <c r="AQ404" s="2">
        <f t="shared" si="64"/>
        <v>0</v>
      </c>
      <c r="AR404" s="2">
        <f t="shared" si="65"/>
        <v>0</v>
      </c>
      <c r="AS404" s="2">
        <f t="shared" si="66"/>
        <v>0</v>
      </c>
      <c r="AT404" s="25">
        <f t="shared" si="67"/>
        <v>0</v>
      </c>
    </row>
    <row r="405" spans="1:46">
      <c r="A405" s="24">
        <v>46123</v>
      </c>
      <c r="B405" s="23">
        <f t="shared" si="60"/>
        <v>46113</v>
      </c>
      <c r="C405" s="2" t="s">
        <v>82</v>
      </c>
      <c r="D405" s="2" t="s">
        <v>305</v>
      </c>
      <c r="E405" s="2">
        <v>8141</v>
      </c>
      <c r="F405" s="2">
        <v>99</v>
      </c>
      <c r="G405" s="2">
        <f t="shared" si="68"/>
        <v>20</v>
      </c>
      <c r="H405" s="2">
        <f t="shared" si="69"/>
        <v>20</v>
      </c>
      <c r="I405" s="2">
        <v>0</v>
      </c>
      <c r="J405" s="44" t="s">
        <v>48</v>
      </c>
      <c r="K405" s="2" t="s">
        <v>49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/>
      <c r="AM405" s="2" t="s">
        <v>93</v>
      </c>
      <c r="AN405" s="2">
        <f t="shared" si="61"/>
        <v>0</v>
      </c>
      <c r="AO405" s="2">
        <f t="shared" si="62"/>
        <v>0</v>
      </c>
      <c r="AP405" s="2">
        <f t="shared" si="63"/>
        <v>0</v>
      </c>
      <c r="AQ405" s="2">
        <f t="shared" si="64"/>
        <v>0</v>
      </c>
      <c r="AR405" s="2">
        <f t="shared" si="65"/>
        <v>0</v>
      </c>
      <c r="AS405" s="2">
        <f t="shared" si="66"/>
        <v>0</v>
      </c>
      <c r="AT405" s="25">
        <f t="shared" si="67"/>
        <v>0</v>
      </c>
    </row>
    <row r="406" spans="1:46">
      <c r="A406" s="24">
        <v>46123</v>
      </c>
      <c r="B406" s="23">
        <f t="shared" si="60"/>
        <v>46113</v>
      </c>
      <c r="C406" s="2" t="s">
        <v>160</v>
      </c>
      <c r="D406" s="2" t="s">
        <v>239</v>
      </c>
      <c r="E406" s="2">
        <v>3089</v>
      </c>
      <c r="F406" s="2">
        <v>500</v>
      </c>
      <c r="G406" s="2">
        <f t="shared" si="68"/>
        <v>50</v>
      </c>
      <c r="H406" s="2">
        <f t="shared" si="69"/>
        <v>48</v>
      </c>
      <c r="I406" s="2">
        <v>2</v>
      </c>
      <c r="J406" s="44" t="s">
        <v>48</v>
      </c>
      <c r="K406" s="2" t="s">
        <v>49</v>
      </c>
      <c r="L406" s="2">
        <v>2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/>
      <c r="AM406" s="2" t="s">
        <v>93</v>
      </c>
      <c r="AN406" s="2">
        <f t="shared" si="61"/>
        <v>2</v>
      </c>
      <c r="AO406" s="2">
        <f t="shared" si="62"/>
        <v>0</v>
      </c>
      <c r="AP406" s="2">
        <f t="shared" si="63"/>
        <v>0</v>
      </c>
      <c r="AQ406" s="2">
        <f t="shared" si="64"/>
        <v>0</v>
      </c>
      <c r="AR406" s="2">
        <f t="shared" si="65"/>
        <v>0</v>
      </c>
      <c r="AS406" s="2">
        <f t="shared" si="66"/>
        <v>0</v>
      </c>
      <c r="AT406" s="25">
        <f t="shared" si="67"/>
        <v>0</v>
      </c>
    </row>
    <row r="407" spans="1:46">
      <c r="A407" s="24">
        <v>46123</v>
      </c>
      <c r="B407" s="23">
        <f t="shared" si="60"/>
        <v>46113</v>
      </c>
      <c r="C407" s="2" t="s">
        <v>82</v>
      </c>
      <c r="D407" s="2" t="s">
        <v>260</v>
      </c>
      <c r="E407" s="2">
        <v>3295</v>
      </c>
      <c r="F407" s="2">
        <v>466</v>
      </c>
      <c r="G407" s="2">
        <f t="shared" si="68"/>
        <v>50</v>
      </c>
      <c r="H407" s="2">
        <f t="shared" si="69"/>
        <v>50</v>
      </c>
      <c r="I407" s="2">
        <v>0</v>
      </c>
      <c r="J407" s="44" t="s">
        <v>48</v>
      </c>
      <c r="K407" s="2" t="s">
        <v>49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/>
      <c r="AM407" s="2" t="s">
        <v>93</v>
      </c>
      <c r="AN407" s="2">
        <f t="shared" si="61"/>
        <v>0</v>
      </c>
      <c r="AO407" s="2">
        <f t="shared" si="62"/>
        <v>0</v>
      </c>
      <c r="AP407" s="2">
        <f t="shared" si="63"/>
        <v>0</v>
      </c>
      <c r="AQ407" s="2">
        <f t="shared" si="64"/>
        <v>0</v>
      </c>
      <c r="AR407" s="2">
        <f t="shared" si="65"/>
        <v>0</v>
      </c>
      <c r="AS407" s="2">
        <f t="shared" si="66"/>
        <v>0</v>
      </c>
      <c r="AT407" s="25">
        <f t="shared" si="67"/>
        <v>0</v>
      </c>
    </row>
    <row r="408" spans="1:46">
      <c r="A408" s="24">
        <v>46125</v>
      </c>
      <c r="B408" s="23">
        <f t="shared" si="60"/>
        <v>46113</v>
      </c>
      <c r="C408" s="2" t="s">
        <v>72</v>
      </c>
      <c r="D408" s="2" t="s">
        <v>90</v>
      </c>
      <c r="E408" s="2">
        <v>8141</v>
      </c>
      <c r="F408" s="2">
        <v>65</v>
      </c>
      <c r="G408" s="2">
        <f t="shared" si="68"/>
        <v>20</v>
      </c>
      <c r="H408" s="2">
        <f t="shared" si="69"/>
        <v>20</v>
      </c>
      <c r="I408" s="2">
        <v>0</v>
      </c>
      <c r="J408" s="44" t="s">
        <v>48</v>
      </c>
      <c r="K408" s="2" t="s">
        <v>49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/>
      <c r="AM408" s="2" t="s">
        <v>77</v>
      </c>
      <c r="AN408" s="2">
        <f t="shared" si="61"/>
        <v>0</v>
      </c>
      <c r="AO408" s="2">
        <f t="shared" si="62"/>
        <v>0</v>
      </c>
      <c r="AP408" s="2">
        <f t="shared" si="63"/>
        <v>0</v>
      </c>
      <c r="AQ408" s="2">
        <f t="shared" si="64"/>
        <v>0</v>
      </c>
      <c r="AR408" s="2">
        <f t="shared" si="65"/>
        <v>0</v>
      </c>
      <c r="AS408" s="2">
        <f t="shared" si="66"/>
        <v>0</v>
      </c>
      <c r="AT408" s="25">
        <f t="shared" si="67"/>
        <v>0</v>
      </c>
    </row>
    <row r="409" spans="1:46">
      <c r="A409" s="24">
        <v>46125</v>
      </c>
      <c r="B409" s="23">
        <f t="shared" si="60"/>
        <v>46113</v>
      </c>
      <c r="C409" s="2" t="s">
        <v>62</v>
      </c>
      <c r="D409" s="2" t="s">
        <v>411</v>
      </c>
      <c r="E409" s="2">
        <v>6284</v>
      </c>
      <c r="F409" s="2">
        <v>55</v>
      </c>
      <c r="G409" s="2">
        <f t="shared" si="68"/>
        <v>20</v>
      </c>
      <c r="H409" s="2">
        <f t="shared" si="69"/>
        <v>20</v>
      </c>
      <c r="I409" s="2">
        <v>0</v>
      </c>
      <c r="J409" s="44" t="s">
        <v>48</v>
      </c>
      <c r="K409" s="2" t="s">
        <v>49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/>
      <c r="AM409" s="2" t="s">
        <v>1568</v>
      </c>
      <c r="AN409" s="2">
        <f t="shared" si="61"/>
        <v>0</v>
      </c>
      <c r="AO409" s="2">
        <f t="shared" si="62"/>
        <v>0</v>
      </c>
      <c r="AP409" s="2">
        <f t="shared" si="63"/>
        <v>0</v>
      </c>
      <c r="AQ409" s="2">
        <f t="shared" si="64"/>
        <v>0</v>
      </c>
      <c r="AR409" s="2">
        <f t="shared" si="65"/>
        <v>0</v>
      </c>
      <c r="AS409" s="2">
        <f t="shared" si="66"/>
        <v>0</v>
      </c>
      <c r="AT409" s="25">
        <f t="shared" si="67"/>
        <v>0</v>
      </c>
    </row>
    <row r="410" spans="1:46">
      <c r="A410" s="24">
        <v>46125</v>
      </c>
      <c r="B410" s="23">
        <f t="shared" si="60"/>
        <v>46113</v>
      </c>
      <c r="C410" s="2" t="s">
        <v>62</v>
      </c>
      <c r="D410" s="2" t="s">
        <v>278</v>
      </c>
      <c r="E410" s="2">
        <v>6282</v>
      </c>
      <c r="F410" s="2">
        <v>71</v>
      </c>
      <c r="G410" s="2">
        <f t="shared" si="68"/>
        <v>20</v>
      </c>
      <c r="H410" s="2">
        <f t="shared" si="69"/>
        <v>20</v>
      </c>
      <c r="I410" s="2">
        <v>0</v>
      </c>
      <c r="J410" s="44" t="s">
        <v>48</v>
      </c>
      <c r="K410" s="2" t="s">
        <v>49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/>
      <c r="AM410" s="2" t="s">
        <v>1568</v>
      </c>
      <c r="AN410" s="2">
        <f t="shared" si="61"/>
        <v>0</v>
      </c>
      <c r="AO410" s="2">
        <f t="shared" si="62"/>
        <v>0</v>
      </c>
      <c r="AP410" s="2">
        <f t="shared" si="63"/>
        <v>0</v>
      </c>
      <c r="AQ410" s="2">
        <f t="shared" si="64"/>
        <v>0</v>
      </c>
      <c r="AR410" s="2">
        <f t="shared" si="65"/>
        <v>0</v>
      </c>
      <c r="AS410" s="2">
        <f t="shared" si="66"/>
        <v>0</v>
      </c>
      <c r="AT410" s="25">
        <f t="shared" si="67"/>
        <v>0</v>
      </c>
    </row>
    <row r="411" spans="1:46">
      <c r="A411" s="24">
        <v>46125</v>
      </c>
      <c r="B411" s="23">
        <f t="shared" si="60"/>
        <v>46113</v>
      </c>
      <c r="C411" s="2" t="s">
        <v>62</v>
      </c>
      <c r="D411" s="2" t="s">
        <v>407</v>
      </c>
      <c r="E411" s="2">
        <v>9264</v>
      </c>
      <c r="F411" s="2">
        <v>100</v>
      </c>
      <c r="G411" s="2">
        <f t="shared" si="68"/>
        <v>20</v>
      </c>
      <c r="H411" s="2">
        <f t="shared" si="69"/>
        <v>20</v>
      </c>
      <c r="I411" s="2">
        <v>0</v>
      </c>
      <c r="J411" s="44" t="s">
        <v>48</v>
      </c>
      <c r="K411" s="2" t="s">
        <v>49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/>
      <c r="AM411" s="2" t="s">
        <v>1568</v>
      </c>
      <c r="AN411" s="2">
        <f t="shared" si="61"/>
        <v>0</v>
      </c>
      <c r="AO411" s="2">
        <f t="shared" si="62"/>
        <v>0</v>
      </c>
      <c r="AP411" s="2">
        <f t="shared" si="63"/>
        <v>0</v>
      </c>
      <c r="AQ411" s="2">
        <f t="shared" si="64"/>
        <v>0</v>
      </c>
      <c r="AR411" s="2">
        <f t="shared" si="65"/>
        <v>0</v>
      </c>
      <c r="AS411" s="2">
        <f t="shared" si="66"/>
        <v>0</v>
      </c>
      <c r="AT411" s="25">
        <f t="shared" si="67"/>
        <v>0</v>
      </c>
    </row>
    <row r="412" spans="1:46">
      <c r="A412" s="24">
        <v>46125</v>
      </c>
      <c r="B412" s="23">
        <f t="shared" si="60"/>
        <v>46113</v>
      </c>
      <c r="C412" s="2" t="s">
        <v>62</v>
      </c>
      <c r="D412" s="2" t="s">
        <v>415</v>
      </c>
      <c r="E412" s="2">
        <v>9264</v>
      </c>
      <c r="F412" s="2">
        <v>140</v>
      </c>
      <c r="G412" s="2">
        <f t="shared" si="68"/>
        <v>20</v>
      </c>
      <c r="H412" s="2">
        <f t="shared" si="69"/>
        <v>19</v>
      </c>
      <c r="I412" s="2">
        <v>1</v>
      </c>
      <c r="J412" s="44" t="s">
        <v>48</v>
      </c>
      <c r="K412" s="2" t="s">
        <v>49</v>
      </c>
      <c r="L412" s="2">
        <v>1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/>
      <c r="AM412" s="2" t="s">
        <v>1568</v>
      </c>
      <c r="AN412" s="2">
        <f t="shared" si="61"/>
        <v>1</v>
      </c>
      <c r="AO412" s="2">
        <f t="shared" si="62"/>
        <v>0</v>
      </c>
      <c r="AP412" s="2">
        <f t="shared" si="63"/>
        <v>0</v>
      </c>
      <c r="AQ412" s="2">
        <f t="shared" si="64"/>
        <v>0</v>
      </c>
      <c r="AR412" s="2">
        <f t="shared" si="65"/>
        <v>0</v>
      </c>
      <c r="AS412" s="2">
        <f t="shared" si="66"/>
        <v>0</v>
      </c>
      <c r="AT412" s="25">
        <f t="shared" si="67"/>
        <v>0</v>
      </c>
    </row>
    <row r="413" spans="1:46">
      <c r="A413" s="24">
        <v>46125</v>
      </c>
      <c r="B413" s="23">
        <f t="shared" si="60"/>
        <v>46113</v>
      </c>
      <c r="C413" s="2" t="s">
        <v>62</v>
      </c>
      <c r="D413" s="2" t="s">
        <v>1205</v>
      </c>
      <c r="E413" s="2">
        <v>3313</v>
      </c>
      <c r="F413" s="2">
        <v>235</v>
      </c>
      <c r="G413" s="2">
        <f t="shared" si="68"/>
        <v>32</v>
      </c>
      <c r="H413" s="2">
        <f t="shared" si="69"/>
        <v>32</v>
      </c>
      <c r="I413" s="2">
        <v>0</v>
      </c>
      <c r="J413" s="44" t="s">
        <v>48</v>
      </c>
      <c r="K413" s="2" t="s">
        <v>49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/>
      <c r="AM413" s="2" t="s">
        <v>1568</v>
      </c>
      <c r="AN413" s="2">
        <f t="shared" si="61"/>
        <v>0</v>
      </c>
      <c r="AO413" s="2">
        <f t="shared" si="62"/>
        <v>0</v>
      </c>
      <c r="AP413" s="2">
        <f t="shared" si="63"/>
        <v>0</v>
      </c>
      <c r="AQ413" s="2">
        <f t="shared" si="64"/>
        <v>0</v>
      </c>
      <c r="AR413" s="2">
        <f t="shared" si="65"/>
        <v>0</v>
      </c>
      <c r="AS413" s="2">
        <f t="shared" si="66"/>
        <v>0</v>
      </c>
      <c r="AT413" s="25">
        <f t="shared" si="67"/>
        <v>0</v>
      </c>
    </row>
    <row r="414" spans="1:46">
      <c r="A414" s="24">
        <v>46125</v>
      </c>
      <c r="B414" s="23">
        <f t="shared" si="60"/>
        <v>46113</v>
      </c>
      <c r="C414" s="2" t="s">
        <v>72</v>
      </c>
      <c r="D414" s="2" t="s">
        <v>113</v>
      </c>
      <c r="E414" s="2">
        <v>2598</v>
      </c>
      <c r="F414" s="2">
        <v>200</v>
      </c>
      <c r="G414" s="2">
        <f t="shared" si="68"/>
        <v>32</v>
      </c>
      <c r="H414" s="2">
        <f t="shared" si="69"/>
        <v>32</v>
      </c>
      <c r="I414" s="2">
        <v>0</v>
      </c>
      <c r="J414" s="44" t="s">
        <v>48</v>
      </c>
      <c r="K414" s="2" t="s">
        <v>49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/>
      <c r="AM414" s="2" t="s">
        <v>1568</v>
      </c>
      <c r="AN414" s="2">
        <f t="shared" si="61"/>
        <v>0</v>
      </c>
      <c r="AO414" s="2">
        <f t="shared" si="62"/>
        <v>0</v>
      </c>
      <c r="AP414" s="2">
        <f t="shared" si="63"/>
        <v>0</v>
      </c>
      <c r="AQ414" s="2">
        <f t="shared" si="64"/>
        <v>0</v>
      </c>
      <c r="AR414" s="2">
        <f t="shared" si="65"/>
        <v>0</v>
      </c>
      <c r="AS414" s="2">
        <f t="shared" si="66"/>
        <v>0</v>
      </c>
      <c r="AT414" s="25">
        <f t="shared" si="67"/>
        <v>0</v>
      </c>
    </row>
    <row r="415" spans="1:46">
      <c r="A415" s="24">
        <v>46125</v>
      </c>
      <c r="B415" s="23">
        <f t="shared" si="60"/>
        <v>46113</v>
      </c>
      <c r="C415" s="2" t="s">
        <v>63</v>
      </c>
      <c r="D415" s="2" t="s">
        <v>279</v>
      </c>
      <c r="E415" s="2">
        <v>8164</v>
      </c>
      <c r="F415" s="2">
        <v>77</v>
      </c>
      <c r="G415" s="2">
        <f t="shared" si="68"/>
        <v>20</v>
      </c>
      <c r="H415" s="2">
        <f t="shared" si="69"/>
        <v>20</v>
      </c>
      <c r="I415" s="2">
        <v>0</v>
      </c>
      <c r="J415" s="44" t="s">
        <v>48</v>
      </c>
      <c r="K415" s="2" t="s">
        <v>49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/>
      <c r="AM415" s="2" t="s">
        <v>1568</v>
      </c>
      <c r="AN415" s="2">
        <f t="shared" si="61"/>
        <v>0</v>
      </c>
      <c r="AO415" s="2">
        <f t="shared" si="62"/>
        <v>0</v>
      </c>
      <c r="AP415" s="2">
        <f t="shared" si="63"/>
        <v>0</v>
      </c>
      <c r="AQ415" s="2">
        <f t="shared" si="64"/>
        <v>0</v>
      </c>
      <c r="AR415" s="2">
        <f t="shared" si="65"/>
        <v>0</v>
      </c>
      <c r="AS415" s="2">
        <f t="shared" si="66"/>
        <v>0</v>
      </c>
      <c r="AT415" s="25">
        <f t="shared" si="67"/>
        <v>0</v>
      </c>
    </row>
    <row r="416" spans="1:46">
      <c r="A416" s="24">
        <v>46125</v>
      </c>
      <c r="B416" s="23">
        <f t="shared" si="60"/>
        <v>46113</v>
      </c>
      <c r="C416" s="2" t="s">
        <v>62</v>
      </c>
      <c r="D416" s="2" t="s">
        <v>178</v>
      </c>
      <c r="E416" s="2">
        <v>3254</v>
      </c>
      <c r="F416" s="2">
        <v>220</v>
      </c>
      <c r="G416" s="2">
        <f t="shared" si="68"/>
        <v>32</v>
      </c>
      <c r="H416" s="2">
        <f t="shared" si="69"/>
        <v>31</v>
      </c>
      <c r="I416" s="2">
        <v>1</v>
      </c>
      <c r="J416" s="44" t="s">
        <v>48</v>
      </c>
      <c r="K416" s="2" t="s">
        <v>49</v>
      </c>
      <c r="L416" s="2">
        <v>1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/>
      <c r="AM416" s="2" t="s">
        <v>1568</v>
      </c>
      <c r="AN416" s="2">
        <f t="shared" si="61"/>
        <v>1</v>
      </c>
      <c r="AO416" s="2">
        <f t="shared" si="62"/>
        <v>0</v>
      </c>
      <c r="AP416" s="2">
        <f t="shared" si="63"/>
        <v>0</v>
      </c>
      <c r="AQ416" s="2">
        <f t="shared" si="64"/>
        <v>0</v>
      </c>
      <c r="AR416" s="2">
        <f t="shared" si="65"/>
        <v>0</v>
      </c>
      <c r="AS416" s="2">
        <f t="shared" si="66"/>
        <v>0</v>
      </c>
      <c r="AT416" s="25">
        <f t="shared" si="67"/>
        <v>0</v>
      </c>
    </row>
    <row r="417" spans="1:46">
      <c r="A417" s="24">
        <v>46125</v>
      </c>
      <c r="B417" s="23">
        <f t="shared" si="60"/>
        <v>46113</v>
      </c>
      <c r="C417" s="2" t="s">
        <v>95</v>
      </c>
      <c r="D417" s="2" t="s">
        <v>265</v>
      </c>
      <c r="E417" s="2">
        <v>8186</v>
      </c>
      <c r="F417" s="2">
        <v>75</v>
      </c>
      <c r="G417" s="2">
        <f t="shared" si="68"/>
        <v>20</v>
      </c>
      <c r="H417" s="2">
        <f t="shared" si="69"/>
        <v>19</v>
      </c>
      <c r="I417" s="2">
        <v>1</v>
      </c>
      <c r="J417" s="44" t="s">
        <v>48</v>
      </c>
      <c r="K417" s="2" t="s">
        <v>49</v>
      </c>
      <c r="L417" s="2">
        <v>1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/>
      <c r="AM417" s="2" t="s">
        <v>1568</v>
      </c>
      <c r="AN417" s="2">
        <f t="shared" si="61"/>
        <v>1</v>
      </c>
      <c r="AO417" s="2">
        <f t="shared" si="62"/>
        <v>0</v>
      </c>
      <c r="AP417" s="2">
        <f t="shared" si="63"/>
        <v>0</v>
      </c>
      <c r="AQ417" s="2">
        <f t="shared" si="64"/>
        <v>0</v>
      </c>
      <c r="AR417" s="2">
        <f t="shared" si="65"/>
        <v>0</v>
      </c>
      <c r="AS417" s="2">
        <f t="shared" si="66"/>
        <v>0</v>
      </c>
      <c r="AT417" s="25">
        <f t="shared" si="67"/>
        <v>0</v>
      </c>
    </row>
    <row r="418" spans="1:46">
      <c r="A418" s="24">
        <v>46125</v>
      </c>
      <c r="B418" s="23">
        <f t="shared" si="60"/>
        <v>46113</v>
      </c>
      <c r="C418" s="2" t="s">
        <v>72</v>
      </c>
      <c r="D418" s="2" t="s">
        <v>86</v>
      </c>
      <c r="E418" s="2">
        <v>6303</v>
      </c>
      <c r="F418" s="2">
        <v>59</v>
      </c>
      <c r="G418" s="2">
        <f t="shared" si="68"/>
        <v>20</v>
      </c>
      <c r="H418" s="2">
        <f t="shared" si="69"/>
        <v>19</v>
      </c>
      <c r="I418" s="2">
        <v>1</v>
      </c>
      <c r="J418" s="44" t="s">
        <v>48</v>
      </c>
      <c r="K418" s="2" t="s">
        <v>49</v>
      </c>
      <c r="L418" s="2">
        <v>1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/>
      <c r="AM418" s="2" t="s">
        <v>1568</v>
      </c>
      <c r="AN418" s="2">
        <f t="shared" si="61"/>
        <v>1</v>
      </c>
      <c r="AO418" s="2">
        <f t="shared" si="62"/>
        <v>0</v>
      </c>
      <c r="AP418" s="2">
        <f t="shared" si="63"/>
        <v>0</v>
      </c>
      <c r="AQ418" s="2">
        <f t="shared" si="64"/>
        <v>0</v>
      </c>
      <c r="AR418" s="2">
        <f t="shared" si="65"/>
        <v>0</v>
      </c>
      <c r="AS418" s="2">
        <f t="shared" si="66"/>
        <v>0</v>
      </c>
      <c r="AT418" s="25">
        <f t="shared" si="67"/>
        <v>0</v>
      </c>
    </row>
    <row r="419" spans="1:46">
      <c r="A419" s="24">
        <v>46125</v>
      </c>
      <c r="B419" s="23">
        <f t="shared" si="60"/>
        <v>46113</v>
      </c>
      <c r="C419" s="2" t="s">
        <v>62</v>
      </c>
      <c r="D419" s="2" t="s">
        <v>1228</v>
      </c>
      <c r="E419" s="2">
        <v>3322</v>
      </c>
      <c r="F419" s="2">
        <v>209</v>
      </c>
      <c r="G419" s="2">
        <f t="shared" si="68"/>
        <v>32</v>
      </c>
      <c r="H419" s="2">
        <f t="shared" si="69"/>
        <v>31</v>
      </c>
      <c r="I419" s="2">
        <v>1</v>
      </c>
      <c r="J419" s="44" t="s">
        <v>48</v>
      </c>
      <c r="K419" s="2" t="s">
        <v>49</v>
      </c>
      <c r="L419" s="2">
        <v>1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/>
      <c r="AM419" s="2" t="s">
        <v>1568</v>
      </c>
      <c r="AN419" s="2">
        <f t="shared" si="61"/>
        <v>1</v>
      </c>
      <c r="AO419" s="2">
        <f t="shared" si="62"/>
        <v>0</v>
      </c>
      <c r="AP419" s="2">
        <f t="shared" si="63"/>
        <v>0</v>
      </c>
      <c r="AQ419" s="2">
        <f t="shared" si="64"/>
        <v>0</v>
      </c>
      <c r="AR419" s="2">
        <f t="shared" si="65"/>
        <v>0</v>
      </c>
      <c r="AS419" s="2">
        <f t="shared" si="66"/>
        <v>0</v>
      </c>
      <c r="AT419" s="25">
        <f t="shared" si="67"/>
        <v>0</v>
      </c>
    </row>
    <row r="420" spans="1:46">
      <c r="A420" s="24">
        <v>46125</v>
      </c>
      <c r="B420" s="23">
        <f t="shared" si="60"/>
        <v>46113</v>
      </c>
      <c r="C420" s="2" t="s">
        <v>62</v>
      </c>
      <c r="D420" s="2" t="s">
        <v>204</v>
      </c>
      <c r="E420" s="2">
        <v>8063</v>
      </c>
      <c r="F420" s="2">
        <v>55</v>
      </c>
      <c r="G420" s="2">
        <f t="shared" si="68"/>
        <v>20</v>
      </c>
      <c r="H420" s="2">
        <f t="shared" si="69"/>
        <v>20</v>
      </c>
      <c r="I420" s="2">
        <v>0</v>
      </c>
      <c r="J420" s="44" t="s">
        <v>48</v>
      </c>
      <c r="K420" s="2" t="s">
        <v>49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/>
      <c r="AM420" s="2" t="s">
        <v>1568</v>
      </c>
      <c r="AN420" s="2">
        <f t="shared" si="61"/>
        <v>0</v>
      </c>
      <c r="AO420" s="2">
        <f t="shared" si="62"/>
        <v>0</v>
      </c>
      <c r="AP420" s="2">
        <f t="shared" si="63"/>
        <v>0</v>
      </c>
      <c r="AQ420" s="2">
        <f t="shared" si="64"/>
        <v>0</v>
      </c>
      <c r="AR420" s="2">
        <f t="shared" si="65"/>
        <v>0</v>
      </c>
      <c r="AS420" s="2">
        <f t="shared" si="66"/>
        <v>0</v>
      </c>
      <c r="AT420" s="25">
        <f t="shared" si="67"/>
        <v>0</v>
      </c>
    </row>
    <row r="421" spans="1:46">
      <c r="A421" s="24">
        <v>46125</v>
      </c>
      <c r="B421" s="23">
        <f t="shared" si="60"/>
        <v>46113</v>
      </c>
      <c r="C421" s="2" t="s">
        <v>62</v>
      </c>
      <c r="D421" s="2" t="s">
        <v>185</v>
      </c>
      <c r="E421" s="2">
        <v>8068</v>
      </c>
      <c r="F421" s="2">
        <v>150</v>
      </c>
      <c r="G421" s="2">
        <f t="shared" si="68"/>
        <v>20</v>
      </c>
      <c r="H421" s="2">
        <f t="shared" si="69"/>
        <v>20</v>
      </c>
      <c r="I421" s="2">
        <v>0</v>
      </c>
      <c r="J421" s="44" t="s">
        <v>48</v>
      </c>
      <c r="K421" s="2" t="s">
        <v>49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/>
      <c r="AM421" s="2" t="s">
        <v>1568</v>
      </c>
      <c r="AN421" s="2">
        <f t="shared" si="61"/>
        <v>0</v>
      </c>
      <c r="AO421" s="2">
        <f t="shared" si="62"/>
        <v>0</v>
      </c>
      <c r="AP421" s="2">
        <f t="shared" si="63"/>
        <v>0</v>
      </c>
      <c r="AQ421" s="2">
        <f t="shared" si="64"/>
        <v>0</v>
      </c>
      <c r="AR421" s="2">
        <f t="shared" si="65"/>
        <v>0</v>
      </c>
      <c r="AS421" s="2">
        <f t="shared" si="66"/>
        <v>0</v>
      </c>
      <c r="AT421" s="25">
        <f t="shared" si="67"/>
        <v>0</v>
      </c>
    </row>
    <row r="422" spans="1:46">
      <c r="A422" s="24">
        <v>46125</v>
      </c>
      <c r="B422" s="23">
        <f t="shared" si="60"/>
        <v>46113</v>
      </c>
      <c r="C422" s="2" t="s">
        <v>95</v>
      </c>
      <c r="D422" s="2" t="s">
        <v>172</v>
      </c>
      <c r="E422" s="2">
        <v>6292</v>
      </c>
      <c r="F422" s="2">
        <v>210</v>
      </c>
      <c r="G422" s="2">
        <f t="shared" si="68"/>
        <v>32</v>
      </c>
      <c r="H422" s="2">
        <f t="shared" si="69"/>
        <v>32</v>
      </c>
      <c r="I422" s="2">
        <v>0</v>
      </c>
      <c r="J422" s="44" t="s">
        <v>48</v>
      </c>
      <c r="K422" s="2" t="s">
        <v>49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/>
      <c r="AM422" s="2" t="s">
        <v>1568</v>
      </c>
      <c r="AN422" s="2">
        <f t="shared" si="61"/>
        <v>0</v>
      </c>
      <c r="AO422" s="2">
        <f t="shared" si="62"/>
        <v>0</v>
      </c>
      <c r="AP422" s="2">
        <f t="shared" si="63"/>
        <v>0</v>
      </c>
      <c r="AQ422" s="2">
        <f t="shared" si="64"/>
        <v>0</v>
      </c>
      <c r="AR422" s="2">
        <f t="shared" si="65"/>
        <v>0</v>
      </c>
      <c r="AS422" s="2">
        <f t="shared" si="66"/>
        <v>0</v>
      </c>
      <c r="AT422" s="25">
        <f t="shared" si="67"/>
        <v>0</v>
      </c>
    </row>
    <row r="423" spans="1:46">
      <c r="A423" s="24">
        <v>46125</v>
      </c>
      <c r="B423" s="23">
        <f t="shared" si="60"/>
        <v>46113</v>
      </c>
      <c r="C423" s="2" t="s">
        <v>46</v>
      </c>
      <c r="D423" s="2" t="s">
        <v>1303</v>
      </c>
      <c r="E423" s="2">
        <v>6307</v>
      </c>
      <c r="F423" s="2">
        <v>125</v>
      </c>
      <c r="G423" s="2">
        <f t="shared" si="68"/>
        <v>20</v>
      </c>
      <c r="H423" s="2">
        <f t="shared" si="69"/>
        <v>20</v>
      </c>
      <c r="I423" s="2">
        <v>0</v>
      </c>
      <c r="J423" s="44" t="s">
        <v>48</v>
      </c>
      <c r="K423" s="2" t="s">
        <v>49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/>
      <c r="AM423" s="2" t="s">
        <v>1568</v>
      </c>
      <c r="AN423" s="2">
        <f t="shared" si="61"/>
        <v>0</v>
      </c>
      <c r="AO423" s="2">
        <f t="shared" si="62"/>
        <v>0</v>
      </c>
      <c r="AP423" s="2">
        <f t="shared" si="63"/>
        <v>0</v>
      </c>
      <c r="AQ423" s="2">
        <f t="shared" si="64"/>
        <v>0</v>
      </c>
      <c r="AR423" s="2">
        <f t="shared" si="65"/>
        <v>0</v>
      </c>
      <c r="AS423" s="2">
        <f t="shared" si="66"/>
        <v>0</v>
      </c>
      <c r="AT423" s="25">
        <f t="shared" si="67"/>
        <v>0</v>
      </c>
    </row>
    <row r="424" spans="1:46">
      <c r="A424" s="24">
        <v>46125</v>
      </c>
      <c r="B424" s="23">
        <f t="shared" si="60"/>
        <v>46113</v>
      </c>
      <c r="C424" s="2" t="s">
        <v>66</v>
      </c>
      <c r="D424" s="2" t="s">
        <v>102</v>
      </c>
      <c r="E424" s="2">
        <v>3220</v>
      </c>
      <c r="F424" s="2">
        <v>164</v>
      </c>
      <c r="G424" s="2">
        <f t="shared" si="68"/>
        <v>32</v>
      </c>
      <c r="H424" s="2">
        <f t="shared" si="69"/>
        <v>31</v>
      </c>
      <c r="I424" s="2">
        <v>1</v>
      </c>
      <c r="J424" s="44" t="s">
        <v>48</v>
      </c>
      <c r="K424" s="2" t="s">
        <v>49</v>
      </c>
      <c r="L424" s="2">
        <v>1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/>
      <c r="AM424" s="2" t="s">
        <v>99</v>
      </c>
      <c r="AN424" s="2">
        <f t="shared" si="61"/>
        <v>1</v>
      </c>
      <c r="AO424" s="2">
        <f t="shared" si="62"/>
        <v>0</v>
      </c>
      <c r="AP424" s="2">
        <f t="shared" si="63"/>
        <v>0</v>
      </c>
      <c r="AQ424" s="2">
        <f t="shared" si="64"/>
        <v>0</v>
      </c>
      <c r="AR424" s="2">
        <f t="shared" si="65"/>
        <v>0</v>
      </c>
      <c r="AS424" s="2">
        <f t="shared" si="66"/>
        <v>0</v>
      </c>
      <c r="AT424" s="25">
        <f t="shared" si="67"/>
        <v>0</v>
      </c>
    </row>
    <row r="425" spans="1:46">
      <c r="A425" s="24">
        <v>46125</v>
      </c>
      <c r="B425" s="23">
        <f t="shared" si="60"/>
        <v>46113</v>
      </c>
      <c r="C425" s="2" t="s">
        <v>66</v>
      </c>
      <c r="D425" s="2" t="s">
        <v>288</v>
      </c>
      <c r="E425" s="2">
        <v>1639</v>
      </c>
      <c r="F425" s="2">
        <v>138</v>
      </c>
      <c r="G425" s="2">
        <f t="shared" si="68"/>
        <v>20</v>
      </c>
      <c r="H425" s="2">
        <f t="shared" si="69"/>
        <v>19</v>
      </c>
      <c r="I425" s="2">
        <v>1</v>
      </c>
      <c r="J425" s="44" t="s">
        <v>48</v>
      </c>
      <c r="K425" s="2" t="s">
        <v>49</v>
      </c>
      <c r="L425" s="2">
        <v>1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/>
      <c r="AM425" s="2" t="s">
        <v>99</v>
      </c>
      <c r="AN425" s="2">
        <f t="shared" si="61"/>
        <v>1</v>
      </c>
      <c r="AO425" s="2">
        <f t="shared" si="62"/>
        <v>0</v>
      </c>
      <c r="AP425" s="2">
        <f t="shared" si="63"/>
        <v>0</v>
      </c>
      <c r="AQ425" s="2">
        <f t="shared" si="64"/>
        <v>0</v>
      </c>
      <c r="AR425" s="2">
        <f t="shared" si="65"/>
        <v>0</v>
      </c>
      <c r="AS425" s="2">
        <f t="shared" si="66"/>
        <v>0</v>
      </c>
      <c r="AT425" s="25">
        <f t="shared" si="67"/>
        <v>0</v>
      </c>
    </row>
    <row r="426" spans="1:46">
      <c r="A426" s="24">
        <v>46125</v>
      </c>
      <c r="B426" s="23">
        <f t="shared" si="60"/>
        <v>46113</v>
      </c>
      <c r="C426" s="2" t="s">
        <v>66</v>
      </c>
      <c r="D426" s="2" t="s">
        <v>112</v>
      </c>
      <c r="E426" s="2">
        <v>3120</v>
      </c>
      <c r="F426" s="2">
        <v>72</v>
      </c>
      <c r="G426" s="2">
        <f t="shared" si="68"/>
        <v>20</v>
      </c>
      <c r="H426" s="2">
        <f t="shared" si="69"/>
        <v>20</v>
      </c>
      <c r="I426" s="2">
        <v>0</v>
      </c>
      <c r="J426" s="44" t="s">
        <v>48</v>
      </c>
      <c r="K426" s="2" t="s">
        <v>49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/>
      <c r="AM426" s="2" t="s">
        <v>99</v>
      </c>
      <c r="AN426" s="2">
        <f t="shared" si="61"/>
        <v>0</v>
      </c>
      <c r="AO426" s="2">
        <f t="shared" si="62"/>
        <v>0</v>
      </c>
      <c r="AP426" s="2">
        <f t="shared" si="63"/>
        <v>0</v>
      </c>
      <c r="AQ426" s="2">
        <f t="shared" si="64"/>
        <v>0</v>
      </c>
      <c r="AR426" s="2">
        <f t="shared" si="65"/>
        <v>0</v>
      </c>
      <c r="AS426" s="2">
        <f t="shared" si="66"/>
        <v>0</v>
      </c>
      <c r="AT426" s="25">
        <f t="shared" si="67"/>
        <v>0</v>
      </c>
    </row>
    <row r="427" spans="1:46">
      <c r="A427" s="24">
        <v>46125</v>
      </c>
      <c r="B427" s="23">
        <f t="shared" si="60"/>
        <v>46113</v>
      </c>
      <c r="C427" s="2" t="s">
        <v>72</v>
      </c>
      <c r="D427" s="2" t="s">
        <v>1515</v>
      </c>
      <c r="E427" s="2">
        <v>3341</v>
      </c>
      <c r="F427" s="2">
        <v>59</v>
      </c>
      <c r="G427" s="2">
        <f t="shared" si="68"/>
        <v>20</v>
      </c>
      <c r="H427" s="2">
        <f t="shared" si="69"/>
        <v>17</v>
      </c>
      <c r="I427" s="2">
        <v>3</v>
      </c>
      <c r="J427" s="44" t="s">
        <v>67</v>
      </c>
      <c r="K427" s="2" t="s">
        <v>49</v>
      </c>
      <c r="L427" s="2">
        <v>2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/>
      <c r="AM427" s="2" t="s">
        <v>80</v>
      </c>
      <c r="AN427" s="2">
        <f t="shared" si="61"/>
        <v>2</v>
      </c>
      <c r="AO427" s="2">
        <f t="shared" si="62"/>
        <v>1</v>
      </c>
      <c r="AP427" s="2">
        <f t="shared" si="63"/>
        <v>0</v>
      </c>
      <c r="AQ427" s="2">
        <f t="shared" si="64"/>
        <v>0</v>
      </c>
      <c r="AR427" s="2">
        <f t="shared" si="65"/>
        <v>0</v>
      </c>
      <c r="AS427" s="2">
        <f t="shared" si="66"/>
        <v>0</v>
      </c>
      <c r="AT427" s="25">
        <f t="shared" si="67"/>
        <v>0</v>
      </c>
    </row>
    <row r="428" spans="1:46">
      <c r="A428" s="24">
        <v>46125</v>
      </c>
      <c r="B428" s="23">
        <f t="shared" si="60"/>
        <v>46113</v>
      </c>
      <c r="C428" s="2" t="s">
        <v>95</v>
      </c>
      <c r="D428" s="2" t="s">
        <v>90</v>
      </c>
      <c r="E428" s="2">
        <v>8141</v>
      </c>
      <c r="F428" s="2">
        <v>285</v>
      </c>
      <c r="G428" s="2">
        <f t="shared" si="68"/>
        <v>50</v>
      </c>
      <c r="H428" s="2">
        <f t="shared" si="69"/>
        <v>50</v>
      </c>
      <c r="I428" s="2">
        <v>0</v>
      </c>
      <c r="J428" s="44" t="s">
        <v>48</v>
      </c>
      <c r="K428" s="2" t="s">
        <v>49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/>
      <c r="AM428" s="2" t="s">
        <v>80</v>
      </c>
      <c r="AN428" s="2">
        <f t="shared" si="61"/>
        <v>0</v>
      </c>
      <c r="AO428" s="2">
        <f t="shared" si="62"/>
        <v>0</v>
      </c>
      <c r="AP428" s="2">
        <f t="shared" si="63"/>
        <v>0</v>
      </c>
      <c r="AQ428" s="2">
        <f t="shared" si="64"/>
        <v>0</v>
      </c>
      <c r="AR428" s="2">
        <f t="shared" si="65"/>
        <v>0</v>
      </c>
      <c r="AS428" s="2">
        <f t="shared" si="66"/>
        <v>0</v>
      </c>
      <c r="AT428" s="25">
        <f t="shared" si="67"/>
        <v>0</v>
      </c>
    </row>
    <row r="429" spans="1:46">
      <c r="A429" s="24">
        <v>46125</v>
      </c>
      <c r="B429" s="23">
        <f t="shared" si="60"/>
        <v>46113</v>
      </c>
      <c r="C429" s="2" t="s">
        <v>95</v>
      </c>
      <c r="D429" s="2" t="s">
        <v>390</v>
      </c>
      <c r="E429" s="2">
        <v>3301</v>
      </c>
      <c r="F429" s="2">
        <v>375</v>
      </c>
      <c r="G429" s="2">
        <f t="shared" si="68"/>
        <v>50</v>
      </c>
      <c r="H429" s="2">
        <f t="shared" si="69"/>
        <v>49</v>
      </c>
      <c r="I429" s="2">
        <v>1</v>
      </c>
      <c r="J429" s="44" t="s">
        <v>48</v>
      </c>
      <c r="K429" s="2" t="s">
        <v>49</v>
      </c>
      <c r="L429" s="2">
        <v>1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/>
      <c r="AM429" s="2" t="s">
        <v>80</v>
      </c>
      <c r="AN429" s="2">
        <f t="shared" si="61"/>
        <v>1</v>
      </c>
      <c r="AO429" s="2">
        <f t="shared" si="62"/>
        <v>0</v>
      </c>
      <c r="AP429" s="2">
        <f t="shared" si="63"/>
        <v>0</v>
      </c>
      <c r="AQ429" s="2">
        <f t="shared" si="64"/>
        <v>0</v>
      </c>
      <c r="AR429" s="2">
        <f t="shared" si="65"/>
        <v>0</v>
      </c>
      <c r="AS429" s="2">
        <f t="shared" si="66"/>
        <v>0</v>
      </c>
      <c r="AT429" s="25">
        <f t="shared" si="67"/>
        <v>0</v>
      </c>
    </row>
    <row r="430" spans="1:46">
      <c r="A430" s="24">
        <v>46125</v>
      </c>
      <c r="B430" s="23">
        <f t="shared" si="60"/>
        <v>46113</v>
      </c>
      <c r="C430" s="2" t="s">
        <v>46</v>
      </c>
      <c r="D430" s="2" t="s">
        <v>1542</v>
      </c>
      <c r="E430" s="2">
        <v>6285</v>
      </c>
      <c r="F430" s="2">
        <v>363</v>
      </c>
      <c r="G430" s="2">
        <f t="shared" si="68"/>
        <v>50</v>
      </c>
      <c r="H430" s="2">
        <f t="shared" si="69"/>
        <v>45</v>
      </c>
      <c r="I430" s="2">
        <v>5</v>
      </c>
      <c r="J430" s="44" t="s">
        <v>67</v>
      </c>
      <c r="K430" s="2" t="s">
        <v>49</v>
      </c>
      <c r="L430" s="2">
        <v>3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1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1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/>
      <c r="AM430" s="2" t="s">
        <v>80</v>
      </c>
      <c r="AN430" s="2">
        <f t="shared" si="61"/>
        <v>3</v>
      </c>
      <c r="AO430" s="2">
        <f t="shared" si="62"/>
        <v>1</v>
      </c>
      <c r="AP430" s="2">
        <f t="shared" si="63"/>
        <v>1</v>
      </c>
      <c r="AQ430" s="2">
        <f t="shared" si="64"/>
        <v>0</v>
      </c>
      <c r="AR430" s="2">
        <f t="shared" si="65"/>
        <v>0</v>
      </c>
      <c r="AS430" s="2">
        <f t="shared" si="66"/>
        <v>0</v>
      </c>
      <c r="AT430" s="25">
        <f t="shared" si="67"/>
        <v>0</v>
      </c>
    </row>
    <row r="431" spans="1:46">
      <c r="A431" s="24">
        <v>46125</v>
      </c>
      <c r="B431" s="23">
        <f t="shared" si="60"/>
        <v>46113</v>
      </c>
      <c r="C431" s="2" t="s">
        <v>114</v>
      </c>
      <c r="D431" s="2" t="s">
        <v>1411</v>
      </c>
      <c r="E431" s="2">
        <v>6206</v>
      </c>
      <c r="F431" s="2">
        <v>500</v>
      </c>
      <c r="G431" s="2">
        <f t="shared" si="68"/>
        <v>50</v>
      </c>
      <c r="H431" s="2">
        <f t="shared" si="69"/>
        <v>48</v>
      </c>
      <c r="I431" s="2">
        <v>2</v>
      </c>
      <c r="J431" s="44" t="s">
        <v>48</v>
      </c>
      <c r="K431" s="2" t="s">
        <v>49</v>
      </c>
      <c r="L431" s="2">
        <v>1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1</v>
      </c>
      <c r="AH431" s="2">
        <v>0</v>
      </c>
      <c r="AI431" s="2">
        <v>0</v>
      </c>
      <c r="AJ431" s="2">
        <v>0</v>
      </c>
      <c r="AK431" s="2">
        <v>0</v>
      </c>
      <c r="AL431" s="2"/>
      <c r="AM431" s="2" t="s">
        <v>80</v>
      </c>
      <c r="AN431" s="2">
        <f t="shared" si="61"/>
        <v>1</v>
      </c>
      <c r="AO431" s="2">
        <f t="shared" si="62"/>
        <v>0</v>
      </c>
      <c r="AP431" s="2">
        <f t="shared" si="63"/>
        <v>0</v>
      </c>
      <c r="AQ431" s="2">
        <f t="shared" si="64"/>
        <v>0</v>
      </c>
      <c r="AR431" s="2">
        <f t="shared" si="65"/>
        <v>0</v>
      </c>
      <c r="AS431" s="2">
        <f t="shared" si="66"/>
        <v>1</v>
      </c>
      <c r="AT431" s="25">
        <f t="shared" si="67"/>
        <v>0</v>
      </c>
    </row>
    <row r="432" spans="1:46">
      <c r="A432" s="24">
        <v>46125</v>
      </c>
      <c r="B432" s="23">
        <f t="shared" si="60"/>
        <v>46113</v>
      </c>
      <c r="C432" s="2" t="s">
        <v>82</v>
      </c>
      <c r="D432" s="2" t="s">
        <v>116</v>
      </c>
      <c r="E432" s="2">
        <v>2678</v>
      </c>
      <c r="F432" s="2">
        <v>123</v>
      </c>
      <c r="G432" s="2">
        <f t="shared" si="68"/>
        <v>20</v>
      </c>
      <c r="H432" s="2">
        <f t="shared" si="69"/>
        <v>19</v>
      </c>
      <c r="I432" s="2">
        <v>1</v>
      </c>
      <c r="J432" s="44" t="s">
        <v>48</v>
      </c>
      <c r="K432" s="2" t="s">
        <v>49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1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/>
      <c r="AM432" s="2" t="s">
        <v>93</v>
      </c>
      <c r="AN432" s="2">
        <f t="shared" si="61"/>
        <v>0</v>
      </c>
      <c r="AO432" s="2">
        <f t="shared" si="62"/>
        <v>1</v>
      </c>
      <c r="AP432" s="2">
        <f t="shared" si="63"/>
        <v>0</v>
      </c>
      <c r="AQ432" s="2">
        <f t="shared" si="64"/>
        <v>0</v>
      </c>
      <c r="AR432" s="2">
        <f t="shared" si="65"/>
        <v>0</v>
      </c>
      <c r="AS432" s="2">
        <f t="shared" si="66"/>
        <v>0</v>
      </c>
      <c r="AT432" s="25">
        <f t="shared" si="67"/>
        <v>0</v>
      </c>
    </row>
    <row r="433" spans="1:46">
      <c r="A433" s="24">
        <v>46125</v>
      </c>
      <c r="B433" s="23">
        <f t="shared" si="60"/>
        <v>46113</v>
      </c>
      <c r="C433" s="2" t="s">
        <v>160</v>
      </c>
      <c r="D433" s="2" t="s">
        <v>162</v>
      </c>
      <c r="E433" s="2">
        <v>3227</v>
      </c>
      <c r="F433" s="2">
        <v>195</v>
      </c>
      <c r="G433" s="2">
        <f t="shared" si="68"/>
        <v>32</v>
      </c>
      <c r="H433" s="2">
        <f t="shared" si="69"/>
        <v>31</v>
      </c>
      <c r="I433" s="2">
        <v>1</v>
      </c>
      <c r="J433" s="44" t="s">
        <v>48</v>
      </c>
      <c r="K433" s="2" t="s">
        <v>49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1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/>
      <c r="AM433" s="2" t="s">
        <v>93</v>
      </c>
      <c r="AN433" s="2">
        <f t="shared" si="61"/>
        <v>0</v>
      </c>
      <c r="AO433" s="2">
        <f t="shared" si="62"/>
        <v>0</v>
      </c>
      <c r="AP433" s="2">
        <f t="shared" si="63"/>
        <v>0</v>
      </c>
      <c r="AQ433" s="2">
        <f t="shared" si="64"/>
        <v>0</v>
      </c>
      <c r="AR433" s="2">
        <f t="shared" si="65"/>
        <v>1</v>
      </c>
      <c r="AS433" s="2">
        <f t="shared" si="66"/>
        <v>0</v>
      </c>
      <c r="AT433" s="25">
        <f t="shared" si="67"/>
        <v>0</v>
      </c>
    </row>
    <row r="434" spans="1:46">
      <c r="A434" s="24">
        <v>46125</v>
      </c>
      <c r="B434" s="23">
        <f t="shared" si="60"/>
        <v>46113</v>
      </c>
      <c r="C434" s="2" t="s">
        <v>160</v>
      </c>
      <c r="D434" s="2" t="s">
        <v>267</v>
      </c>
      <c r="E434" s="2">
        <v>3227</v>
      </c>
      <c r="F434" s="2">
        <v>219</v>
      </c>
      <c r="G434" s="2">
        <f t="shared" si="68"/>
        <v>32</v>
      </c>
      <c r="H434" s="2">
        <f t="shared" si="69"/>
        <v>29</v>
      </c>
      <c r="I434" s="2">
        <v>3</v>
      </c>
      <c r="J434" s="44" t="s">
        <v>67</v>
      </c>
      <c r="K434" s="2" t="s">
        <v>49</v>
      </c>
      <c r="L434" s="2">
        <v>3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/>
      <c r="AM434" s="2" t="s">
        <v>93</v>
      </c>
      <c r="AN434" s="2">
        <f t="shared" si="61"/>
        <v>3</v>
      </c>
      <c r="AO434" s="2">
        <f t="shared" si="62"/>
        <v>0</v>
      </c>
      <c r="AP434" s="2">
        <f t="shared" si="63"/>
        <v>0</v>
      </c>
      <c r="AQ434" s="2">
        <f t="shared" si="64"/>
        <v>0</v>
      </c>
      <c r="AR434" s="2">
        <f t="shared" si="65"/>
        <v>0</v>
      </c>
      <c r="AS434" s="2">
        <f t="shared" si="66"/>
        <v>0</v>
      </c>
      <c r="AT434" s="25">
        <f t="shared" si="67"/>
        <v>0</v>
      </c>
    </row>
    <row r="435" spans="1:46">
      <c r="A435" s="24">
        <v>46125</v>
      </c>
      <c r="B435" s="23">
        <f t="shared" si="60"/>
        <v>46113</v>
      </c>
      <c r="C435" s="2" t="s">
        <v>160</v>
      </c>
      <c r="D435" s="2" t="s">
        <v>267</v>
      </c>
      <c r="E435" s="2">
        <v>3227</v>
      </c>
      <c r="F435" s="2">
        <v>214</v>
      </c>
      <c r="G435" s="2">
        <f t="shared" si="68"/>
        <v>32</v>
      </c>
      <c r="H435" s="2">
        <f t="shared" si="69"/>
        <v>32</v>
      </c>
      <c r="I435" s="2">
        <v>0</v>
      </c>
      <c r="J435" s="44" t="s">
        <v>48</v>
      </c>
      <c r="K435" s="2" t="s">
        <v>49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/>
      <c r="AM435" s="2" t="s">
        <v>93</v>
      </c>
      <c r="AN435" s="2">
        <f t="shared" si="61"/>
        <v>0</v>
      </c>
      <c r="AO435" s="2">
        <f t="shared" si="62"/>
        <v>0</v>
      </c>
      <c r="AP435" s="2">
        <f t="shared" si="63"/>
        <v>0</v>
      </c>
      <c r="AQ435" s="2">
        <f t="shared" si="64"/>
        <v>0</v>
      </c>
      <c r="AR435" s="2">
        <f t="shared" si="65"/>
        <v>0</v>
      </c>
      <c r="AS435" s="2">
        <f t="shared" si="66"/>
        <v>0</v>
      </c>
      <c r="AT435" s="25">
        <f t="shared" si="67"/>
        <v>0</v>
      </c>
    </row>
    <row r="436" spans="1:46">
      <c r="A436" s="24">
        <v>46125</v>
      </c>
      <c r="B436" s="23">
        <f t="shared" si="60"/>
        <v>46113</v>
      </c>
      <c r="C436" s="2" t="s">
        <v>82</v>
      </c>
      <c r="D436" s="2" t="s">
        <v>112</v>
      </c>
      <c r="E436" s="2">
        <v>3120</v>
      </c>
      <c r="F436" s="2">
        <v>56</v>
      </c>
      <c r="G436" s="2">
        <f t="shared" si="68"/>
        <v>20</v>
      </c>
      <c r="H436" s="2">
        <f t="shared" si="69"/>
        <v>18</v>
      </c>
      <c r="I436" s="2">
        <v>2</v>
      </c>
      <c r="J436" s="44" t="s">
        <v>67</v>
      </c>
      <c r="K436" s="2" t="s">
        <v>49</v>
      </c>
      <c r="L436" s="2">
        <v>2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/>
      <c r="AM436" s="2" t="s">
        <v>93</v>
      </c>
      <c r="AN436" s="2">
        <f t="shared" si="61"/>
        <v>2</v>
      </c>
      <c r="AO436" s="2">
        <f t="shared" si="62"/>
        <v>0</v>
      </c>
      <c r="AP436" s="2">
        <f t="shared" si="63"/>
        <v>0</v>
      </c>
      <c r="AQ436" s="2">
        <f t="shared" si="64"/>
        <v>0</v>
      </c>
      <c r="AR436" s="2">
        <f t="shared" si="65"/>
        <v>0</v>
      </c>
      <c r="AS436" s="2">
        <f t="shared" si="66"/>
        <v>0</v>
      </c>
      <c r="AT436" s="25">
        <f t="shared" si="67"/>
        <v>0</v>
      </c>
    </row>
    <row r="437" spans="1:46">
      <c r="A437" s="24">
        <v>46125</v>
      </c>
      <c r="B437" s="23">
        <f t="shared" si="60"/>
        <v>46113</v>
      </c>
      <c r="C437" s="2" t="s">
        <v>46</v>
      </c>
      <c r="D437" s="2" t="s">
        <v>176</v>
      </c>
      <c r="E437" s="2">
        <v>7152</v>
      </c>
      <c r="F437" s="2">
        <v>146</v>
      </c>
      <c r="G437" s="2">
        <f t="shared" si="68"/>
        <v>20</v>
      </c>
      <c r="H437" s="2">
        <f t="shared" si="69"/>
        <v>20</v>
      </c>
      <c r="I437" s="2">
        <v>0</v>
      </c>
      <c r="J437" s="44" t="s">
        <v>48</v>
      </c>
      <c r="K437" s="2" t="s">
        <v>49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/>
      <c r="AM437" s="2" t="s">
        <v>93</v>
      </c>
      <c r="AN437" s="2">
        <f t="shared" si="61"/>
        <v>0</v>
      </c>
      <c r="AO437" s="2">
        <f t="shared" si="62"/>
        <v>0</v>
      </c>
      <c r="AP437" s="2">
        <f t="shared" si="63"/>
        <v>0</v>
      </c>
      <c r="AQ437" s="2">
        <f t="shared" si="64"/>
        <v>0</v>
      </c>
      <c r="AR437" s="2">
        <f t="shared" si="65"/>
        <v>0</v>
      </c>
      <c r="AS437" s="2">
        <f t="shared" si="66"/>
        <v>0</v>
      </c>
      <c r="AT437" s="25">
        <f t="shared" si="67"/>
        <v>0</v>
      </c>
    </row>
    <row r="438" spans="1:46">
      <c r="A438" s="24">
        <v>46125</v>
      </c>
      <c r="B438" s="23">
        <f t="shared" si="60"/>
        <v>46113</v>
      </c>
      <c r="C438" s="2" t="s">
        <v>46</v>
      </c>
      <c r="D438" s="2" t="s">
        <v>144</v>
      </c>
      <c r="E438" s="2">
        <v>3305</v>
      </c>
      <c r="F438" s="2">
        <v>115</v>
      </c>
      <c r="G438" s="2">
        <f t="shared" si="68"/>
        <v>20</v>
      </c>
      <c r="H438" s="2">
        <f t="shared" si="69"/>
        <v>20</v>
      </c>
      <c r="I438" s="2">
        <v>0</v>
      </c>
      <c r="J438" s="44" t="s">
        <v>48</v>
      </c>
      <c r="K438" s="2" t="s">
        <v>49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/>
      <c r="AM438" s="2" t="s">
        <v>93</v>
      </c>
      <c r="AN438" s="2">
        <f t="shared" si="61"/>
        <v>0</v>
      </c>
      <c r="AO438" s="2">
        <f t="shared" si="62"/>
        <v>0</v>
      </c>
      <c r="AP438" s="2">
        <f t="shared" si="63"/>
        <v>0</v>
      </c>
      <c r="AQ438" s="2">
        <f t="shared" si="64"/>
        <v>0</v>
      </c>
      <c r="AR438" s="2">
        <f t="shared" si="65"/>
        <v>0</v>
      </c>
      <c r="AS438" s="2">
        <f t="shared" si="66"/>
        <v>0</v>
      </c>
      <c r="AT438" s="25">
        <f t="shared" si="67"/>
        <v>0</v>
      </c>
    </row>
    <row r="439" spans="1:46">
      <c r="A439" s="24">
        <v>46125</v>
      </c>
      <c r="B439" s="23">
        <f t="shared" si="60"/>
        <v>46113</v>
      </c>
      <c r="C439" s="2" t="s">
        <v>46</v>
      </c>
      <c r="D439" s="2" t="s">
        <v>192</v>
      </c>
      <c r="E439" s="2">
        <v>3305</v>
      </c>
      <c r="F439" s="2">
        <v>84</v>
      </c>
      <c r="G439" s="2">
        <f t="shared" si="68"/>
        <v>20</v>
      </c>
      <c r="H439" s="2">
        <f t="shared" si="69"/>
        <v>20</v>
      </c>
      <c r="I439" s="2">
        <v>0</v>
      </c>
      <c r="J439" s="44" t="s">
        <v>48</v>
      </c>
      <c r="K439" s="2" t="s">
        <v>49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/>
      <c r="AM439" s="2" t="s">
        <v>93</v>
      </c>
      <c r="AN439" s="2">
        <f t="shared" si="61"/>
        <v>0</v>
      </c>
      <c r="AO439" s="2">
        <f t="shared" si="62"/>
        <v>0</v>
      </c>
      <c r="AP439" s="2">
        <f t="shared" si="63"/>
        <v>0</v>
      </c>
      <c r="AQ439" s="2">
        <f t="shared" si="64"/>
        <v>0</v>
      </c>
      <c r="AR439" s="2">
        <f t="shared" si="65"/>
        <v>0</v>
      </c>
      <c r="AS439" s="2">
        <f t="shared" si="66"/>
        <v>0</v>
      </c>
      <c r="AT439" s="25">
        <f t="shared" si="67"/>
        <v>0</v>
      </c>
    </row>
    <row r="440" spans="1:46">
      <c r="A440" s="24">
        <v>46125</v>
      </c>
      <c r="B440" s="23">
        <f t="shared" si="60"/>
        <v>46113</v>
      </c>
      <c r="C440" s="2" t="s">
        <v>72</v>
      </c>
      <c r="D440" s="2" t="s">
        <v>306</v>
      </c>
      <c r="E440" s="2">
        <v>6225</v>
      </c>
      <c r="F440" s="2">
        <v>75</v>
      </c>
      <c r="G440" s="2">
        <f t="shared" si="68"/>
        <v>20</v>
      </c>
      <c r="H440" s="2">
        <f t="shared" si="69"/>
        <v>20</v>
      </c>
      <c r="I440" s="2">
        <v>0</v>
      </c>
      <c r="J440" s="44" t="s">
        <v>48</v>
      </c>
      <c r="K440" s="2" t="s">
        <v>49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/>
      <c r="AM440" s="2" t="s">
        <v>93</v>
      </c>
      <c r="AN440" s="2">
        <f t="shared" si="61"/>
        <v>0</v>
      </c>
      <c r="AO440" s="2">
        <f t="shared" si="62"/>
        <v>0</v>
      </c>
      <c r="AP440" s="2">
        <f t="shared" si="63"/>
        <v>0</v>
      </c>
      <c r="AQ440" s="2">
        <f t="shared" si="64"/>
        <v>0</v>
      </c>
      <c r="AR440" s="2">
        <f t="shared" si="65"/>
        <v>0</v>
      </c>
      <c r="AS440" s="2">
        <f t="shared" si="66"/>
        <v>0</v>
      </c>
      <c r="AT440" s="25">
        <f t="shared" si="67"/>
        <v>0</v>
      </c>
    </row>
    <row r="441" spans="1:46">
      <c r="A441" s="24">
        <v>46125</v>
      </c>
      <c r="B441" s="23">
        <f t="shared" si="60"/>
        <v>46113</v>
      </c>
      <c r="C441" s="2" t="s">
        <v>82</v>
      </c>
      <c r="D441" s="2" t="s">
        <v>112</v>
      </c>
      <c r="E441" s="2">
        <v>3120</v>
      </c>
      <c r="F441" s="2">
        <v>52</v>
      </c>
      <c r="G441" s="2">
        <f t="shared" si="68"/>
        <v>20</v>
      </c>
      <c r="H441" s="2">
        <f t="shared" si="69"/>
        <v>20</v>
      </c>
      <c r="I441" s="2">
        <v>0</v>
      </c>
      <c r="J441" s="44" t="s">
        <v>48</v>
      </c>
      <c r="K441" s="2" t="s">
        <v>49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/>
      <c r="AM441" s="2" t="s">
        <v>93</v>
      </c>
      <c r="AN441" s="2">
        <f t="shared" si="61"/>
        <v>0</v>
      </c>
      <c r="AO441" s="2">
        <f t="shared" si="62"/>
        <v>0</v>
      </c>
      <c r="AP441" s="2">
        <f t="shared" si="63"/>
        <v>0</v>
      </c>
      <c r="AQ441" s="2">
        <f t="shared" si="64"/>
        <v>0</v>
      </c>
      <c r="AR441" s="2">
        <f t="shared" si="65"/>
        <v>0</v>
      </c>
      <c r="AS441" s="2">
        <f t="shared" si="66"/>
        <v>0</v>
      </c>
      <c r="AT441" s="25">
        <f t="shared" si="67"/>
        <v>0</v>
      </c>
    </row>
    <row r="442" spans="1:46">
      <c r="A442" s="24">
        <v>46125</v>
      </c>
      <c r="B442" s="23">
        <f t="shared" si="60"/>
        <v>46113</v>
      </c>
      <c r="C442" s="2" t="s">
        <v>72</v>
      </c>
      <c r="D442" s="2" t="s">
        <v>182</v>
      </c>
      <c r="E442" s="2">
        <v>8107</v>
      </c>
      <c r="F442" s="2">
        <v>130</v>
      </c>
      <c r="G442" s="2">
        <f t="shared" si="68"/>
        <v>20</v>
      </c>
      <c r="H442" s="2">
        <f t="shared" si="69"/>
        <v>20</v>
      </c>
      <c r="I442" s="2">
        <v>0</v>
      </c>
      <c r="J442" s="44" t="s">
        <v>48</v>
      </c>
      <c r="K442" s="2" t="s">
        <v>49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/>
      <c r="AM442" s="2" t="s">
        <v>93</v>
      </c>
      <c r="AN442" s="2">
        <f t="shared" si="61"/>
        <v>0</v>
      </c>
      <c r="AO442" s="2">
        <f t="shared" si="62"/>
        <v>0</v>
      </c>
      <c r="AP442" s="2">
        <f t="shared" si="63"/>
        <v>0</v>
      </c>
      <c r="AQ442" s="2">
        <f t="shared" si="64"/>
        <v>0</v>
      </c>
      <c r="AR442" s="2">
        <f t="shared" si="65"/>
        <v>0</v>
      </c>
      <c r="AS442" s="2">
        <f t="shared" si="66"/>
        <v>0</v>
      </c>
      <c r="AT442" s="25">
        <f t="shared" si="67"/>
        <v>0</v>
      </c>
    </row>
    <row r="443" spans="1:46">
      <c r="A443" s="24">
        <v>46125</v>
      </c>
      <c r="B443" s="23">
        <f t="shared" si="60"/>
        <v>46113</v>
      </c>
      <c r="C443" s="2" t="s">
        <v>72</v>
      </c>
      <c r="D443" s="2" t="s">
        <v>306</v>
      </c>
      <c r="E443" s="2">
        <v>6225</v>
      </c>
      <c r="F443" s="2">
        <v>75</v>
      </c>
      <c r="G443" s="2">
        <f t="shared" si="68"/>
        <v>20</v>
      </c>
      <c r="H443" s="2">
        <f t="shared" si="69"/>
        <v>20</v>
      </c>
      <c r="I443" s="2">
        <v>0</v>
      </c>
      <c r="J443" s="44" t="s">
        <v>48</v>
      </c>
      <c r="K443" s="2" t="s">
        <v>49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/>
      <c r="AM443" s="2" t="s">
        <v>93</v>
      </c>
      <c r="AN443" s="2">
        <f t="shared" si="61"/>
        <v>0</v>
      </c>
      <c r="AO443" s="2">
        <f t="shared" si="62"/>
        <v>0</v>
      </c>
      <c r="AP443" s="2">
        <f t="shared" si="63"/>
        <v>0</v>
      </c>
      <c r="AQ443" s="2">
        <f t="shared" si="64"/>
        <v>0</v>
      </c>
      <c r="AR443" s="2">
        <f t="shared" si="65"/>
        <v>0</v>
      </c>
      <c r="AS443" s="2">
        <f t="shared" si="66"/>
        <v>0</v>
      </c>
      <c r="AT443" s="25">
        <f t="shared" si="67"/>
        <v>0</v>
      </c>
    </row>
    <row r="444" spans="1:46">
      <c r="A444" s="24">
        <v>46125</v>
      </c>
      <c r="B444" s="23">
        <f t="shared" si="60"/>
        <v>46113</v>
      </c>
      <c r="C444" s="2" t="s">
        <v>82</v>
      </c>
      <c r="D444" s="2" t="s">
        <v>260</v>
      </c>
      <c r="E444" s="2">
        <v>3295</v>
      </c>
      <c r="F444" s="2">
        <v>145</v>
      </c>
      <c r="G444" s="2">
        <f t="shared" si="68"/>
        <v>20</v>
      </c>
      <c r="H444" s="2">
        <f t="shared" si="69"/>
        <v>20</v>
      </c>
      <c r="I444" s="2">
        <v>0</v>
      </c>
      <c r="J444" s="44" t="s">
        <v>48</v>
      </c>
      <c r="K444" s="2" t="s">
        <v>49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/>
      <c r="AM444" s="2" t="s">
        <v>93</v>
      </c>
      <c r="AN444" s="2">
        <f t="shared" si="61"/>
        <v>0</v>
      </c>
      <c r="AO444" s="2">
        <f t="shared" si="62"/>
        <v>0</v>
      </c>
      <c r="AP444" s="2">
        <f t="shared" si="63"/>
        <v>0</v>
      </c>
      <c r="AQ444" s="2">
        <f t="shared" si="64"/>
        <v>0</v>
      </c>
      <c r="AR444" s="2">
        <f t="shared" si="65"/>
        <v>0</v>
      </c>
      <c r="AS444" s="2">
        <f t="shared" si="66"/>
        <v>0</v>
      </c>
      <c r="AT444" s="25">
        <f t="shared" si="67"/>
        <v>0</v>
      </c>
    </row>
    <row r="445" spans="1:46">
      <c r="A445" s="24">
        <v>46125</v>
      </c>
      <c r="B445" s="23">
        <f t="shared" si="60"/>
        <v>46113</v>
      </c>
      <c r="C445" s="2" t="s">
        <v>82</v>
      </c>
      <c r="D445" s="2" t="s">
        <v>91</v>
      </c>
      <c r="E445" s="2">
        <v>6248</v>
      </c>
      <c r="F445" s="2">
        <v>500</v>
      </c>
      <c r="G445" s="2">
        <f t="shared" si="68"/>
        <v>50</v>
      </c>
      <c r="H445" s="2">
        <f t="shared" si="69"/>
        <v>48</v>
      </c>
      <c r="I445" s="2">
        <v>2</v>
      </c>
      <c r="J445" s="44" t="s">
        <v>48</v>
      </c>
      <c r="K445" s="2" t="s">
        <v>49</v>
      </c>
      <c r="L445" s="2">
        <v>2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/>
      <c r="AM445" s="2" t="s">
        <v>93</v>
      </c>
      <c r="AN445" s="2">
        <f t="shared" si="61"/>
        <v>2</v>
      </c>
      <c r="AO445" s="2">
        <f t="shared" si="62"/>
        <v>0</v>
      </c>
      <c r="AP445" s="2">
        <f t="shared" si="63"/>
        <v>0</v>
      </c>
      <c r="AQ445" s="2">
        <f t="shared" si="64"/>
        <v>0</v>
      </c>
      <c r="AR445" s="2">
        <f t="shared" si="65"/>
        <v>0</v>
      </c>
      <c r="AS445" s="2">
        <f t="shared" si="66"/>
        <v>0</v>
      </c>
      <c r="AT445" s="25">
        <f t="shared" si="67"/>
        <v>0</v>
      </c>
    </row>
    <row r="446" spans="1:46">
      <c r="A446" s="24">
        <v>46125</v>
      </c>
      <c r="B446" s="23">
        <f t="shared" si="60"/>
        <v>46113</v>
      </c>
      <c r="C446" s="2" t="s">
        <v>72</v>
      </c>
      <c r="D446" s="2" t="s">
        <v>407</v>
      </c>
      <c r="E446" s="2">
        <v>9264</v>
      </c>
      <c r="F446" s="2">
        <v>64</v>
      </c>
      <c r="G446" s="2">
        <f t="shared" si="68"/>
        <v>20</v>
      </c>
      <c r="H446" s="2">
        <f t="shared" si="69"/>
        <v>20</v>
      </c>
      <c r="I446" s="2">
        <v>0</v>
      </c>
      <c r="J446" s="44" t="s">
        <v>48</v>
      </c>
      <c r="K446" s="2" t="s">
        <v>49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/>
      <c r="AM446" s="2" t="s">
        <v>99</v>
      </c>
      <c r="AN446" s="2">
        <f t="shared" si="61"/>
        <v>0</v>
      </c>
      <c r="AO446" s="2">
        <f t="shared" si="62"/>
        <v>0</v>
      </c>
      <c r="AP446" s="2">
        <f t="shared" si="63"/>
        <v>0</v>
      </c>
      <c r="AQ446" s="2">
        <f t="shared" si="64"/>
        <v>0</v>
      </c>
      <c r="AR446" s="2">
        <f t="shared" si="65"/>
        <v>0</v>
      </c>
      <c r="AS446" s="2">
        <f t="shared" si="66"/>
        <v>0</v>
      </c>
      <c r="AT446" s="25">
        <f t="shared" si="67"/>
        <v>0</v>
      </c>
    </row>
    <row r="447" spans="1:46">
      <c r="A447" s="24">
        <v>46125</v>
      </c>
      <c r="B447" s="23">
        <f t="shared" si="60"/>
        <v>46113</v>
      </c>
      <c r="C447" s="2" t="s">
        <v>66</v>
      </c>
      <c r="D447" s="2" t="s">
        <v>417</v>
      </c>
      <c r="E447" s="2">
        <v>6216</v>
      </c>
      <c r="F447" s="2">
        <v>134</v>
      </c>
      <c r="G447" s="2">
        <f t="shared" si="68"/>
        <v>20</v>
      </c>
      <c r="H447" s="2">
        <f t="shared" si="69"/>
        <v>20</v>
      </c>
      <c r="I447" s="2">
        <v>0</v>
      </c>
      <c r="J447" s="44" t="s">
        <v>48</v>
      </c>
      <c r="K447" s="2" t="s">
        <v>49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/>
      <c r="AM447" s="2" t="s">
        <v>110</v>
      </c>
      <c r="AN447" s="2">
        <f t="shared" si="61"/>
        <v>0</v>
      </c>
      <c r="AO447" s="2">
        <f t="shared" si="62"/>
        <v>0</v>
      </c>
      <c r="AP447" s="2">
        <f t="shared" si="63"/>
        <v>0</v>
      </c>
      <c r="AQ447" s="2">
        <f t="shared" si="64"/>
        <v>0</v>
      </c>
      <c r="AR447" s="2">
        <f t="shared" si="65"/>
        <v>0</v>
      </c>
      <c r="AS447" s="2">
        <f t="shared" si="66"/>
        <v>0</v>
      </c>
      <c r="AT447" s="25">
        <f t="shared" si="67"/>
        <v>0</v>
      </c>
    </row>
    <row r="448" spans="1:46">
      <c r="A448" s="24">
        <v>46125</v>
      </c>
      <c r="B448" s="23">
        <f t="shared" si="60"/>
        <v>46113</v>
      </c>
      <c r="C448" s="2" t="s">
        <v>66</v>
      </c>
      <c r="D448" s="2" t="s">
        <v>372</v>
      </c>
      <c r="E448" s="2">
        <v>6216</v>
      </c>
      <c r="F448" s="2">
        <v>120</v>
      </c>
      <c r="G448" s="2">
        <f t="shared" si="68"/>
        <v>20</v>
      </c>
      <c r="H448" s="2">
        <f t="shared" si="69"/>
        <v>20</v>
      </c>
      <c r="I448" s="2">
        <v>0</v>
      </c>
      <c r="J448" s="44" t="s">
        <v>48</v>
      </c>
      <c r="K448" s="2" t="s">
        <v>49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/>
      <c r="AM448" s="2" t="s">
        <v>110</v>
      </c>
      <c r="AN448" s="2">
        <f t="shared" si="61"/>
        <v>0</v>
      </c>
      <c r="AO448" s="2">
        <f t="shared" si="62"/>
        <v>0</v>
      </c>
      <c r="AP448" s="2">
        <f t="shared" si="63"/>
        <v>0</v>
      </c>
      <c r="AQ448" s="2">
        <f t="shared" si="64"/>
        <v>0</v>
      </c>
      <c r="AR448" s="2">
        <f t="shared" si="65"/>
        <v>0</v>
      </c>
      <c r="AS448" s="2">
        <f t="shared" si="66"/>
        <v>0</v>
      </c>
      <c r="AT448" s="25">
        <f t="shared" si="67"/>
        <v>0</v>
      </c>
    </row>
    <row r="449" spans="1:46">
      <c r="A449" s="24">
        <v>46125</v>
      </c>
      <c r="B449" s="23">
        <f t="shared" si="60"/>
        <v>46113</v>
      </c>
      <c r="C449" s="2" t="s">
        <v>66</v>
      </c>
      <c r="D449" s="2" t="s">
        <v>1403</v>
      </c>
      <c r="E449" s="2">
        <v>10060</v>
      </c>
      <c r="F449" s="2">
        <v>165</v>
      </c>
      <c r="G449" s="2">
        <f t="shared" si="68"/>
        <v>32</v>
      </c>
      <c r="H449" s="2">
        <f t="shared" si="69"/>
        <v>32</v>
      </c>
      <c r="I449" s="2">
        <v>0</v>
      </c>
      <c r="J449" s="44" t="s">
        <v>48</v>
      </c>
      <c r="K449" s="2" t="s">
        <v>49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/>
      <c r="AM449" s="2" t="s">
        <v>110</v>
      </c>
      <c r="AN449" s="2">
        <f t="shared" si="61"/>
        <v>0</v>
      </c>
      <c r="AO449" s="2">
        <f t="shared" si="62"/>
        <v>0</v>
      </c>
      <c r="AP449" s="2">
        <f t="shared" si="63"/>
        <v>0</v>
      </c>
      <c r="AQ449" s="2">
        <f t="shared" si="64"/>
        <v>0</v>
      </c>
      <c r="AR449" s="2">
        <f t="shared" si="65"/>
        <v>0</v>
      </c>
      <c r="AS449" s="2">
        <f t="shared" si="66"/>
        <v>0</v>
      </c>
      <c r="AT449" s="25">
        <f t="shared" si="67"/>
        <v>0</v>
      </c>
    </row>
    <row r="450" spans="1:46">
      <c r="A450" s="24">
        <v>46125</v>
      </c>
      <c r="B450" s="23">
        <f t="shared" ref="B450:B513" si="70">EOMONTH(A450,-1)+1</f>
        <v>46113</v>
      </c>
      <c r="C450" s="2" t="s">
        <v>72</v>
      </c>
      <c r="D450" s="2" t="s">
        <v>79</v>
      </c>
      <c r="E450" s="2">
        <v>6265</v>
      </c>
      <c r="F450" s="2">
        <v>77</v>
      </c>
      <c r="G450" s="2">
        <f t="shared" si="68"/>
        <v>20</v>
      </c>
      <c r="H450" s="2">
        <f t="shared" si="69"/>
        <v>20</v>
      </c>
      <c r="I450" s="2">
        <v>0</v>
      </c>
      <c r="J450" s="44" t="s">
        <v>48</v>
      </c>
      <c r="K450" s="2" t="s">
        <v>49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/>
      <c r="AM450" s="2" t="s">
        <v>110</v>
      </c>
      <c r="AN450" s="2">
        <f t="shared" ref="AN450:AN513" si="71">+L450+AI450</f>
        <v>0</v>
      </c>
      <c r="AO450" s="2">
        <f t="shared" ref="AO450:AO513" si="72">+M450+N450+O450+P450+Q450+R450+S450+T450+U450+V450</f>
        <v>0</v>
      </c>
      <c r="AP450" s="2">
        <f t="shared" ref="AP450:AP513" si="73">+AE450+AF450</f>
        <v>0</v>
      </c>
      <c r="AQ450" s="2">
        <f t="shared" ref="AQ450:AQ513" si="74">+AK450+AD450+AC450+AJ450</f>
        <v>0</v>
      </c>
      <c r="AR450" s="2">
        <f t="shared" ref="AR450:AR513" si="75">+W450+X450+Y450+Z450+AA450+AB450</f>
        <v>0</v>
      </c>
      <c r="AS450" s="2">
        <f t="shared" ref="AS450:AS513" si="76">+AG450</f>
        <v>0</v>
      </c>
      <c r="AT450" s="25">
        <f t="shared" ref="AT450:AT513" si="77">+AH450</f>
        <v>0</v>
      </c>
    </row>
    <row r="451" spans="1:46">
      <c r="A451" s="24">
        <v>46125</v>
      </c>
      <c r="B451" s="23">
        <f t="shared" si="70"/>
        <v>46113</v>
      </c>
      <c r="C451" s="2" t="s">
        <v>72</v>
      </c>
      <c r="D451" s="2" t="s">
        <v>79</v>
      </c>
      <c r="E451" s="2">
        <v>6265</v>
      </c>
      <c r="F451" s="2">
        <v>315</v>
      </c>
      <c r="G451" s="2">
        <f t="shared" ref="G451:G514" si="78">IF(F451&lt;1001,IF(F451&gt;500,80,IF(F451&gt;280,50,IF(F451&gt;150,32,IF(F451&lt;51,F451,20)))),125)</f>
        <v>50</v>
      </c>
      <c r="H451" s="2">
        <f t="shared" ref="H451:H514" si="79">G451-I451</f>
        <v>48</v>
      </c>
      <c r="I451" s="2">
        <v>2</v>
      </c>
      <c r="J451" s="44" t="s">
        <v>48</v>
      </c>
      <c r="K451" s="2" t="s">
        <v>49</v>
      </c>
      <c r="L451" s="2">
        <v>1</v>
      </c>
      <c r="M451" s="2">
        <v>0</v>
      </c>
      <c r="N451" s="2">
        <v>1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/>
      <c r="AM451" s="2" t="s">
        <v>110</v>
      </c>
      <c r="AN451" s="2">
        <f t="shared" si="71"/>
        <v>1</v>
      </c>
      <c r="AO451" s="2">
        <f t="shared" si="72"/>
        <v>1</v>
      </c>
      <c r="AP451" s="2">
        <f t="shared" si="73"/>
        <v>0</v>
      </c>
      <c r="AQ451" s="2">
        <f t="shared" si="74"/>
        <v>0</v>
      </c>
      <c r="AR451" s="2">
        <f t="shared" si="75"/>
        <v>0</v>
      </c>
      <c r="AS451" s="2">
        <f t="shared" si="76"/>
        <v>0</v>
      </c>
      <c r="AT451" s="25">
        <f t="shared" si="77"/>
        <v>0</v>
      </c>
    </row>
    <row r="452" spans="1:46">
      <c r="A452" s="24">
        <v>46125</v>
      </c>
      <c r="B452" s="23">
        <f t="shared" si="70"/>
        <v>46113</v>
      </c>
      <c r="C452" s="2" t="s">
        <v>97</v>
      </c>
      <c r="D452" s="2" t="s">
        <v>119</v>
      </c>
      <c r="E452" s="2">
        <v>3308</v>
      </c>
      <c r="F452" s="2">
        <v>240</v>
      </c>
      <c r="G452" s="2">
        <f t="shared" si="78"/>
        <v>32</v>
      </c>
      <c r="H452" s="2">
        <f t="shared" si="79"/>
        <v>30</v>
      </c>
      <c r="I452" s="2">
        <v>2</v>
      </c>
      <c r="J452" s="44" t="s">
        <v>48</v>
      </c>
      <c r="K452" s="2" t="s">
        <v>49</v>
      </c>
      <c r="L452" s="2">
        <v>0</v>
      </c>
      <c r="M452" s="2">
        <v>1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1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/>
      <c r="AM452" s="2" t="s">
        <v>110</v>
      </c>
      <c r="AN452" s="2">
        <f t="shared" si="71"/>
        <v>0</v>
      </c>
      <c r="AO452" s="2">
        <f t="shared" si="72"/>
        <v>2</v>
      </c>
      <c r="AP452" s="2">
        <f t="shared" si="73"/>
        <v>0</v>
      </c>
      <c r="AQ452" s="2">
        <f t="shared" si="74"/>
        <v>0</v>
      </c>
      <c r="AR452" s="2">
        <f t="shared" si="75"/>
        <v>0</v>
      </c>
      <c r="AS452" s="2">
        <f t="shared" si="76"/>
        <v>0</v>
      </c>
      <c r="AT452" s="25">
        <f t="shared" si="77"/>
        <v>0</v>
      </c>
    </row>
    <row r="453" spans="1:46">
      <c r="A453" s="24">
        <v>46125</v>
      </c>
      <c r="B453" s="23">
        <f t="shared" si="70"/>
        <v>46113</v>
      </c>
      <c r="C453" s="2" t="s">
        <v>97</v>
      </c>
      <c r="D453" s="2" t="s">
        <v>1387</v>
      </c>
      <c r="E453" s="2">
        <v>3327</v>
      </c>
      <c r="F453" s="2">
        <v>57</v>
      </c>
      <c r="G453" s="2">
        <f t="shared" si="78"/>
        <v>20</v>
      </c>
      <c r="H453" s="2">
        <f t="shared" si="79"/>
        <v>20</v>
      </c>
      <c r="I453" s="2">
        <v>0</v>
      </c>
      <c r="J453" s="44" t="s">
        <v>48</v>
      </c>
      <c r="K453" s="2" t="s">
        <v>49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/>
      <c r="AM453" s="2" t="s">
        <v>110</v>
      </c>
      <c r="AN453" s="2">
        <f t="shared" si="71"/>
        <v>0</v>
      </c>
      <c r="AO453" s="2">
        <f t="shared" si="72"/>
        <v>0</v>
      </c>
      <c r="AP453" s="2">
        <f t="shared" si="73"/>
        <v>0</v>
      </c>
      <c r="AQ453" s="2">
        <f t="shared" si="74"/>
        <v>0</v>
      </c>
      <c r="AR453" s="2">
        <f t="shared" si="75"/>
        <v>0</v>
      </c>
      <c r="AS453" s="2">
        <f t="shared" si="76"/>
        <v>0</v>
      </c>
      <c r="AT453" s="25">
        <f t="shared" si="77"/>
        <v>0</v>
      </c>
    </row>
    <row r="454" spans="1:46">
      <c r="A454" s="24">
        <v>46125</v>
      </c>
      <c r="B454" s="23">
        <f t="shared" si="70"/>
        <v>46113</v>
      </c>
      <c r="C454" s="2" t="s">
        <v>97</v>
      </c>
      <c r="D454" s="2" t="s">
        <v>280</v>
      </c>
      <c r="E454" s="2">
        <v>3308</v>
      </c>
      <c r="F454" s="2">
        <v>51</v>
      </c>
      <c r="G454" s="2">
        <f t="shared" si="78"/>
        <v>20</v>
      </c>
      <c r="H454" s="2">
        <f t="shared" si="79"/>
        <v>20</v>
      </c>
      <c r="I454" s="2">
        <v>0</v>
      </c>
      <c r="J454" s="44" t="s">
        <v>48</v>
      </c>
      <c r="K454" s="2" t="s">
        <v>49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/>
      <c r="AM454" s="2" t="s">
        <v>110</v>
      </c>
      <c r="AN454" s="2">
        <f t="shared" si="71"/>
        <v>0</v>
      </c>
      <c r="AO454" s="2">
        <f t="shared" si="72"/>
        <v>0</v>
      </c>
      <c r="AP454" s="2">
        <f t="shared" si="73"/>
        <v>0</v>
      </c>
      <c r="AQ454" s="2">
        <f t="shared" si="74"/>
        <v>0</v>
      </c>
      <c r="AR454" s="2">
        <f t="shared" si="75"/>
        <v>0</v>
      </c>
      <c r="AS454" s="2">
        <f t="shared" si="76"/>
        <v>0</v>
      </c>
      <c r="AT454" s="25">
        <f t="shared" si="77"/>
        <v>0</v>
      </c>
    </row>
    <row r="455" spans="1:46">
      <c r="A455" s="24">
        <v>46125</v>
      </c>
      <c r="B455" s="23">
        <f t="shared" si="70"/>
        <v>46113</v>
      </c>
      <c r="C455" s="2" t="s">
        <v>97</v>
      </c>
      <c r="D455" s="2" t="s">
        <v>1309</v>
      </c>
      <c r="E455" s="2">
        <v>3327</v>
      </c>
      <c r="F455" s="2">
        <v>63</v>
      </c>
      <c r="G455" s="2">
        <f t="shared" si="78"/>
        <v>20</v>
      </c>
      <c r="H455" s="2">
        <f t="shared" si="79"/>
        <v>20</v>
      </c>
      <c r="I455" s="2">
        <v>0</v>
      </c>
      <c r="J455" s="44" t="s">
        <v>48</v>
      </c>
      <c r="K455" s="2" t="s">
        <v>49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/>
      <c r="AM455" s="2" t="s">
        <v>110</v>
      </c>
      <c r="AN455" s="2">
        <f t="shared" si="71"/>
        <v>0</v>
      </c>
      <c r="AO455" s="2">
        <f t="shared" si="72"/>
        <v>0</v>
      </c>
      <c r="AP455" s="2">
        <f t="shared" si="73"/>
        <v>0</v>
      </c>
      <c r="AQ455" s="2">
        <f t="shared" si="74"/>
        <v>0</v>
      </c>
      <c r="AR455" s="2">
        <f t="shared" si="75"/>
        <v>0</v>
      </c>
      <c r="AS455" s="2">
        <f t="shared" si="76"/>
        <v>0</v>
      </c>
      <c r="AT455" s="25">
        <f t="shared" si="77"/>
        <v>0</v>
      </c>
    </row>
    <row r="456" spans="1:46">
      <c r="A456" s="24">
        <v>46125</v>
      </c>
      <c r="B456" s="23">
        <f t="shared" si="70"/>
        <v>46113</v>
      </c>
      <c r="C456" s="2" t="s">
        <v>97</v>
      </c>
      <c r="D456" s="2" t="s">
        <v>237</v>
      </c>
      <c r="E456" s="2">
        <v>3308</v>
      </c>
      <c r="F456" s="2">
        <v>94</v>
      </c>
      <c r="G456" s="2">
        <f t="shared" si="78"/>
        <v>20</v>
      </c>
      <c r="H456" s="2">
        <f t="shared" si="79"/>
        <v>20</v>
      </c>
      <c r="I456" s="2">
        <v>0</v>
      </c>
      <c r="J456" s="44" t="s">
        <v>48</v>
      </c>
      <c r="K456" s="2" t="s">
        <v>49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/>
      <c r="AM456" s="2" t="s">
        <v>110</v>
      </c>
      <c r="AN456" s="2">
        <f t="shared" si="71"/>
        <v>0</v>
      </c>
      <c r="AO456" s="2">
        <f t="shared" si="72"/>
        <v>0</v>
      </c>
      <c r="AP456" s="2">
        <f t="shared" si="73"/>
        <v>0</v>
      </c>
      <c r="AQ456" s="2">
        <f t="shared" si="74"/>
        <v>0</v>
      </c>
      <c r="AR456" s="2">
        <f t="shared" si="75"/>
        <v>0</v>
      </c>
      <c r="AS456" s="2">
        <f t="shared" si="76"/>
        <v>0</v>
      </c>
      <c r="AT456" s="25">
        <f t="shared" si="77"/>
        <v>0</v>
      </c>
    </row>
    <row r="457" spans="1:46">
      <c r="A457" s="24">
        <v>46125</v>
      </c>
      <c r="B457" s="23">
        <f t="shared" si="70"/>
        <v>46113</v>
      </c>
      <c r="C457" s="2" t="s">
        <v>95</v>
      </c>
      <c r="D457" s="2" t="s">
        <v>240</v>
      </c>
      <c r="E457" s="2">
        <v>7134</v>
      </c>
      <c r="F457" s="2">
        <v>149</v>
      </c>
      <c r="G457" s="2">
        <f t="shared" si="78"/>
        <v>20</v>
      </c>
      <c r="H457" s="2">
        <f t="shared" si="79"/>
        <v>20</v>
      </c>
      <c r="I457" s="2">
        <v>0</v>
      </c>
      <c r="J457" s="44" t="s">
        <v>48</v>
      </c>
      <c r="K457" s="2" t="s">
        <v>49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/>
      <c r="AM457" s="2" t="s">
        <v>1566</v>
      </c>
      <c r="AN457" s="2">
        <f t="shared" si="71"/>
        <v>0</v>
      </c>
      <c r="AO457" s="2">
        <f t="shared" si="72"/>
        <v>0</v>
      </c>
      <c r="AP457" s="2">
        <f t="shared" si="73"/>
        <v>0</v>
      </c>
      <c r="AQ457" s="2">
        <f t="shared" si="74"/>
        <v>0</v>
      </c>
      <c r="AR457" s="2">
        <f t="shared" si="75"/>
        <v>0</v>
      </c>
      <c r="AS457" s="2">
        <f t="shared" si="76"/>
        <v>0</v>
      </c>
      <c r="AT457" s="25">
        <f t="shared" si="77"/>
        <v>0</v>
      </c>
    </row>
    <row r="458" spans="1:46">
      <c r="A458" s="24">
        <v>46125</v>
      </c>
      <c r="B458" s="23">
        <f t="shared" si="70"/>
        <v>46113</v>
      </c>
      <c r="C458" s="2" t="s">
        <v>46</v>
      </c>
      <c r="D458" s="2" t="s">
        <v>294</v>
      </c>
      <c r="E458" s="2">
        <v>2781</v>
      </c>
      <c r="F458" s="2">
        <v>430</v>
      </c>
      <c r="G458" s="2">
        <f t="shared" si="78"/>
        <v>50</v>
      </c>
      <c r="H458" s="2">
        <f t="shared" si="79"/>
        <v>50</v>
      </c>
      <c r="I458" s="2">
        <v>0</v>
      </c>
      <c r="J458" s="44" t="s">
        <v>48</v>
      </c>
      <c r="K458" s="2" t="s">
        <v>49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/>
      <c r="AM458" s="2" t="s">
        <v>1566</v>
      </c>
      <c r="AN458" s="2">
        <f t="shared" si="71"/>
        <v>0</v>
      </c>
      <c r="AO458" s="2">
        <f t="shared" si="72"/>
        <v>0</v>
      </c>
      <c r="AP458" s="2">
        <f t="shared" si="73"/>
        <v>0</v>
      </c>
      <c r="AQ458" s="2">
        <f t="shared" si="74"/>
        <v>0</v>
      </c>
      <c r="AR458" s="2">
        <f t="shared" si="75"/>
        <v>0</v>
      </c>
      <c r="AS458" s="2">
        <f t="shared" si="76"/>
        <v>0</v>
      </c>
      <c r="AT458" s="25">
        <f t="shared" si="77"/>
        <v>0</v>
      </c>
    </row>
    <row r="459" spans="1:46">
      <c r="A459" s="24">
        <v>46125</v>
      </c>
      <c r="B459" s="23">
        <f t="shared" si="70"/>
        <v>46113</v>
      </c>
      <c r="C459" s="2" t="s">
        <v>55</v>
      </c>
      <c r="D459" s="2" t="s">
        <v>323</v>
      </c>
      <c r="E459" s="2">
        <v>6265</v>
      </c>
      <c r="F459" s="2">
        <v>280</v>
      </c>
      <c r="G459" s="2">
        <f t="shared" si="78"/>
        <v>32</v>
      </c>
      <c r="H459" s="2">
        <f t="shared" si="79"/>
        <v>32</v>
      </c>
      <c r="I459" s="2">
        <v>0</v>
      </c>
      <c r="J459" s="44" t="s">
        <v>48</v>
      </c>
      <c r="K459" s="2" t="s">
        <v>49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/>
      <c r="AM459" s="2" t="s">
        <v>1566</v>
      </c>
      <c r="AN459" s="2">
        <f t="shared" si="71"/>
        <v>0</v>
      </c>
      <c r="AO459" s="2">
        <f t="shared" si="72"/>
        <v>0</v>
      </c>
      <c r="AP459" s="2">
        <f t="shared" si="73"/>
        <v>0</v>
      </c>
      <c r="AQ459" s="2">
        <f t="shared" si="74"/>
        <v>0</v>
      </c>
      <c r="AR459" s="2">
        <f t="shared" si="75"/>
        <v>0</v>
      </c>
      <c r="AS459" s="2">
        <f t="shared" si="76"/>
        <v>0</v>
      </c>
      <c r="AT459" s="25">
        <f t="shared" si="77"/>
        <v>0</v>
      </c>
    </row>
    <row r="460" spans="1:46">
      <c r="A460" s="24">
        <v>46125</v>
      </c>
      <c r="B460" s="23">
        <f t="shared" si="70"/>
        <v>46113</v>
      </c>
      <c r="C460" s="2" t="s">
        <v>55</v>
      </c>
      <c r="D460" s="2" t="s">
        <v>209</v>
      </c>
      <c r="E460" s="2">
        <v>2712</v>
      </c>
      <c r="F460" s="2">
        <v>92</v>
      </c>
      <c r="G460" s="2">
        <f t="shared" si="78"/>
        <v>20</v>
      </c>
      <c r="H460" s="2">
        <f t="shared" si="79"/>
        <v>20</v>
      </c>
      <c r="I460" s="2">
        <v>0</v>
      </c>
      <c r="J460" s="44" t="s">
        <v>48</v>
      </c>
      <c r="K460" s="2" t="s">
        <v>49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/>
      <c r="AM460" s="2" t="s">
        <v>1566</v>
      </c>
      <c r="AN460" s="2">
        <f t="shared" si="71"/>
        <v>0</v>
      </c>
      <c r="AO460" s="2">
        <f t="shared" si="72"/>
        <v>0</v>
      </c>
      <c r="AP460" s="2">
        <f t="shared" si="73"/>
        <v>0</v>
      </c>
      <c r="AQ460" s="2">
        <f t="shared" si="74"/>
        <v>0</v>
      </c>
      <c r="AR460" s="2">
        <f t="shared" si="75"/>
        <v>0</v>
      </c>
      <c r="AS460" s="2">
        <f t="shared" si="76"/>
        <v>0</v>
      </c>
      <c r="AT460" s="25">
        <f t="shared" si="77"/>
        <v>0</v>
      </c>
    </row>
    <row r="461" spans="1:46">
      <c r="A461" s="24">
        <v>46125</v>
      </c>
      <c r="B461" s="23">
        <f t="shared" si="70"/>
        <v>46113</v>
      </c>
      <c r="C461" s="2" t="s">
        <v>55</v>
      </c>
      <c r="D461" s="2" t="s">
        <v>183</v>
      </c>
      <c r="E461" s="2">
        <v>1729</v>
      </c>
      <c r="F461" s="2">
        <v>96</v>
      </c>
      <c r="G461" s="2">
        <f t="shared" si="78"/>
        <v>20</v>
      </c>
      <c r="H461" s="2">
        <f t="shared" si="79"/>
        <v>19</v>
      </c>
      <c r="I461" s="2">
        <v>1</v>
      </c>
      <c r="J461" s="44" t="s">
        <v>48</v>
      </c>
      <c r="K461" s="2" t="s">
        <v>49</v>
      </c>
      <c r="L461" s="2">
        <v>1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/>
      <c r="AM461" s="2" t="s">
        <v>1566</v>
      </c>
      <c r="AN461" s="2">
        <f t="shared" si="71"/>
        <v>1</v>
      </c>
      <c r="AO461" s="2">
        <f t="shared" si="72"/>
        <v>0</v>
      </c>
      <c r="AP461" s="2">
        <f t="shared" si="73"/>
        <v>0</v>
      </c>
      <c r="AQ461" s="2">
        <f t="shared" si="74"/>
        <v>0</v>
      </c>
      <c r="AR461" s="2">
        <f t="shared" si="75"/>
        <v>0</v>
      </c>
      <c r="AS461" s="2">
        <f t="shared" si="76"/>
        <v>0</v>
      </c>
      <c r="AT461" s="25">
        <f t="shared" si="77"/>
        <v>0</v>
      </c>
    </row>
    <row r="462" spans="1:46">
      <c r="A462" s="24">
        <v>46125</v>
      </c>
      <c r="B462" s="23">
        <f t="shared" si="70"/>
        <v>46113</v>
      </c>
      <c r="C462" s="2" t="s">
        <v>55</v>
      </c>
      <c r="D462" s="2" t="s">
        <v>59</v>
      </c>
      <c r="E462" s="2">
        <v>1775</v>
      </c>
      <c r="F462" s="2">
        <v>140</v>
      </c>
      <c r="G462" s="2">
        <f t="shared" si="78"/>
        <v>20</v>
      </c>
      <c r="H462" s="2">
        <f t="shared" si="79"/>
        <v>20</v>
      </c>
      <c r="I462" s="2">
        <v>0</v>
      </c>
      <c r="J462" s="44" t="s">
        <v>48</v>
      </c>
      <c r="K462" s="2" t="s">
        <v>49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/>
      <c r="AM462" s="2" t="s">
        <v>1566</v>
      </c>
      <c r="AN462" s="2">
        <f t="shared" si="71"/>
        <v>0</v>
      </c>
      <c r="AO462" s="2">
        <f t="shared" si="72"/>
        <v>0</v>
      </c>
      <c r="AP462" s="2">
        <f t="shared" si="73"/>
        <v>0</v>
      </c>
      <c r="AQ462" s="2">
        <f t="shared" si="74"/>
        <v>0</v>
      </c>
      <c r="AR462" s="2">
        <f t="shared" si="75"/>
        <v>0</v>
      </c>
      <c r="AS462" s="2">
        <f t="shared" si="76"/>
        <v>0</v>
      </c>
      <c r="AT462" s="25">
        <f t="shared" si="77"/>
        <v>0</v>
      </c>
    </row>
    <row r="463" spans="1:46">
      <c r="A463" s="24">
        <v>46125</v>
      </c>
      <c r="B463" s="23">
        <f t="shared" si="70"/>
        <v>46113</v>
      </c>
      <c r="C463" s="2" t="s">
        <v>55</v>
      </c>
      <c r="D463" s="2" t="s">
        <v>198</v>
      </c>
      <c r="E463" s="2">
        <v>1729</v>
      </c>
      <c r="F463" s="2">
        <v>74</v>
      </c>
      <c r="G463" s="2">
        <f t="shared" si="78"/>
        <v>20</v>
      </c>
      <c r="H463" s="2">
        <f t="shared" si="79"/>
        <v>19</v>
      </c>
      <c r="I463" s="2">
        <v>1</v>
      </c>
      <c r="J463" s="44" t="s">
        <v>48</v>
      </c>
      <c r="K463" s="2" t="s">
        <v>49</v>
      </c>
      <c r="L463" s="2">
        <v>1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/>
      <c r="AM463" s="2" t="s">
        <v>1566</v>
      </c>
      <c r="AN463" s="2">
        <f t="shared" si="71"/>
        <v>1</v>
      </c>
      <c r="AO463" s="2">
        <f t="shared" si="72"/>
        <v>0</v>
      </c>
      <c r="AP463" s="2">
        <f t="shared" si="73"/>
        <v>0</v>
      </c>
      <c r="AQ463" s="2">
        <f t="shared" si="74"/>
        <v>0</v>
      </c>
      <c r="AR463" s="2">
        <f t="shared" si="75"/>
        <v>0</v>
      </c>
      <c r="AS463" s="2">
        <f t="shared" si="76"/>
        <v>0</v>
      </c>
      <c r="AT463" s="25">
        <f t="shared" si="77"/>
        <v>0</v>
      </c>
    </row>
    <row r="464" spans="1:46">
      <c r="A464" s="24">
        <v>46125</v>
      </c>
      <c r="B464" s="23">
        <f t="shared" si="70"/>
        <v>46113</v>
      </c>
      <c r="C464" s="2" t="s">
        <v>55</v>
      </c>
      <c r="D464" s="2" t="s">
        <v>154</v>
      </c>
      <c r="E464" s="2">
        <v>1729</v>
      </c>
      <c r="F464" s="2">
        <v>82</v>
      </c>
      <c r="G464" s="2">
        <f t="shared" si="78"/>
        <v>20</v>
      </c>
      <c r="H464" s="2">
        <f t="shared" si="79"/>
        <v>19</v>
      </c>
      <c r="I464" s="2">
        <v>1</v>
      </c>
      <c r="J464" s="44" t="s">
        <v>48</v>
      </c>
      <c r="K464" s="2" t="s">
        <v>49</v>
      </c>
      <c r="L464" s="2">
        <v>1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/>
      <c r="AM464" s="2" t="s">
        <v>1566</v>
      </c>
      <c r="AN464" s="2">
        <f t="shared" si="71"/>
        <v>1</v>
      </c>
      <c r="AO464" s="2">
        <f t="shared" si="72"/>
        <v>0</v>
      </c>
      <c r="AP464" s="2">
        <f t="shared" si="73"/>
        <v>0</v>
      </c>
      <c r="AQ464" s="2">
        <f t="shared" si="74"/>
        <v>0</v>
      </c>
      <c r="AR464" s="2">
        <f t="shared" si="75"/>
        <v>0</v>
      </c>
      <c r="AS464" s="2">
        <f t="shared" si="76"/>
        <v>0</v>
      </c>
      <c r="AT464" s="25">
        <f t="shared" si="77"/>
        <v>0</v>
      </c>
    </row>
    <row r="465" spans="1:46">
      <c r="A465" s="24">
        <v>46125</v>
      </c>
      <c r="B465" s="23">
        <f t="shared" si="70"/>
        <v>46113</v>
      </c>
      <c r="C465" s="2" t="s">
        <v>55</v>
      </c>
      <c r="D465" s="2" t="s">
        <v>1412</v>
      </c>
      <c r="E465" s="2">
        <v>1578</v>
      </c>
      <c r="F465" s="2">
        <v>218</v>
      </c>
      <c r="G465" s="2">
        <f t="shared" si="78"/>
        <v>32</v>
      </c>
      <c r="H465" s="2">
        <f t="shared" si="79"/>
        <v>32</v>
      </c>
      <c r="I465" s="2">
        <v>0</v>
      </c>
      <c r="J465" s="44" t="s">
        <v>48</v>
      </c>
      <c r="K465" s="2" t="s">
        <v>49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/>
      <c r="AM465" s="2" t="s">
        <v>1566</v>
      </c>
      <c r="AN465" s="2">
        <f t="shared" si="71"/>
        <v>0</v>
      </c>
      <c r="AO465" s="2">
        <f t="shared" si="72"/>
        <v>0</v>
      </c>
      <c r="AP465" s="2">
        <f t="shared" si="73"/>
        <v>0</v>
      </c>
      <c r="AQ465" s="2">
        <f t="shared" si="74"/>
        <v>0</v>
      </c>
      <c r="AR465" s="2">
        <f t="shared" si="75"/>
        <v>0</v>
      </c>
      <c r="AS465" s="2">
        <f t="shared" si="76"/>
        <v>0</v>
      </c>
      <c r="AT465" s="25">
        <f t="shared" si="77"/>
        <v>0</v>
      </c>
    </row>
    <row r="466" spans="1:46">
      <c r="A466" s="24">
        <v>46125</v>
      </c>
      <c r="B466" s="23">
        <f t="shared" si="70"/>
        <v>46113</v>
      </c>
      <c r="C466" s="2" t="s">
        <v>95</v>
      </c>
      <c r="D466" s="2" t="s">
        <v>1415</v>
      </c>
      <c r="E466" s="2">
        <v>6207</v>
      </c>
      <c r="F466" s="2">
        <v>78</v>
      </c>
      <c r="G466" s="2">
        <f t="shared" si="78"/>
        <v>20</v>
      </c>
      <c r="H466" s="2">
        <f t="shared" si="79"/>
        <v>19</v>
      </c>
      <c r="I466" s="2">
        <v>1</v>
      </c>
      <c r="J466" s="44" t="s">
        <v>48</v>
      </c>
      <c r="K466" s="2" t="s">
        <v>49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1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/>
      <c r="AM466" s="2" t="s">
        <v>99</v>
      </c>
      <c r="AN466" s="2">
        <f t="shared" si="71"/>
        <v>0</v>
      </c>
      <c r="AO466" s="2">
        <f t="shared" si="72"/>
        <v>1</v>
      </c>
      <c r="AP466" s="2">
        <f t="shared" si="73"/>
        <v>0</v>
      </c>
      <c r="AQ466" s="2">
        <f t="shared" si="74"/>
        <v>0</v>
      </c>
      <c r="AR466" s="2">
        <f t="shared" si="75"/>
        <v>0</v>
      </c>
      <c r="AS466" s="2">
        <f t="shared" si="76"/>
        <v>0</v>
      </c>
      <c r="AT466" s="25">
        <f t="shared" si="77"/>
        <v>0</v>
      </c>
    </row>
    <row r="467" spans="1:46">
      <c r="A467" s="24">
        <v>46127</v>
      </c>
      <c r="B467" s="23">
        <f t="shared" si="70"/>
        <v>46113</v>
      </c>
      <c r="C467" s="2" t="s">
        <v>46</v>
      </c>
      <c r="D467" s="2" t="s">
        <v>320</v>
      </c>
      <c r="E467" s="2">
        <v>2781</v>
      </c>
      <c r="F467" s="2">
        <v>104</v>
      </c>
      <c r="G467" s="2">
        <f t="shared" si="78"/>
        <v>20</v>
      </c>
      <c r="H467" s="2">
        <f t="shared" si="79"/>
        <v>20</v>
      </c>
      <c r="I467" s="2">
        <v>0</v>
      </c>
      <c r="J467" s="44" t="s">
        <v>48</v>
      </c>
      <c r="K467" s="2" t="s">
        <v>49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/>
      <c r="AM467" s="2" t="s">
        <v>80</v>
      </c>
      <c r="AN467" s="2">
        <f t="shared" si="71"/>
        <v>0</v>
      </c>
      <c r="AO467" s="2">
        <f t="shared" si="72"/>
        <v>0</v>
      </c>
      <c r="AP467" s="2">
        <f t="shared" si="73"/>
        <v>0</v>
      </c>
      <c r="AQ467" s="2">
        <f t="shared" si="74"/>
        <v>0</v>
      </c>
      <c r="AR467" s="2">
        <f t="shared" si="75"/>
        <v>0</v>
      </c>
      <c r="AS467" s="2">
        <f t="shared" si="76"/>
        <v>0</v>
      </c>
      <c r="AT467" s="25">
        <f t="shared" si="77"/>
        <v>0</v>
      </c>
    </row>
    <row r="468" spans="1:46">
      <c r="A468" s="24">
        <v>46127</v>
      </c>
      <c r="B468" s="23">
        <f t="shared" si="70"/>
        <v>46113</v>
      </c>
      <c r="C468" s="2" t="s">
        <v>46</v>
      </c>
      <c r="D468" s="2" t="s">
        <v>1542</v>
      </c>
      <c r="E468" s="2">
        <v>6285</v>
      </c>
      <c r="F468" s="2">
        <v>203</v>
      </c>
      <c r="G468" s="2">
        <f t="shared" si="78"/>
        <v>32</v>
      </c>
      <c r="H468" s="2">
        <f t="shared" si="79"/>
        <v>31</v>
      </c>
      <c r="I468" s="2">
        <v>1</v>
      </c>
      <c r="J468" s="44" t="s">
        <v>48</v>
      </c>
      <c r="K468" s="2" t="s">
        <v>49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1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/>
      <c r="AM468" s="2" t="s">
        <v>80</v>
      </c>
      <c r="AN468" s="2">
        <f t="shared" si="71"/>
        <v>0</v>
      </c>
      <c r="AO468" s="2">
        <f t="shared" si="72"/>
        <v>1</v>
      </c>
      <c r="AP468" s="2">
        <f t="shared" si="73"/>
        <v>0</v>
      </c>
      <c r="AQ468" s="2">
        <f t="shared" si="74"/>
        <v>0</v>
      </c>
      <c r="AR468" s="2">
        <f t="shared" si="75"/>
        <v>0</v>
      </c>
      <c r="AS468" s="2">
        <f t="shared" si="76"/>
        <v>0</v>
      </c>
      <c r="AT468" s="25">
        <f t="shared" si="77"/>
        <v>0</v>
      </c>
    </row>
    <row r="469" spans="1:46">
      <c r="A469" s="24">
        <v>46127</v>
      </c>
      <c r="B469" s="23">
        <f t="shared" si="70"/>
        <v>46113</v>
      </c>
      <c r="C469" s="2" t="s">
        <v>95</v>
      </c>
      <c r="D469" s="2" t="s">
        <v>273</v>
      </c>
      <c r="E469" s="2">
        <v>1802</v>
      </c>
      <c r="F469" s="2">
        <v>273</v>
      </c>
      <c r="G469" s="2">
        <f t="shared" si="78"/>
        <v>32</v>
      </c>
      <c r="H469" s="2">
        <f t="shared" si="79"/>
        <v>32</v>
      </c>
      <c r="I469" s="2">
        <v>0</v>
      </c>
      <c r="J469" s="44" t="s">
        <v>48</v>
      </c>
      <c r="K469" s="2" t="s">
        <v>49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/>
      <c r="AM469" s="2" t="s">
        <v>110</v>
      </c>
      <c r="AN469" s="2">
        <f t="shared" si="71"/>
        <v>0</v>
      </c>
      <c r="AO469" s="2">
        <f t="shared" si="72"/>
        <v>0</v>
      </c>
      <c r="AP469" s="2">
        <f t="shared" si="73"/>
        <v>0</v>
      </c>
      <c r="AQ469" s="2">
        <f t="shared" si="74"/>
        <v>0</v>
      </c>
      <c r="AR469" s="2">
        <f t="shared" si="75"/>
        <v>0</v>
      </c>
      <c r="AS469" s="2">
        <f t="shared" si="76"/>
        <v>0</v>
      </c>
      <c r="AT469" s="25">
        <f t="shared" si="77"/>
        <v>0</v>
      </c>
    </row>
    <row r="470" spans="1:46">
      <c r="A470" s="24">
        <v>46127</v>
      </c>
      <c r="B470" s="23">
        <f t="shared" si="70"/>
        <v>46113</v>
      </c>
      <c r="C470" s="2" t="s">
        <v>66</v>
      </c>
      <c r="D470" s="2" t="s">
        <v>312</v>
      </c>
      <c r="E470" s="2">
        <v>2345</v>
      </c>
      <c r="F470" s="2">
        <v>101</v>
      </c>
      <c r="G470" s="2">
        <f t="shared" si="78"/>
        <v>20</v>
      </c>
      <c r="H470" s="2">
        <f t="shared" si="79"/>
        <v>17</v>
      </c>
      <c r="I470" s="2">
        <v>3</v>
      </c>
      <c r="J470" s="44" t="s">
        <v>67</v>
      </c>
      <c r="K470" s="2" t="s">
        <v>49</v>
      </c>
      <c r="L470" s="2">
        <v>1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2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/>
      <c r="AM470" s="2" t="s">
        <v>110</v>
      </c>
      <c r="AN470" s="2">
        <f t="shared" si="71"/>
        <v>1</v>
      </c>
      <c r="AO470" s="2">
        <f t="shared" si="72"/>
        <v>2</v>
      </c>
      <c r="AP470" s="2">
        <f t="shared" si="73"/>
        <v>0</v>
      </c>
      <c r="AQ470" s="2">
        <f t="shared" si="74"/>
        <v>0</v>
      </c>
      <c r="AR470" s="2">
        <f t="shared" si="75"/>
        <v>0</v>
      </c>
      <c r="AS470" s="2">
        <f t="shared" si="76"/>
        <v>0</v>
      </c>
      <c r="AT470" s="25">
        <f t="shared" si="77"/>
        <v>0</v>
      </c>
    </row>
    <row r="471" spans="1:46">
      <c r="A471" s="24">
        <v>46127</v>
      </c>
      <c r="B471" s="23">
        <f t="shared" si="70"/>
        <v>46113</v>
      </c>
      <c r="C471" s="2" t="s">
        <v>97</v>
      </c>
      <c r="D471" s="2" t="s">
        <v>340</v>
      </c>
      <c r="E471" s="2">
        <v>3292</v>
      </c>
      <c r="F471" s="2">
        <v>229</v>
      </c>
      <c r="G471" s="2">
        <f t="shared" si="78"/>
        <v>32</v>
      </c>
      <c r="H471" s="2">
        <f t="shared" si="79"/>
        <v>32</v>
      </c>
      <c r="I471" s="2">
        <v>0</v>
      </c>
      <c r="J471" s="44" t="s">
        <v>48</v>
      </c>
      <c r="K471" s="2" t="s">
        <v>49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/>
      <c r="AM471" s="2" t="s">
        <v>110</v>
      </c>
      <c r="AN471" s="2">
        <f t="shared" si="71"/>
        <v>0</v>
      </c>
      <c r="AO471" s="2">
        <f t="shared" si="72"/>
        <v>0</v>
      </c>
      <c r="AP471" s="2">
        <f t="shared" si="73"/>
        <v>0</v>
      </c>
      <c r="AQ471" s="2">
        <f t="shared" si="74"/>
        <v>0</v>
      </c>
      <c r="AR471" s="2">
        <f t="shared" si="75"/>
        <v>0</v>
      </c>
      <c r="AS471" s="2">
        <f t="shared" si="76"/>
        <v>0</v>
      </c>
      <c r="AT471" s="25">
        <f t="shared" si="77"/>
        <v>0</v>
      </c>
    </row>
    <row r="472" spans="1:46">
      <c r="A472" s="24">
        <v>46127</v>
      </c>
      <c r="B472" s="23">
        <f t="shared" si="70"/>
        <v>46113</v>
      </c>
      <c r="C472" s="2" t="s">
        <v>66</v>
      </c>
      <c r="D472" s="2" t="s">
        <v>191</v>
      </c>
      <c r="E472" s="2">
        <v>1899</v>
      </c>
      <c r="F472" s="2">
        <v>557</v>
      </c>
      <c r="G472" s="2">
        <f t="shared" si="78"/>
        <v>80</v>
      </c>
      <c r="H472" s="2">
        <f t="shared" si="79"/>
        <v>76</v>
      </c>
      <c r="I472" s="2">
        <v>4</v>
      </c>
      <c r="J472" s="44" t="s">
        <v>48</v>
      </c>
      <c r="K472" s="2" t="s">
        <v>49</v>
      </c>
      <c r="L472" s="2">
        <v>0</v>
      </c>
      <c r="M472" s="2">
        <v>0</v>
      </c>
      <c r="N472" s="2">
        <v>3</v>
      </c>
      <c r="O472" s="2">
        <v>0</v>
      </c>
      <c r="P472" s="2">
        <v>0</v>
      </c>
      <c r="Q472" s="2">
        <v>1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/>
      <c r="AM472" s="2" t="s">
        <v>110</v>
      </c>
      <c r="AN472" s="2">
        <f t="shared" si="71"/>
        <v>0</v>
      </c>
      <c r="AO472" s="2">
        <f t="shared" si="72"/>
        <v>4</v>
      </c>
      <c r="AP472" s="2">
        <f t="shared" si="73"/>
        <v>0</v>
      </c>
      <c r="AQ472" s="2">
        <f t="shared" si="74"/>
        <v>0</v>
      </c>
      <c r="AR472" s="2">
        <f t="shared" si="75"/>
        <v>0</v>
      </c>
      <c r="AS472" s="2">
        <f t="shared" si="76"/>
        <v>0</v>
      </c>
      <c r="AT472" s="25">
        <f t="shared" si="77"/>
        <v>0</v>
      </c>
    </row>
    <row r="473" spans="1:46">
      <c r="A473" s="24">
        <v>46127</v>
      </c>
      <c r="B473" s="23">
        <f t="shared" si="70"/>
        <v>46113</v>
      </c>
      <c r="C473" s="2" t="s">
        <v>66</v>
      </c>
      <c r="D473" s="2" t="s">
        <v>123</v>
      </c>
      <c r="E473" s="2">
        <v>1866</v>
      </c>
      <c r="F473" s="2">
        <v>162</v>
      </c>
      <c r="G473" s="2">
        <f t="shared" si="78"/>
        <v>32</v>
      </c>
      <c r="H473" s="2">
        <f t="shared" si="79"/>
        <v>28</v>
      </c>
      <c r="I473" s="2">
        <v>4</v>
      </c>
      <c r="J473" s="44" t="s">
        <v>67</v>
      </c>
      <c r="K473" s="2" t="s">
        <v>49</v>
      </c>
      <c r="L473" s="2">
        <v>2</v>
      </c>
      <c r="M473" s="2">
        <v>2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/>
      <c r="AM473" s="2" t="s">
        <v>110</v>
      </c>
      <c r="AN473" s="2">
        <f t="shared" si="71"/>
        <v>2</v>
      </c>
      <c r="AO473" s="2">
        <f t="shared" si="72"/>
        <v>2</v>
      </c>
      <c r="AP473" s="2">
        <f t="shared" si="73"/>
        <v>0</v>
      </c>
      <c r="AQ473" s="2">
        <f t="shared" si="74"/>
        <v>0</v>
      </c>
      <c r="AR473" s="2">
        <f t="shared" si="75"/>
        <v>0</v>
      </c>
      <c r="AS473" s="2">
        <f t="shared" si="76"/>
        <v>0</v>
      </c>
      <c r="AT473" s="25">
        <f t="shared" si="77"/>
        <v>0</v>
      </c>
    </row>
    <row r="474" spans="1:46">
      <c r="A474" s="24">
        <v>46127</v>
      </c>
      <c r="B474" s="23">
        <f t="shared" si="70"/>
        <v>46113</v>
      </c>
      <c r="C474" s="2" t="s">
        <v>66</v>
      </c>
      <c r="D474" s="2" t="s">
        <v>102</v>
      </c>
      <c r="E474" s="2">
        <v>3220</v>
      </c>
      <c r="F474" s="2">
        <v>225</v>
      </c>
      <c r="G474" s="2">
        <f t="shared" si="78"/>
        <v>32</v>
      </c>
      <c r="H474" s="2">
        <f t="shared" si="79"/>
        <v>30</v>
      </c>
      <c r="I474" s="2">
        <v>2</v>
      </c>
      <c r="J474" s="44" t="s">
        <v>48</v>
      </c>
      <c r="K474" s="2" t="s">
        <v>49</v>
      </c>
      <c r="L474" s="2">
        <v>1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1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/>
      <c r="AM474" s="2" t="s">
        <v>110</v>
      </c>
      <c r="AN474" s="2">
        <f t="shared" si="71"/>
        <v>1</v>
      </c>
      <c r="AO474" s="2">
        <f t="shared" si="72"/>
        <v>1</v>
      </c>
      <c r="AP474" s="2">
        <f t="shared" si="73"/>
        <v>0</v>
      </c>
      <c r="AQ474" s="2">
        <f t="shared" si="74"/>
        <v>0</v>
      </c>
      <c r="AR474" s="2">
        <f t="shared" si="75"/>
        <v>0</v>
      </c>
      <c r="AS474" s="2">
        <f t="shared" si="76"/>
        <v>0</v>
      </c>
      <c r="AT474" s="25">
        <f t="shared" si="77"/>
        <v>0</v>
      </c>
    </row>
    <row r="475" spans="1:46">
      <c r="A475" s="24">
        <v>46127</v>
      </c>
      <c r="B475" s="23">
        <f t="shared" si="70"/>
        <v>46113</v>
      </c>
      <c r="C475" s="2" t="s">
        <v>66</v>
      </c>
      <c r="D475" s="2" t="s">
        <v>312</v>
      </c>
      <c r="E475" s="2">
        <v>2345</v>
      </c>
      <c r="F475" s="2">
        <v>80</v>
      </c>
      <c r="G475" s="2">
        <f t="shared" si="78"/>
        <v>20</v>
      </c>
      <c r="H475" s="2">
        <f t="shared" si="79"/>
        <v>20</v>
      </c>
      <c r="I475" s="2">
        <v>0</v>
      </c>
      <c r="J475" s="44" t="s">
        <v>48</v>
      </c>
      <c r="K475" s="2" t="s">
        <v>49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/>
      <c r="AM475" s="2" t="s">
        <v>110</v>
      </c>
      <c r="AN475" s="2">
        <f t="shared" si="71"/>
        <v>0</v>
      </c>
      <c r="AO475" s="2">
        <f t="shared" si="72"/>
        <v>0</v>
      </c>
      <c r="AP475" s="2">
        <f t="shared" si="73"/>
        <v>0</v>
      </c>
      <c r="AQ475" s="2">
        <f t="shared" si="74"/>
        <v>0</v>
      </c>
      <c r="AR475" s="2">
        <f t="shared" si="75"/>
        <v>0</v>
      </c>
      <c r="AS475" s="2">
        <f t="shared" si="76"/>
        <v>0</v>
      </c>
      <c r="AT475" s="25">
        <f t="shared" si="77"/>
        <v>0</v>
      </c>
    </row>
    <row r="476" spans="1:46">
      <c r="A476" s="24">
        <v>46127</v>
      </c>
      <c r="B476" s="23">
        <f t="shared" si="70"/>
        <v>46113</v>
      </c>
      <c r="C476" s="2" t="s">
        <v>66</v>
      </c>
      <c r="D476" s="2" t="s">
        <v>312</v>
      </c>
      <c r="E476" s="2">
        <v>2345</v>
      </c>
      <c r="F476" s="2">
        <v>150</v>
      </c>
      <c r="G476" s="2">
        <f t="shared" si="78"/>
        <v>20</v>
      </c>
      <c r="H476" s="2">
        <f t="shared" si="79"/>
        <v>20</v>
      </c>
      <c r="I476" s="2">
        <v>0</v>
      </c>
      <c r="J476" s="44" t="s">
        <v>48</v>
      </c>
      <c r="K476" s="2" t="s">
        <v>49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/>
      <c r="AM476" s="2" t="s">
        <v>110</v>
      </c>
      <c r="AN476" s="2">
        <f t="shared" si="71"/>
        <v>0</v>
      </c>
      <c r="AO476" s="2">
        <f t="shared" si="72"/>
        <v>0</v>
      </c>
      <c r="AP476" s="2">
        <f t="shared" si="73"/>
        <v>0</v>
      </c>
      <c r="AQ476" s="2">
        <f t="shared" si="74"/>
        <v>0</v>
      </c>
      <c r="AR476" s="2">
        <f t="shared" si="75"/>
        <v>0</v>
      </c>
      <c r="AS476" s="2">
        <f t="shared" si="76"/>
        <v>0</v>
      </c>
      <c r="AT476" s="25">
        <f t="shared" si="77"/>
        <v>0</v>
      </c>
    </row>
    <row r="477" spans="1:46">
      <c r="A477" s="24">
        <v>46127</v>
      </c>
      <c r="B477" s="23">
        <f t="shared" si="70"/>
        <v>46113</v>
      </c>
      <c r="C477" s="2" t="s">
        <v>66</v>
      </c>
      <c r="D477" s="2" t="s">
        <v>123</v>
      </c>
      <c r="E477" s="2">
        <v>1866</v>
      </c>
      <c r="F477" s="2">
        <v>135</v>
      </c>
      <c r="G477" s="2">
        <f t="shared" si="78"/>
        <v>20</v>
      </c>
      <c r="H477" s="2">
        <f t="shared" si="79"/>
        <v>20</v>
      </c>
      <c r="I477" s="2">
        <v>0</v>
      </c>
      <c r="J477" s="44" t="s">
        <v>48</v>
      </c>
      <c r="K477" s="2" t="s">
        <v>49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/>
      <c r="AM477" s="2" t="s">
        <v>110</v>
      </c>
      <c r="AN477" s="2">
        <f t="shared" si="71"/>
        <v>0</v>
      </c>
      <c r="AO477" s="2">
        <f t="shared" si="72"/>
        <v>0</v>
      </c>
      <c r="AP477" s="2">
        <f t="shared" si="73"/>
        <v>0</v>
      </c>
      <c r="AQ477" s="2">
        <f t="shared" si="74"/>
        <v>0</v>
      </c>
      <c r="AR477" s="2">
        <f t="shared" si="75"/>
        <v>0</v>
      </c>
      <c r="AS477" s="2">
        <f t="shared" si="76"/>
        <v>0</v>
      </c>
      <c r="AT477" s="25">
        <f t="shared" si="77"/>
        <v>0</v>
      </c>
    </row>
    <row r="478" spans="1:46">
      <c r="A478" s="24">
        <v>46127</v>
      </c>
      <c r="B478" s="23">
        <f t="shared" si="70"/>
        <v>46113</v>
      </c>
      <c r="C478" s="2" t="s">
        <v>46</v>
      </c>
      <c r="D478" s="2" t="s">
        <v>89</v>
      </c>
      <c r="E478" s="2">
        <v>8141</v>
      </c>
      <c r="F478" s="2">
        <v>454</v>
      </c>
      <c r="G478" s="2">
        <f t="shared" si="78"/>
        <v>50</v>
      </c>
      <c r="H478" s="2">
        <f t="shared" si="79"/>
        <v>50</v>
      </c>
      <c r="I478" s="2">
        <v>0</v>
      </c>
      <c r="J478" s="44" t="s">
        <v>48</v>
      </c>
      <c r="K478" s="2" t="s">
        <v>49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/>
      <c r="AM478" s="2" t="s">
        <v>110</v>
      </c>
      <c r="AN478" s="2">
        <f t="shared" si="71"/>
        <v>0</v>
      </c>
      <c r="AO478" s="2">
        <f t="shared" si="72"/>
        <v>0</v>
      </c>
      <c r="AP478" s="2">
        <f t="shared" si="73"/>
        <v>0</v>
      </c>
      <c r="AQ478" s="2">
        <f t="shared" si="74"/>
        <v>0</v>
      </c>
      <c r="AR478" s="2">
        <f t="shared" si="75"/>
        <v>0</v>
      </c>
      <c r="AS478" s="2">
        <f t="shared" si="76"/>
        <v>0</v>
      </c>
      <c r="AT478" s="25">
        <f t="shared" si="77"/>
        <v>0</v>
      </c>
    </row>
    <row r="479" spans="1:46">
      <c r="A479" s="24">
        <v>46127</v>
      </c>
      <c r="B479" s="23">
        <f t="shared" si="70"/>
        <v>46113</v>
      </c>
      <c r="C479" s="2" t="s">
        <v>95</v>
      </c>
      <c r="D479" s="2" t="s">
        <v>96</v>
      </c>
      <c r="E479" s="2">
        <v>1802</v>
      </c>
      <c r="F479" s="2">
        <v>130</v>
      </c>
      <c r="G479" s="2">
        <f t="shared" si="78"/>
        <v>20</v>
      </c>
      <c r="H479" s="2">
        <f t="shared" si="79"/>
        <v>20</v>
      </c>
      <c r="I479" s="2">
        <v>0</v>
      </c>
      <c r="J479" s="44" t="s">
        <v>48</v>
      </c>
      <c r="K479" s="2" t="s">
        <v>49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/>
      <c r="AM479" s="2" t="s">
        <v>110</v>
      </c>
      <c r="AN479" s="2">
        <f t="shared" si="71"/>
        <v>0</v>
      </c>
      <c r="AO479" s="2">
        <f t="shared" si="72"/>
        <v>0</v>
      </c>
      <c r="AP479" s="2">
        <f t="shared" si="73"/>
        <v>0</v>
      </c>
      <c r="AQ479" s="2">
        <f t="shared" si="74"/>
        <v>0</v>
      </c>
      <c r="AR479" s="2">
        <f t="shared" si="75"/>
        <v>0</v>
      </c>
      <c r="AS479" s="2">
        <f t="shared" si="76"/>
        <v>0</v>
      </c>
      <c r="AT479" s="25">
        <f t="shared" si="77"/>
        <v>0</v>
      </c>
    </row>
    <row r="480" spans="1:46">
      <c r="A480" s="24">
        <v>46127</v>
      </c>
      <c r="B480" s="23">
        <f t="shared" si="70"/>
        <v>46113</v>
      </c>
      <c r="C480" s="2" t="s">
        <v>95</v>
      </c>
      <c r="D480" s="2" t="s">
        <v>74</v>
      </c>
      <c r="E480" s="2">
        <v>7144</v>
      </c>
      <c r="F480" s="2">
        <v>102</v>
      </c>
      <c r="G480" s="2">
        <f t="shared" si="78"/>
        <v>20</v>
      </c>
      <c r="H480" s="2">
        <f t="shared" si="79"/>
        <v>20</v>
      </c>
      <c r="I480" s="2">
        <v>0</v>
      </c>
      <c r="J480" s="44" t="s">
        <v>48</v>
      </c>
      <c r="K480" s="2" t="s">
        <v>49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/>
      <c r="AM480" s="2" t="s">
        <v>110</v>
      </c>
      <c r="AN480" s="2">
        <f t="shared" si="71"/>
        <v>0</v>
      </c>
      <c r="AO480" s="2">
        <f t="shared" si="72"/>
        <v>0</v>
      </c>
      <c r="AP480" s="2">
        <f t="shared" si="73"/>
        <v>0</v>
      </c>
      <c r="AQ480" s="2">
        <f t="shared" si="74"/>
        <v>0</v>
      </c>
      <c r="AR480" s="2">
        <f t="shared" si="75"/>
        <v>0</v>
      </c>
      <c r="AS480" s="2">
        <f t="shared" si="76"/>
        <v>0</v>
      </c>
      <c r="AT480" s="25">
        <f t="shared" si="77"/>
        <v>0</v>
      </c>
    </row>
    <row r="481" spans="1:46">
      <c r="A481" s="24">
        <v>46127</v>
      </c>
      <c r="B481" s="23">
        <f t="shared" si="70"/>
        <v>46113</v>
      </c>
      <c r="C481" s="2" t="s">
        <v>97</v>
      </c>
      <c r="D481" s="2" t="s">
        <v>1309</v>
      </c>
      <c r="E481" s="2">
        <v>3327</v>
      </c>
      <c r="F481" s="2">
        <v>100</v>
      </c>
      <c r="G481" s="2">
        <f t="shared" si="78"/>
        <v>20</v>
      </c>
      <c r="H481" s="2">
        <f t="shared" si="79"/>
        <v>20</v>
      </c>
      <c r="I481" s="2">
        <v>0</v>
      </c>
      <c r="J481" s="44" t="s">
        <v>48</v>
      </c>
      <c r="K481" s="2" t="s">
        <v>49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/>
      <c r="AM481" s="2" t="s">
        <v>110</v>
      </c>
      <c r="AN481" s="2">
        <f t="shared" si="71"/>
        <v>0</v>
      </c>
      <c r="AO481" s="2">
        <f t="shared" si="72"/>
        <v>0</v>
      </c>
      <c r="AP481" s="2">
        <f t="shared" si="73"/>
        <v>0</v>
      </c>
      <c r="AQ481" s="2">
        <f t="shared" si="74"/>
        <v>0</v>
      </c>
      <c r="AR481" s="2">
        <f t="shared" si="75"/>
        <v>0</v>
      </c>
      <c r="AS481" s="2">
        <f t="shared" si="76"/>
        <v>0</v>
      </c>
      <c r="AT481" s="25">
        <f t="shared" si="77"/>
        <v>0</v>
      </c>
    </row>
    <row r="482" spans="1:46">
      <c r="A482" s="24">
        <v>46127</v>
      </c>
      <c r="B482" s="23">
        <f t="shared" si="70"/>
        <v>46113</v>
      </c>
      <c r="C482" s="2" t="s">
        <v>97</v>
      </c>
      <c r="D482" s="2" t="s">
        <v>1387</v>
      </c>
      <c r="E482" s="2">
        <v>3327</v>
      </c>
      <c r="F482" s="2">
        <v>369</v>
      </c>
      <c r="G482" s="2">
        <f t="shared" si="78"/>
        <v>50</v>
      </c>
      <c r="H482" s="2">
        <f t="shared" si="79"/>
        <v>48</v>
      </c>
      <c r="I482" s="2">
        <v>2</v>
      </c>
      <c r="J482" s="44" t="s">
        <v>48</v>
      </c>
      <c r="K482" s="2" t="s">
        <v>49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2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/>
      <c r="AM482" s="2" t="s">
        <v>110</v>
      </c>
      <c r="AN482" s="2">
        <f t="shared" si="71"/>
        <v>0</v>
      </c>
      <c r="AO482" s="2">
        <f t="shared" si="72"/>
        <v>2</v>
      </c>
      <c r="AP482" s="2">
        <f t="shared" si="73"/>
        <v>0</v>
      </c>
      <c r="AQ482" s="2">
        <f t="shared" si="74"/>
        <v>0</v>
      </c>
      <c r="AR482" s="2">
        <f t="shared" si="75"/>
        <v>0</v>
      </c>
      <c r="AS482" s="2">
        <f t="shared" si="76"/>
        <v>0</v>
      </c>
      <c r="AT482" s="25">
        <f t="shared" si="77"/>
        <v>0</v>
      </c>
    </row>
    <row r="483" spans="1:46">
      <c r="A483" s="24">
        <v>46127</v>
      </c>
      <c r="B483" s="23">
        <f t="shared" si="70"/>
        <v>46113</v>
      </c>
      <c r="C483" s="2" t="s">
        <v>46</v>
      </c>
      <c r="D483" s="2" t="s">
        <v>123</v>
      </c>
      <c r="E483" s="2">
        <v>1866</v>
      </c>
      <c r="F483" s="2">
        <v>190</v>
      </c>
      <c r="G483" s="2">
        <f t="shared" si="78"/>
        <v>32</v>
      </c>
      <c r="H483" s="2">
        <f t="shared" si="79"/>
        <v>31</v>
      </c>
      <c r="I483" s="2">
        <v>1</v>
      </c>
      <c r="J483" s="44" t="s">
        <v>48</v>
      </c>
      <c r="K483" s="2" t="s">
        <v>49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/>
      <c r="AM483" s="2" t="s">
        <v>1566</v>
      </c>
      <c r="AN483" s="2">
        <f t="shared" si="71"/>
        <v>0</v>
      </c>
      <c r="AO483" s="2">
        <f t="shared" si="72"/>
        <v>1</v>
      </c>
      <c r="AP483" s="2">
        <f t="shared" si="73"/>
        <v>0</v>
      </c>
      <c r="AQ483" s="2">
        <f t="shared" si="74"/>
        <v>0</v>
      </c>
      <c r="AR483" s="2">
        <f t="shared" si="75"/>
        <v>0</v>
      </c>
      <c r="AS483" s="2">
        <f t="shared" si="76"/>
        <v>0</v>
      </c>
      <c r="AT483" s="25">
        <f t="shared" si="77"/>
        <v>0</v>
      </c>
    </row>
    <row r="484" spans="1:46">
      <c r="A484" s="24">
        <v>46127</v>
      </c>
      <c r="B484" s="23">
        <f t="shared" si="70"/>
        <v>46113</v>
      </c>
      <c r="C484" s="2" t="s">
        <v>95</v>
      </c>
      <c r="D484" s="2" t="s">
        <v>249</v>
      </c>
      <c r="E484" s="2">
        <v>1865</v>
      </c>
      <c r="F484" s="2">
        <v>390</v>
      </c>
      <c r="G484" s="2">
        <f t="shared" si="78"/>
        <v>50</v>
      </c>
      <c r="H484" s="2">
        <f t="shared" si="79"/>
        <v>47</v>
      </c>
      <c r="I484" s="2">
        <v>3</v>
      </c>
      <c r="J484" s="44" t="s">
        <v>48</v>
      </c>
      <c r="K484" s="2" t="s">
        <v>49</v>
      </c>
      <c r="L484" s="2">
        <v>2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1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/>
      <c r="AM484" s="2" t="s">
        <v>1566</v>
      </c>
      <c r="AN484" s="2">
        <f t="shared" si="71"/>
        <v>2</v>
      </c>
      <c r="AO484" s="2">
        <f t="shared" si="72"/>
        <v>1</v>
      </c>
      <c r="AP484" s="2">
        <f t="shared" si="73"/>
        <v>0</v>
      </c>
      <c r="AQ484" s="2">
        <f t="shared" si="74"/>
        <v>0</v>
      </c>
      <c r="AR484" s="2">
        <f t="shared" si="75"/>
        <v>0</v>
      </c>
      <c r="AS484" s="2">
        <f t="shared" si="76"/>
        <v>0</v>
      </c>
      <c r="AT484" s="25">
        <f t="shared" si="77"/>
        <v>0</v>
      </c>
    </row>
    <row r="485" spans="1:46">
      <c r="A485" s="24">
        <v>46127</v>
      </c>
      <c r="B485" s="23">
        <f t="shared" si="70"/>
        <v>46113</v>
      </c>
      <c r="C485" s="2" t="s">
        <v>46</v>
      </c>
      <c r="D485" s="2" t="s">
        <v>383</v>
      </c>
      <c r="E485" s="2">
        <v>3254</v>
      </c>
      <c r="F485" s="2">
        <v>125</v>
      </c>
      <c r="G485" s="2">
        <f t="shared" si="78"/>
        <v>20</v>
      </c>
      <c r="H485" s="2">
        <f t="shared" si="79"/>
        <v>20</v>
      </c>
      <c r="I485" s="2">
        <v>0</v>
      </c>
      <c r="J485" s="44" t="s">
        <v>48</v>
      </c>
      <c r="K485" s="2" t="s">
        <v>49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/>
      <c r="AM485" s="2" t="s">
        <v>1566</v>
      </c>
      <c r="AN485" s="2">
        <f t="shared" si="71"/>
        <v>0</v>
      </c>
      <c r="AO485" s="2">
        <f t="shared" si="72"/>
        <v>0</v>
      </c>
      <c r="AP485" s="2">
        <f t="shared" si="73"/>
        <v>0</v>
      </c>
      <c r="AQ485" s="2">
        <f t="shared" si="74"/>
        <v>0</v>
      </c>
      <c r="AR485" s="2">
        <f t="shared" si="75"/>
        <v>0</v>
      </c>
      <c r="AS485" s="2">
        <f t="shared" si="76"/>
        <v>0</v>
      </c>
      <c r="AT485" s="25">
        <f t="shared" si="77"/>
        <v>0</v>
      </c>
    </row>
    <row r="486" spans="1:46">
      <c r="A486" s="24">
        <v>46127</v>
      </c>
      <c r="B486" s="23">
        <f t="shared" si="70"/>
        <v>46113</v>
      </c>
      <c r="C486" s="2" t="s">
        <v>55</v>
      </c>
      <c r="D486" s="2" t="s">
        <v>143</v>
      </c>
      <c r="E486" s="2">
        <v>3255</v>
      </c>
      <c r="F486" s="2">
        <v>480</v>
      </c>
      <c r="G486" s="2">
        <f t="shared" si="78"/>
        <v>50</v>
      </c>
      <c r="H486" s="2">
        <f t="shared" si="79"/>
        <v>49</v>
      </c>
      <c r="I486" s="2">
        <v>1</v>
      </c>
      <c r="J486" s="44" t="s">
        <v>48</v>
      </c>
      <c r="K486" s="2" t="s">
        <v>49</v>
      </c>
      <c r="L486" s="2">
        <v>1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/>
      <c r="AM486" s="2" t="s">
        <v>1566</v>
      </c>
      <c r="AN486" s="2">
        <f t="shared" si="71"/>
        <v>1</v>
      </c>
      <c r="AO486" s="2">
        <f t="shared" si="72"/>
        <v>0</v>
      </c>
      <c r="AP486" s="2">
        <f t="shared" si="73"/>
        <v>0</v>
      </c>
      <c r="AQ486" s="2">
        <f t="shared" si="74"/>
        <v>0</v>
      </c>
      <c r="AR486" s="2">
        <f t="shared" si="75"/>
        <v>0</v>
      </c>
      <c r="AS486" s="2">
        <f t="shared" si="76"/>
        <v>0</v>
      </c>
      <c r="AT486" s="25">
        <f t="shared" si="77"/>
        <v>0</v>
      </c>
    </row>
    <row r="487" spans="1:46">
      <c r="A487" s="24">
        <v>46127</v>
      </c>
      <c r="B487" s="23">
        <f t="shared" si="70"/>
        <v>46113</v>
      </c>
      <c r="C487" s="2" t="s">
        <v>55</v>
      </c>
      <c r="D487" s="2" t="s">
        <v>1412</v>
      </c>
      <c r="E487" s="2">
        <v>1578</v>
      </c>
      <c r="F487" s="2">
        <v>54</v>
      </c>
      <c r="G487" s="2">
        <f t="shared" si="78"/>
        <v>20</v>
      </c>
      <c r="H487" s="2">
        <f t="shared" si="79"/>
        <v>20</v>
      </c>
      <c r="I487" s="2">
        <v>0</v>
      </c>
      <c r="J487" s="44" t="s">
        <v>48</v>
      </c>
      <c r="K487" s="2" t="s">
        <v>49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/>
      <c r="AM487" s="2" t="s">
        <v>1566</v>
      </c>
      <c r="AN487" s="2">
        <f t="shared" si="71"/>
        <v>0</v>
      </c>
      <c r="AO487" s="2">
        <f t="shared" si="72"/>
        <v>0</v>
      </c>
      <c r="AP487" s="2">
        <f t="shared" si="73"/>
        <v>0</v>
      </c>
      <c r="AQ487" s="2">
        <f t="shared" si="74"/>
        <v>0</v>
      </c>
      <c r="AR487" s="2">
        <f t="shared" si="75"/>
        <v>0</v>
      </c>
      <c r="AS487" s="2">
        <f t="shared" si="76"/>
        <v>0</v>
      </c>
      <c r="AT487" s="25">
        <f t="shared" si="77"/>
        <v>0</v>
      </c>
    </row>
    <row r="488" spans="1:46">
      <c r="A488" s="24">
        <v>46127</v>
      </c>
      <c r="B488" s="23">
        <f t="shared" si="70"/>
        <v>46113</v>
      </c>
      <c r="C488" s="2" t="s">
        <v>55</v>
      </c>
      <c r="D488" s="2" t="s">
        <v>242</v>
      </c>
      <c r="E488" s="2">
        <v>6296</v>
      </c>
      <c r="F488" s="2">
        <v>240</v>
      </c>
      <c r="G488" s="2">
        <f t="shared" si="78"/>
        <v>32</v>
      </c>
      <c r="H488" s="2">
        <f t="shared" si="79"/>
        <v>30</v>
      </c>
      <c r="I488" s="2">
        <v>2</v>
      </c>
      <c r="J488" s="44" t="s">
        <v>48</v>
      </c>
      <c r="K488" s="2" t="s">
        <v>49</v>
      </c>
      <c r="L488" s="2">
        <v>2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/>
      <c r="AM488" s="2" t="s">
        <v>1566</v>
      </c>
      <c r="AN488" s="2">
        <f t="shared" si="71"/>
        <v>2</v>
      </c>
      <c r="AO488" s="2">
        <f t="shared" si="72"/>
        <v>0</v>
      </c>
      <c r="AP488" s="2">
        <f t="shared" si="73"/>
        <v>0</v>
      </c>
      <c r="AQ488" s="2">
        <f t="shared" si="74"/>
        <v>0</v>
      </c>
      <c r="AR488" s="2">
        <f t="shared" si="75"/>
        <v>0</v>
      </c>
      <c r="AS488" s="2">
        <f t="shared" si="76"/>
        <v>0</v>
      </c>
      <c r="AT488" s="25">
        <f t="shared" si="77"/>
        <v>0</v>
      </c>
    </row>
    <row r="489" spans="1:46">
      <c r="A489" s="24">
        <v>46127</v>
      </c>
      <c r="B489" s="23">
        <f t="shared" si="70"/>
        <v>46113</v>
      </c>
      <c r="C489" s="2" t="s">
        <v>133</v>
      </c>
      <c r="D489" s="2" t="s">
        <v>53</v>
      </c>
      <c r="E489" s="2">
        <v>6234</v>
      </c>
      <c r="F489" s="2">
        <v>100</v>
      </c>
      <c r="G489" s="2">
        <f t="shared" si="78"/>
        <v>20</v>
      </c>
      <c r="H489" s="2">
        <f t="shared" si="79"/>
        <v>20</v>
      </c>
      <c r="I489" s="2">
        <v>0</v>
      </c>
      <c r="J489" s="44" t="s">
        <v>48</v>
      </c>
      <c r="K489" s="2" t="s">
        <v>49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/>
      <c r="AM489" s="2" t="s">
        <v>1566</v>
      </c>
      <c r="AN489" s="2">
        <f t="shared" si="71"/>
        <v>0</v>
      </c>
      <c r="AO489" s="2">
        <f t="shared" si="72"/>
        <v>0</v>
      </c>
      <c r="AP489" s="2">
        <f t="shared" si="73"/>
        <v>0</v>
      </c>
      <c r="AQ489" s="2">
        <f t="shared" si="74"/>
        <v>0</v>
      </c>
      <c r="AR489" s="2">
        <f t="shared" si="75"/>
        <v>0</v>
      </c>
      <c r="AS489" s="2">
        <f t="shared" si="76"/>
        <v>0</v>
      </c>
      <c r="AT489" s="25">
        <f t="shared" si="77"/>
        <v>0</v>
      </c>
    </row>
    <row r="490" spans="1:46">
      <c r="A490" s="24">
        <v>46127</v>
      </c>
      <c r="B490" s="23">
        <f t="shared" si="70"/>
        <v>46113</v>
      </c>
      <c r="C490" s="2" t="s">
        <v>46</v>
      </c>
      <c r="D490" s="2" t="s">
        <v>317</v>
      </c>
      <c r="E490" s="2">
        <v>3247</v>
      </c>
      <c r="F490" s="2">
        <v>483</v>
      </c>
      <c r="G490" s="2">
        <f t="shared" si="78"/>
        <v>50</v>
      </c>
      <c r="H490" s="2">
        <f t="shared" si="79"/>
        <v>50</v>
      </c>
      <c r="I490" s="2">
        <v>0</v>
      </c>
      <c r="J490" s="44" t="s">
        <v>48</v>
      </c>
      <c r="K490" s="2" t="s">
        <v>49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/>
      <c r="AM490" s="2" t="s">
        <v>1566</v>
      </c>
      <c r="AN490" s="2">
        <f t="shared" si="71"/>
        <v>0</v>
      </c>
      <c r="AO490" s="2">
        <f t="shared" si="72"/>
        <v>0</v>
      </c>
      <c r="AP490" s="2">
        <f t="shared" si="73"/>
        <v>0</v>
      </c>
      <c r="AQ490" s="2">
        <f t="shared" si="74"/>
        <v>0</v>
      </c>
      <c r="AR490" s="2">
        <f t="shared" si="75"/>
        <v>0</v>
      </c>
      <c r="AS490" s="2">
        <f t="shared" si="76"/>
        <v>0</v>
      </c>
      <c r="AT490" s="25">
        <f t="shared" si="77"/>
        <v>0</v>
      </c>
    </row>
    <row r="491" spans="1:46">
      <c r="A491" s="24">
        <v>46127</v>
      </c>
      <c r="B491" s="23">
        <f t="shared" si="70"/>
        <v>46113</v>
      </c>
      <c r="C491" s="2" t="s">
        <v>46</v>
      </c>
      <c r="D491" s="2" t="s">
        <v>251</v>
      </c>
      <c r="E491" s="2">
        <v>3301</v>
      </c>
      <c r="F491" s="2">
        <v>315</v>
      </c>
      <c r="G491" s="2">
        <f t="shared" si="78"/>
        <v>50</v>
      </c>
      <c r="H491" s="2">
        <f t="shared" si="79"/>
        <v>50</v>
      </c>
      <c r="I491" s="2">
        <v>0</v>
      </c>
      <c r="J491" s="44" t="s">
        <v>48</v>
      </c>
      <c r="K491" s="2" t="s">
        <v>49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/>
      <c r="AM491" s="2" t="s">
        <v>1566</v>
      </c>
      <c r="AN491" s="2">
        <f t="shared" si="71"/>
        <v>0</v>
      </c>
      <c r="AO491" s="2">
        <f t="shared" si="72"/>
        <v>0</v>
      </c>
      <c r="AP491" s="2">
        <f t="shared" si="73"/>
        <v>0</v>
      </c>
      <c r="AQ491" s="2">
        <f t="shared" si="74"/>
        <v>0</v>
      </c>
      <c r="AR491" s="2">
        <f t="shared" si="75"/>
        <v>0</v>
      </c>
      <c r="AS491" s="2">
        <f t="shared" si="76"/>
        <v>0</v>
      </c>
      <c r="AT491" s="25">
        <f t="shared" si="77"/>
        <v>0</v>
      </c>
    </row>
    <row r="492" spans="1:46">
      <c r="A492" s="24">
        <v>46127</v>
      </c>
      <c r="B492" s="23">
        <f t="shared" si="70"/>
        <v>46113</v>
      </c>
      <c r="C492" s="2" t="s">
        <v>72</v>
      </c>
      <c r="D492" s="2" t="s">
        <v>86</v>
      </c>
      <c r="E492" s="2">
        <v>6303</v>
      </c>
      <c r="F492" s="2">
        <v>230</v>
      </c>
      <c r="G492" s="2">
        <f t="shared" si="78"/>
        <v>32</v>
      </c>
      <c r="H492" s="2">
        <f t="shared" si="79"/>
        <v>32</v>
      </c>
      <c r="I492" s="2">
        <v>0</v>
      </c>
      <c r="J492" s="44" t="s">
        <v>48</v>
      </c>
      <c r="K492" s="2" t="s">
        <v>49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/>
      <c r="AM492" s="2" t="s">
        <v>103</v>
      </c>
      <c r="AN492" s="2">
        <f t="shared" si="71"/>
        <v>0</v>
      </c>
      <c r="AO492" s="2">
        <f t="shared" si="72"/>
        <v>0</v>
      </c>
      <c r="AP492" s="2">
        <f t="shared" si="73"/>
        <v>0</v>
      </c>
      <c r="AQ492" s="2">
        <f t="shared" si="74"/>
        <v>0</v>
      </c>
      <c r="AR492" s="2">
        <f t="shared" si="75"/>
        <v>0</v>
      </c>
      <c r="AS492" s="2">
        <f t="shared" si="76"/>
        <v>0</v>
      </c>
      <c r="AT492" s="25">
        <f t="shared" si="77"/>
        <v>0</v>
      </c>
    </row>
    <row r="493" spans="1:46">
      <c r="A493" s="24">
        <v>46127</v>
      </c>
      <c r="B493" s="23">
        <f t="shared" si="70"/>
        <v>46113</v>
      </c>
      <c r="C493" s="2" t="s">
        <v>114</v>
      </c>
      <c r="D493" s="2" t="s">
        <v>1411</v>
      </c>
      <c r="E493" s="2">
        <v>6206</v>
      </c>
      <c r="F493" s="2">
        <v>200</v>
      </c>
      <c r="G493" s="2">
        <f t="shared" si="78"/>
        <v>32</v>
      </c>
      <c r="H493" s="2">
        <f t="shared" si="79"/>
        <v>31</v>
      </c>
      <c r="I493" s="2">
        <v>1</v>
      </c>
      <c r="J493" s="44" t="s">
        <v>48</v>
      </c>
      <c r="K493" s="2" t="s">
        <v>49</v>
      </c>
      <c r="L493" s="2">
        <v>1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/>
      <c r="AM493" s="2" t="s">
        <v>103</v>
      </c>
      <c r="AN493" s="2">
        <f t="shared" si="71"/>
        <v>1</v>
      </c>
      <c r="AO493" s="2">
        <f t="shared" si="72"/>
        <v>0</v>
      </c>
      <c r="AP493" s="2">
        <f t="shared" si="73"/>
        <v>0</v>
      </c>
      <c r="AQ493" s="2">
        <f t="shared" si="74"/>
        <v>0</v>
      </c>
      <c r="AR493" s="2">
        <f t="shared" si="75"/>
        <v>0</v>
      </c>
      <c r="AS493" s="2">
        <f t="shared" si="76"/>
        <v>0</v>
      </c>
      <c r="AT493" s="25">
        <f t="shared" si="77"/>
        <v>0</v>
      </c>
    </row>
    <row r="494" spans="1:46">
      <c r="A494" s="24">
        <v>46127</v>
      </c>
      <c r="B494" s="23">
        <f t="shared" si="70"/>
        <v>46113</v>
      </c>
      <c r="C494" s="2" t="s">
        <v>114</v>
      </c>
      <c r="D494" s="2" t="s">
        <v>376</v>
      </c>
      <c r="E494" s="2">
        <v>6206</v>
      </c>
      <c r="F494" s="2">
        <v>170</v>
      </c>
      <c r="G494" s="2">
        <f t="shared" si="78"/>
        <v>32</v>
      </c>
      <c r="H494" s="2">
        <f t="shared" si="79"/>
        <v>32</v>
      </c>
      <c r="I494" s="2">
        <v>0</v>
      </c>
      <c r="J494" s="44" t="s">
        <v>48</v>
      </c>
      <c r="K494" s="2" t="s">
        <v>49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/>
      <c r="AM494" s="2" t="s">
        <v>103</v>
      </c>
      <c r="AN494" s="2">
        <f t="shared" si="71"/>
        <v>0</v>
      </c>
      <c r="AO494" s="2">
        <f t="shared" si="72"/>
        <v>0</v>
      </c>
      <c r="AP494" s="2">
        <f t="shared" si="73"/>
        <v>0</v>
      </c>
      <c r="AQ494" s="2">
        <f t="shared" si="74"/>
        <v>0</v>
      </c>
      <c r="AR494" s="2">
        <f t="shared" si="75"/>
        <v>0</v>
      </c>
      <c r="AS494" s="2">
        <f t="shared" si="76"/>
        <v>0</v>
      </c>
      <c r="AT494" s="25">
        <f t="shared" si="77"/>
        <v>0</v>
      </c>
    </row>
    <row r="495" spans="1:46">
      <c r="A495" s="24">
        <v>46127</v>
      </c>
      <c r="B495" s="23">
        <f t="shared" si="70"/>
        <v>46113</v>
      </c>
      <c r="C495" s="2" t="s">
        <v>72</v>
      </c>
      <c r="D495" s="2" t="s">
        <v>292</v>
      </c>
      <c r="E495" s="2">
        <v>6315</v>
      </c>
      <c r="F495" s="2">
        <v>69</v>
      </c>
      <c r="G495" s="2">
        <f t="shared" si="78"/>
        <v>20</v>
      </c>
      <c r="H495" s="2">
        <f t="shared" si="79"/>
        <v>19</v>
      </c>
      <c r="I495" s="2">
        <v>1</v>
      </c>
      <c r="J495" s="44" t="s">
        <v>48</v>
      </c>
      <c r="K495" s="2" t="s">
        <v>49</v>
      </c>
      <c r="L495" s="2">
        <v>1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/>
      <c r="AM495" s="2" t="s">
        <v>103</v>
      </c>
      <c r="AN495" s="2">
        <f t="shared" si="71"/>
        <v>1</v>
      </c>
      <c r="AO495" s="2">
        <f t="shared" si="72"/>
        <v>0</v>
      </c>
      <c r="AP495" s="2">
        <f t="shared" si="73"/>
        <v>0</v>
      </c>
      <c r="AQ495" s="2">
        <f t="shared" si="74"/>
        <v>0</v>
      </c>
      <c r="AR495" s="2">
        <f t="shared" si="75"/>
        <v>0</v>
      </c>
      <c r="AS495" s="2">
        <f t="shared" si="76"/>
        <v>0</v>
      </c>
      <c r="AT495" s="25">
        <f t="shared" si="77"/>
        <v>0</v>
      </c>
    </row>
    <row r="496" spans="1:46">
      <c r="A496" s="24">
        <v>46127</v>
      </c>
      <c r="B496" s="23">
        <f t="shared" si="70"/>
        <v>46113</v>
      </c>
      <c r="C496" s="2" t="s">
        <v>72</v>
      </c>
      <c r="D496" s="2" t="s">
        <v>199</v>
      </c>
      <c r="E496" s="2">
        <v>1825</v>
      </c>
      <c r="F496" s="2">
        <v>150</v>
      </c>
      <c r="G496" s="2">
        <f t="shared" si="78"/>
        <v>20</v>
      </c>
      <c r="H496" s="2">
        <f t="shared" si="79"/>
        <v>19</v>
      </c>
      <c r="I496" s="2">
        <v>1</v>
      </c>
      <c r="J496" s="44" t="s">
        <v>48</v>
      </c>
      <c r="K496" s="2" t="s">
        <v>49</v>
      </c>
      <c r="L496" s="2">
        <v>1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/>
      <c r="AM496" s="2" t="s">
        <v>103</v>
      </c>
      <c r="AN496" s="2">
        <f t="shared" si="71"/>
        <v>1</v>
      </c>
      <c r="AO496" s="2">
        <f t="shared" si="72"/>
        <v>0</v>
      </c>
      <c r="AP496" s="2">
        <f t="shared" si="73"/>
        <v>0</v>
      </c>
      <c r="AQ496" s="2">
        <f t="shared" si="74"/>
        <v>0</v>
      </c>
      <c r="AR496" s="2">
        <f t="shared" si="75"/>
        <v>0</v>
      </c>
      <c r="AS496" s="2">
        <f t="shared" si="76"/>
        <v>0</v>
      </c>
      <c r="AT496" s="25">
        <f t="shared" si="77"/>
        <v>0</v>
      </c>
    </row>
    <row r="497" spans="1:46">
      <c r="A497" s="24">
        <v>46127</v>
      </c>
      <c r="B497" s="23">
        <f t="shared" si="70"/>
        <v>46113</v>
      </c>
      <c r="C497" s="2" t="s">
        <v>72</v>
      </c>
      <c r="D497" s="2" t="s">
        <v>87</v>
      </c>
      <c r="E497" s="2">
        <v>1825</v>
      </c>
      <c r="F497" s="2">
        <v>144</v>
      </c>
      <c r="G497" s="2">
        <f t="shared" si="78"/>
        <v>20</v>
      </c>
      <c r="H497" s="2">
        <f t="shared" si="79"/>
        <v>19</v>
      </c>
      <c r="I497" s="2">
        <v>1</v>
      </c>
      <c r="J497" s="44" t="s">
        <v>48</v>
      </c>
      <c r="K497" s="2" t="s">
        <v>49</v>
      </c>
      <c r="L497" s="2">
        <v>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/>
      <c r="AM497" s="2" t="s">
        <v>103</v>
      </c>
      <c r="AN497" s="2">
        <f t="shared" si="71"/>
        <v>1</v>
      </c>
      <c r="AO497" s="2">
        <f t="shared" si="72"/>
        <v>0</v>
      </c>
      <c r="AP497" s="2">
        <f t="shared" si="73"/>
        <v>0</v>
      </c>
      <c r="AQ497" s="2">
        <f t="shared" si="74"/>
        <v>0</v>
      </c>
      <c r="AR497" s="2">
        <f t="shared" si="75"/>
        <v>0</v>
      </c>
      <c r="AS497" s="2">
        <f t="shared" si="76"/>
        <v>0</v>
      </c>
      <c r="AT497" s="25">
        <f t="shared" si="77"/>
        <v>0</v>
      </c>
    </row>
    <row r="498" spans="1:46">
      <c r="A498" s="24">
        <v>46127</v>
      </c>
      <c r="B498" s="23">
        <f t="shared" si="70"/>
        <v>46113</v>
      </c>
      <c r="C498" s="2" t="s">
        <v>72</v>
      </c>
      <c r="D498" s="2" t="s">
        <v>306</v>
      </c>
      <c r="E498" s="2">
        <v>6225</v>
      </c>
      <c r="F498" s="2">
        <v>234</v>
      </c>
      <c r="G498" s="2">
        <f t="shared" si="78"/>
        <v>32</v>
      </c>
      <c r="H498" s="2">
        <f t="shared" si="79"/>
        <v>32</v>
      </c>
      <c r="I498" s="2">
        <v>0</v>
      </c>
      <c r="J498" s="44" t="s">
        <v>48</v>
      </c>
      <c r="K498" s="2" t="s">
        <v>49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/>
      <c r="AM498" s="2" t="s">
        <v>103</v>
      </c>
      <c r="AN498" s="2">
        <f t="shared" si="71"/>
        <v>0</v>
      </c>
      <c r="AO498" s="2">
        <f t="shared" si="72"/>
        <v>0</v>
      </c>
      <c r="AP498" s="2">
        <f t="shared" si="73"/>
        <v>0</v>
      </c>
      <c r="AQ498" s="2">
        <f t="shared" si="74"/>
        <v>0</v>
      </c>
      <c r="AR498" s="2">
        <f t="shared" si="75"/>
        <v>0</v>
      </c>
      <c r="AS498" s="2">
        <f t="shared" si="76"/>
        <v>0</v>
      </c>
      <c r="AT498" s="25">
        <f t="shared" si="77"/>
        <v>0</v>
      </c>
    </row>
    <row r="499" spans="1:46">
      <c r="A499" s="24">
        <v>46127</v>
      </c>
      <c r="B499" s="23">
        <f t="shared" si="70"/>
        <v>46113</v>
      </c>
      <c r="C499" s="2" t="s">
        <v>72</v>
      </c>
      <c r="D499" s="2" t="s">
        <v>236</v>
      </c>
      <c r="E499" s="2">
        <v>3317</v>
      </c>
      <c r="F499" s="2">
        <v>63</v>
      </c>
      <c r="G499" s="2">
        <f t="shared" si="78"/>
        <v>20</v>
      </c>
      <c r="H499" s="2">
        <f t="shared" si="79"/>
        <v>20</v>
      </c>
      <c r="I499" s="2">
        <v>0</v>
      </c>
      <c r="J499" s="44" t="s">
        <v>48</v>
      </c>
      <c r="K499" s="2" t="s">
        <v>49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/>
      <c r="AM499" s="2" t="s">
        <v>103</v>
      </c>
      <c r="AN499" s="2">
        <f t="shared" si="71"/>
        <v>0</v>
      </c>
      <c r="AO499" s="2">
        <f t="shared" si="72"/>
        <v>0</v>
      </c>
      <c r="AP499" s="2">
        <f t="shared" si="73"/>
        <v>0</v>
      </c>
      <c r="AQ499" s="2">
        <f t="shared" si="74"/>
        <v>0</v>
      </c>
      <c r="AR499" s="2">
        <f t="shared" si="75"/>
        <v>0</v>
      </c>
      <c r="AS499" s="2">
        <f t="shared" si="76"/>
        <v>0</v>
      </c>
      <c r="AT499" s="25">
        <f t="shared" si="77"/>
        <v>0</v>
      </c>
    </row>
    <row r="500" spans="1:46">
      <c r="A500" s="24">
        <v>46127</v>
      </c>
      <c r="B500" s="23">
        <f t="shared" si="70"/>
        <v>46113</v>
      </c>
      <c r="C500" s="2" t="s">
        <v>72</v>
      </c>
      <c r="D500" s="2" t="s">
        <v>219</v>
      </c>
      <c r="E500" s="2">
        <v>3123</v>
      </c>
      <c r="F500" s="2">
        <v>203</v>
      </c>
      <c r="G500" s="2">
        <f t="shared" si="78"/>
        <v>32</v>
      </c>
      <c r="H500" s="2">
        <f t="shared" si="79"/>
        <v>32</v>
      </c>
      <c r="I500" s="2">
        <v>0</v>
      </c>
      <c r="J500" s="44" t="s">
        <v>48</v>
      </c>
      <c r="K500" s="2" t="s">
        <v>49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/>
      <c r="AM500" s="2" t="s">
        <v>103</v>
      </c>
      <c r="AN500" s="2">
        <f t="shared" si="71"/>
        <v>0</v>
      </c>
      <c r="AO500" s="2">
        <f t="shared" si="72"/>
        <v>0</v>
      </c>
      <c r="AP500" s="2">
        <f t="shared" si="73"/>
        <v>0</v>
      </c>
      <c r="AQ500" s="2">
        <f t="shared" si="74"/>
        <v>0</v>
      </c>
      <c r="AR500" s="2">
        <f t="shared" si="75"/>
        <v>0</v>
      </c>
      <c r="AS500" s="2">
        <f t="shared" si="76"/>
        <v>0</v>
      </c>
      <c r="AT500" s="25">
        <f t="shared" si="77"/>
        <v>0</v>
      </c>
    </row>
    <row r="501" spans="1:46">
      <c r="A501" s="24">
        <v>46127</v>
      </c>
      <c r="B501" s="23">
        <f t="shared" si="70"/>
        <v>46113</v>
      </c>
      <c r="C501" s="2" t="s">
        <v>72</v>
      </c>
      <c r="D501" s="2" t="s">
        <v>181</v>
      </c>
      <c r="E501" s="2">
        <v>3317</v>
      </c>
      <c r="F501" s="2">
        <v>51</v>
      </c>
      <c r="G501" s="2">
        <f t="shared" si="78"/>
        <v>20</v>
      </c>
      <c r="H501" s="2">
        <f t="shared" si="79"/>
        <v>20</v>
      </c>
      <c r="I501" s="2">
        <v>0</v>
      </c>
      <c r="J501" s="44" t="s">
        <v>48</v>
      </c>
      <c r="K501" s="2" t="s">
        <v>49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/>
      <c r="AM501" s="2" t="s">
        <v>103</v>
      </c>
      <c r="AN501" s="2">
        <f t="shared" si="71"/>
        <v>0</v>
      </c>
      <c r="AO501" s="2">
        <f t="shared" si="72"/>
        <v>0</v>
      </c>
      <c r="AP501" s="2">
        <f t="shared" si="73"/>
        <v>0</v>
      </c>
      <c r="AQ501" s="2">
        <f t="shared" si="74"/>
        <v>0</v>
      </c>
      <c r="AR501" s="2">
        <f t="shared" si="75"/>
        <v>0</v>
      </c>
      <c r="AS501" s="2">
        <f t="shared" si="76"/>
        <v>0</v>
      </c>
      <c r="AT501" s="25">
        <f t="shared" si="77"/>
        <v>0</v>
      </c>
    </row>
    <row r="502" spans="1:46">
      <c r="A502" s="24">
        <v>46127</v>
      </c>
      <c r="B502" s="23">
        <f t="shared" si="70"/>
        <v>46113</v>
      </c>
      <c r="C502" s="2" t="s">
        <v>72</v>
      </c>
      <c r="D502" s="2" t="s">
        <v>88</v>
      </c>
      <c r="E502" s="2">
        <v>1825</v>
      </c>
      <c r="F502" s="2">
        <v>327</v>
      </c>
      <c r="G502" s="2">
        <f t="shared" si="78"/>
        <v>50</v>
      </c>
      <c r="H502" s="2">
        <f t="shared" si="79"/>
        <v>50</v>
      </c>
      <c r="I502" s="2">
        <v>0</v>
      </c>
      <c r="J502" s="44" t="s">
        <v>48</v>
      </c>
      <c r="K502" s="2" t="s">
        <v>49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/>
      <c r="AM502" s="2" t="s">
        <v>103</v>
      </c>
      <c r="AN502" s="2">
        <f t="shared" si="71"/>
        <v>0</v>
      </c>
      <c r="AO502" s="2">
        <f t="shared" si="72"/>
        <v>0</v>
      </c>
      <c r="AP502" s="2">
        <f t="shared" si="73"/>
        <v>0</v>
      </c>
      <c r="AQ502" s="2">
        <f t="shared" si="74"/>
        <v>0</v>
      </c>
      <c r="AR502" s="2">
        <f t="shared" si="75"/>
        <v>0</v>
      </c>
      <c r="AS502" s="2">
        <f t="shared" si="76"/>
        <v>0</v>
      </c>
      <c r="AT502" s="25">
        <f t="shared" si="77"/>
        <v>0</v>
      </c>
    </row>
    <row r="503" spans="1:46">
      <c r="A503" s="24">
        <v>46127</v>
      </c>
      <c r="B503" s="23">
        <f t="shared" si="70"/>
        <v>46113</v>
      </c>
      <c r="C503" s="2" t="s">
        <v>114</v>
      </c>
      <c r="D503" s="2" t="s">
        <v>237</v>
      </c>
      <c r="E503" s="2">
        <v>3308</v>
      </c>
      <c r="F503" s="2">
        <v>73</v>
      </c>
      <c r="G503" s="2">
        <f t="shared" si="78"/>
        <v>20</v>
      </c>
      <c r="H503" s="2">
        <f t="shared" si="79"/>
        <v>20</v>
      </c>
      <c r="I503" s="2">
        <v>0</v>
      </c>
      <c r="J503" s="44" t="s">
        <v>48</v>
      </c>
      <c r="K503" s="2" t="s">
        <v>49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/>
      <c r="AM503" s="2" t="s">
        <v>103</v>
      </c>
      <c r="AN503" s="2">
        <f t="shared" si="71"/>
        <v>0</v>
      </c>
      <c r="AO503" s="2">
        <f t="shared" si="72"/>
        <v>0</v>
      </c>
      <c r="AP503" s="2">
        <f t="shared" si="73"/>
        <v>0</v>
      </c>
      <c r="AQ503" s="2">
        <f t="shared" si="74"/>
        <v>0</v>
      </c>
      <c r="AR503" s="2">
        <f t="shared" si="75"/>
        <v>0</v>
      </c>
      <c r="AS503" s="2">
        <f t="shared" si="76"/>
        <v>0</v>
      </c>
      <c r="AT503" s="25">
        <f t="shared" si="77"/>
        <v>0</v>
      </c>
    </row>
    <row r="504" spans="1:46">
      <c r="A504" s="24">
        <v>46127</v>
      </c>
      <c r="B504" s="23">
        <f t="shared" si="70"/>
        <v>46113</v>
      </c>
      <c r="C504" s="2" t="s">
        <v>114</v>
      </c>
      <c r="D504" s="2" t="s">
        <v>1411</v>
      </c>
      <c r="E504" s="2">
        <v>6206</v>
      </c>
      <c r="F504" s="2">
        <v>102</v>
      </c>
      <c r="G504" s="2">
        <f t="shared" si="78"/>
        <v>20</v>
      </c>
      <c r="H504" s="2">
        <f t="shared" si="79"/>
        <v>20</v>
      </c>
      <c r="I504" s="2">
        <v>0</v>
      </c>
      <c r="J504" s="44" t="s">
        <v>48</v>
      </c>
      <c r="K504" s="2" t="s">
        <v>49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/>
      <c r="AM504" s="2" t="s">
        <v>103</v>
      </c>
      <c r="AN504" s="2">
        <f t="shared" si="71"/>
        <v>0</v>
      </c>
      <c r="AO504" s="2">
        <f t="shared" si="72"/>
        <v>0</v>
      </c>
      <c r="AP504" s="2">
        <f t="shared" si="73"/>
        <v>0</v>
      </c>
      <c r="AQ504" s="2">
        <f t="shared" si="74"/>
        <v>0</v>
      </c>
      <c r="AR504" s="2">
        <f t="shared" si="75"/>
        <v>0</v>
      </c>
      <c r="AS504" s="2">
        <f t="shared" si="76"/>
        <v>0</v>
      </c>
      <c r="AT504" s="25">
        <f t="shared" si="77"/>
        <v>0</v>
      </c>
    </row>
    <row r="505" spans="1:46">
      <c r="A505" s="24">
        <v>46127</v>
      </c>
      <c r="B505" s="23">
        <f t="shared" si="70"/>
        <v>46113</v>
      </c>
      <c r="C505" s="2" t="s">
        <v>72</v>
      </c>
      <c r="D505" s="2" t="s">
        <v>221</v>
      </c>
      <c r="E505" s="2">
        <v>6258</v>
      </c>
      <c r="F505" s="2">
        <v>73</v>
      </c>
      <c r="G505" s="2">
        <f t="shared" si="78"/>
        <v>20</v>
      </c>
      <c r="H505" s="2">
        <f t="shared" si="79"/>
        <v>19</v>
      </c>
      <c r="I505" s="2">
        <v>1</v>
      </c>
      <c r="J505" s="44" t="s">
        <v>48</v>
      </c>
      <c r="K505" s="2" t="s">
        <v>49</v>
      </c>
      <c r="L505" s="2">
        <v>1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/>
      <c r="AM505" s="2" t="s">
        <v>103</v>
      </c>
      <c r="AN505" s="2">
        <f t="shared" si="71"/>
        <v>1</v>
      </c>
      <c r="AO505" s="2">
        <f t="shared" si="72"/>
        <v>0</v>
      </c>
      <c r="AP505" s="2">
        <f t="shared" si="73"/>
        <v>0</v>
      </c>
      <c r="AQ505" s="2">
        <f t="shared" si="74"/>
        <v>0</v>
      </c>
      <c r="AR505" s="2">
        <f t="shared" si="75"/>
        <v>0</v>
      </c>
      <c r="AS505" s="2">
        <f t="shared" si="76"/>
        <v>0</v>
      </c>
      <c r="AT505" s="25">
        <f t="shared" si="77"/>
        <v>0</v>
      </c>
    </row>
    <row r="506" spans="1:46">
      <c r="A506" s="24">
        <v>46127</v>
      </c>
      <c r="B506" s="23">
        <f t="shared" si="70"/>
        <v>46113</v>
      </c>
      <c r="C506" s="2" t="s">
        <v>72</v>
      </c>
      <c r="D506" s="2" t="s">
        <v>211</v>
      </c>
      <c r="E506" s="2">
        <v>6265</v>
      </c>
      <c r="F506" s="2">
        <v>77</v>
      </c>
      <c r="G506" s="2">
        <f t="shared" si="78"/>
        <v>20</v>
      </c>
      <c r="H506" s="2">
        <f t="shared" si="79"/>
        <v>20</v>
      </c>
      <c r="I506" s="2">
        <v>0</v>
      </c>
      <c r="J506" s="44" t="s">
        <v>48</v>
      </c>
      <c r="K506" s="2" t="s">
        <v>49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/>
      <c r="AM506" s="2" t="s">
        <v>103</v>
      </c>
      <c r="AN506" s="2">
        <f t="shared" si="71"/>
        <v>0</v>
      </c>
      <c r="AO506" s="2">
        <f t="shared" si="72"/>
        <v>0</v>
      </c>
      <c r="AP506" s="2">
        <f t="shared" si="73"/>
        <v>0</v>
      </c>
      <c r="AQ506" s="2">
        <f t="shared" si="74"/>
        <v>0</v>
      </c>
      <c r="AR506" s="2">
        <f t="shared" si="75"/>
        <v>0</v>
      </c>
      <c r="AS506" s="2">
        <f t="shared" si="76"/>
        <v>0</v>
      </c>
      <c r="AT506" s="25">
        <f t="shared" si="77"/>
        <v>0</v>
      </c>
    </row>
    <row r="507" spans="1:46">
      <c r="A507" s="24">
        <v>46127</v>
      </c>
      <c r="B507" s="23">
        <f t="shared" si="70"/>
        <v>46113</v>
      </c>
      <c r="C507" s="2" t="s">
        <v>72</v>
      </c>
      <c r="D507" s="2" t="s">
        <v>1515</v>
      </c>
      <c r="E507" s="2">
        <v>3341</v>
      </c>
      <c r="F507" s="2">
        <v>81</v>
      </c>
      <c r="G507" s="2">
        <f t="shared" si="78"/>
        <v>20</v>
      </c>
      <c r="H507" s="2">
        <f t="shared" si="79"/>
        <v>20</v>
      </c>
      <c r="I507" s="2">
        <v>0</v>
      </c>
      <c r="J507" s="44" t="s">
        <v>48</v>
      </c>
      <c r="K507" s="2" t="s">
        <v>49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/>
      <c r="AM507" s="2" t="s">
        <v>103</v>
      </c>
      <c r="AN507" s="2">
        <f t="shared" si="71"/>
        <v>0</v>
      </c>
      <c r="AO507" s="2">
        <f t="shared" si="72"/>
        <v>0</v>
      </c>
      <c r="AP507" s="2">
        <f t="shared" si="73"/>
        <v>0</v>
      </c>
      <c r="AQ507" s="2">
        <f t="shared" si="74"/>
        <v>0</v>
      </c>
      <c r="AR507" s="2">
        <f t="shared" si="75"/>
        <v>0</v>
      </c>
      <c r="AS507" s="2">
        <f t="shared" si="76"/>
        <v>0</v>
      </c>
      <c r="AT507" s="25">
        <f t="shared" si="77"/>
        <v>0</v>
      </c>
    </row>
    <row r="508" spans="1:46">
      <c r="A508" s="24">
        <v>46127</v>
      </c>
      <c r="B508" s="23">
        <f t="shared" si="70"/>
        <v>46113</v>
      </c>
      <c r="C508" s="2" t="s">
        <v>72</v>
      </c>
      <c r="D508" s="2" t="s">
        <v>206</v>
      </c>
      <c r="E508" s="2">
        <v>8141</v>
      </c>
      <c r="F508" s="2">
        <v>500</v>
      </c>
      <c r="G508" s="2">
        <f t="shared" si="78"/>
        <v>50</v>
      </c>
      <c r="H508" s="2">
        <f t="shared" si="79"/>
        <v>49</v>
      </c>
      <c r="I508" s="2">
        <v>1</v>
      </c>
      <c r="J508" s="44" t="s">
        <v>48</v>
      </c>
      <c r="K508" s="2" t="s">
        <v>49</v>
      </c>
      <c r="L508" s="2">
        <v>1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/>
      <c r="AM508" s="2" t="s">
        <v>103</v>
      </c>
      <c r="AN508" s="2">
        <f t="shared" si="71"/>
        <v>1</v>
      </c>
      <c r="AO508" s="2">
        <f t="shared" si="72"/>
        <v>0</v>
      </c>
      <c r="AP508" s="2">
        <f t="shared" si="73"/>
        <v>0</v>
      </c>
      <c r="AQ508" s="2">
        <f t="shared" si="74"/>
        <v>0</v>
      </c>
      <c r="AR508" s="2">
        <f t="shared" si="75"/>
        <v>0</v>
      </c>
      <c r="AS508" s="2">
        <f t="shared" si="76"/>
        <v>0</v>
      </c>
      <c r="AT508" s="25">
        <f t="shared" si="77"/>
        <v>0</v>
      </c>
    </row>
    <row r="509" spans="1:46">
      <c r="A509" s="24">
        <v>46127</v>
      </c>
      <c r="B509" s="23">
        <f t="shared" si="70"/>
        <v>46113</v>
      </c>
      <c r="C509" s="2" t="s">
        <v>62</v>
      </c>
      <c r="D509" s="2" t="s">
        <v>1306</v>
      </c>
      <c r="E509" s="2">
        <v>3322</v>
      </c>
      <c r="F509" s="2">
        <v>112</v>
      </c>
      <c r="G509" s="2">
        <f t="shared" si="78"/>
        <v>20</v>
      </c>
      <c r="H509" s="2">
        <f t="shared" si="79"/>
        <v>20</v>
      </c>
      <c r="I509" s="2">
        <v>0</v>
      </c>
      <c r="J509" s="44" t="s">
        <v>48</v>
      </c>
      <c r="K509" s="2" t="s">
        <v>49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/>
      <c r="AM509" s="2" t="s">
        <v>1568</v>
      </c>
      <c r="AN509" s="2">
        <f t="shared" si="71"/>
        <v>0</v>
      </c>
      <c r="AO509" s="2">
        <f t="shared" si="72"/>
        <v>0</v>
      </c>
      <c r="AP509" s="2">
        <f t="shared" si="73"/>
        <v>0</v>
      </c>
      <c r="AQ509" s="2">
        <f t="shared" si="74"/>
        <v>0</v>
      </c>
      <c r="AR509" s="2">
        <f t="shared" si="75"/>
        <v>0</v>
      </c>
      <c r="AS509" s="2">
        <f t="shared" si="76"/>
        <v>0</v>
      </c>
      <c r="AT509" s="25">
        <f t="shared" si="77"/>
        <v>0</v>
      </c>
    </row>
    <row r="510" spans="1:46">
      <c r="A510" s="24">
        <v>46127</v>
      </c>
      <c r="B510" s="23">
        <f t="shared" si="70"/>
        <v>46113</v>
      </c>
      <c r="C510" s="2" t="s">
        <v>63</v>
      </c>
      <c r="D510" s="2" t="s">
        <v>206</v>
      </c>
      <c r="E510" s="2">
        <v>8141</v>
      </c>
      <c r="F510" s="2">
        <v>1000</v>
      </c>
      <c r="G510" s="2">
        <f t="shared" si="78"/>
        <v>80</v>
      </c>
      <c r="H510" s="2">
        <f t="shared" si="79"/>
        <v>79</v>
      </c>
      <c r="I510" s="2">
        <v>1</v>
      </c>
      <c r="J510" s="44" t="s">
        <v>48</v>
      </c>
      <c r="K510" s="2" t="s">
        <v>49</v>
      </c>
      <c r="L510" s="2">
        <v>1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/>
      <c r="AM510" s="2" t="s">
        <v>1568</v>
      </c>
      <c r="AN510" s="2">
        <f t="shared" si="71"/>
        <v>1</v>
      </c>
      <c r="AO510" s="2">
        <f t="shared" si="72"/>
        <v>0</v>
      </c>
      <c r="AP510" s="2">
        <f t="shared" si="73"/>
        <v>0</v>
      </c>
      <c r="AQ510" s="2">
        <f t="shared" si="74"/>
        <v>0</v>
      </c>
      <c r="AR510" s="2">
        <f t="shared" si="75"/>
        <v>0</v>
      </c>
      <c r="AS510" s="2">
        <f t="shared" si="76"/>
        <v>0</v>
      </c>
      <c r="AT510" s="25">
        <f t="shared" si="77"/>
        <v>0</v>
      </c>
    </row>
    <row r="511" spans="1:46">
      <c r="A511" s="24">
        <v>46127</v>
      </c>
      <c r="B511" s="23">
        <f t="shared" si="70"/>
        <v>46113</v>
      </c>
      <c r="C511" s="2" t="s">
        <v>63</v>
      </c>
      <c r="D511" s="2" t="s">
        <v>113</v>
      </c>
      <c r="E511" s="2">
        <v>2598</v>
      </c>
      <c r="F511" s="2">
        <v>200</v>
      </c>
      <c r="G511" s="2">
        <f t="shared" si="78"/>
        <v>32</v>
      </c>
      <c r="H511" s="2">
        <f t="shared" si="79"/>
        <v>32</v>
      </c>
      <c r="I511" s="2">
        <v>0</v>
      </c>
      <c r="J511" s="44" t="s">
        <v>48</v>
      </c>
      <c r="K511" s="2" t="s">
        <v>49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/>
      <c r="AM511" s="2" t="s">
        <v>1568</v>
      </c>
      <c r="AN511" s="2">
        <f t="shared" si="71"/>
        <v>0</v>
      </c>
      <c r="AO511" s="2">
        <f t="shared" si="72"/>
        <v>0</v>
      </c>
      <c r="AP511" s="2">
        <f t="shared" si="73"/>
        <v>0</v>
      </c>
      <c r="AQ511" s="2">
        <f t="shared" si="74"/>
        <v>0</v>
      </c>
      <c r="AR511" s="2">
        <f t="shared" si="75"/>
        <v>0</v>
      </c>
      <c r="AS511" s="2">
        <f t="shared" si="76"/>
        <v>0</v>
      </c>
      <c r="AT511" s="25">
        <f t="shared" si="77"/>
        <v>0</v>
      </c>
    </row>
    <row r="512" spans="1:46">
      <c r="A512" s="24">
        <v>46127</v>
      </c>
      <c r="B512" s="23">
        <f t="shared" si="70"/>
        <v>46113</v>
      </c>
      <c r="C512" s="2" t="s">
        <v>62</v>
      </c>
      <c r="D512" s="2" t="s">
        <v>190</v>
      </c>
      <c r="E512" s="2">
        <v>3215</v>
      </c>
      <c r="F512" s="2">
        <v>220</v>
      </c>
      <c r="G512" s="2">
        <f t="shared" si="78"/>
        <v>32</v>
      </c>
      <c r="H512" s="2">
        <f t="shared" si="79"/>
        <v>32</v>
      </c>
      <c r="I512" s="2">
        <v>0</v>
      </c>
      <c r="J512" s="44" t="s">
        <v>48</v>
      </c>
      <c r="K512" s="2" t="s">
        <v>49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/>
      <c r="AM512" s="2" t="s">
        <v>1568</v>
      </c>
      <c r="AN512" s="2">
        <f t="shared" si="71"/>
        <v>0</v>
      </c>
      <c r="AO512" s="2">
        <f t="shared" si="72"/>
        <v>0</v>
      </c>
      <c r="AP512" s="2">
        <f t="shared" si="73"/>
        <v>0</v>
      </c>
      <c r="AQ512" s="2">
        <f t="shared" si="74"/>
        <v>0</v>
      </c>
      <c r="AR512" s="2">
        <f t="shared" si="75"/>
        <v>0</v>
      </c>
      <c r="AS512" s="2">
        <f t="shared" si="76"/>
        <v>0</v>
      </c>
      <c r="AT512" s="25">
        <f t="shared" si="77"/>
        <v>0</v>
      </c>
    </row>
    <row r="513" spans="1:46">
      <c r="A513" s="24">
        <v>46127</v>
      </c>
      <c r="B513" s="23">
        <f t="shared" si="70"/>
        <v>46113</v>
      </c>
      <c r="C513" s="2" t="s">
        <v>63</v>
      </c>
      <c r="D513" s="2" t="s">
        <v>87</v>
      </c>
      <c r="E513" s="2">
        <v>1825</v>
      </c>
      <c r="F513" s="2">
        <v>75</v>
      </c>
      <c r="G513" s="2">
        <f t="shared" si="78"/>
        <v>20</v>
      </c>
      <c r="H513" s="2">
        <f t="shared" si="79"/>
        <v>20</v>
      </c>
      <c r="I513" s="2">
        <v>0</v>
      </c>
      <c r="J513" s="44" t="s">
        <v>48</v>
      </c>
      <c r="K513" s="2" t="s">
        <v>49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/>
      <c r="AM513" s="2" t="s">
        <v>1568</v>
      </c>
      <c r="AN513" s="2">
        <f t="shared" si="71"/>
        <v>0</v>
      </c>
      <c r="AO513" s="2">
        <f t="shared" si="72"/>
        <v>0</v>
      </c>
      <c r="AP513" s="2">
        <f t="shared" si="73"/>
        <v>0</v>
      </c>
      <c r="AQ513" s="2">
        <f t="shared" si="74"/>
        <v>0</v>
      </c>
      <c r="AR513" s="2">
        <f t="shared" si="75"/>
        <v>0</v>
      </c>
      <c r="AS513" s="2">
        <f t="shared" si="76"/>
        <v>0</v>
      </c>
      <c r="AT513" s="25">
        <f t="shared" si="77"/>
        <v>0</v>
      </c>
    </row>
    <row r="514" spans="1:46">
      <c r="A514" s="24">
        <v>46127</v>
      </c>
      <c r="B514" s="23">
        <f t="shared" ref="B514:B577" si="80">EOMONTH(A514,-1)+1</f>
        <v>46113</v>
      </c>
      <c r="C514" s="2" t="s">
        <v>63</v>
      </c>
      <c r="D514" s="2" t="s">
        <v>88</v>
      </c>
      <c r="E514" s="2">
        <v>1825</v>
      </c>
      <c r="F514" s="2">
        <v>105</v>
      </c>
      <c r="G514" s="2">
        <f t="shared" si="78"/>
        <v>20</v>
      </c>
      <c r="H514" s="2">
        <f t="shared" si="79"/>
        <v>20</v>
      </c>
      <c r="I514" s="2">
        <v>0</v>
      </c>
      <c r="J514" s="44" t="s">
        <v>48</v>
      </c>
      <c r="K514" s="2" t="s">
        <v>49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/>
      <c r="AM514" s="2" t="s">
        <v>1568</v>
      </c>
      <c r="AN514" s="2">
        <f t="shared" ref="AN514:AN577" si="81">+L514+AI514</f>
        <v>0</v>
      </c>
      <c r="AO514" s="2">
        <f t="shared" ref="AO514:AO577" si="82">+M514+N514+O514+P514+Q514+R514+S514+T514+U514+V514</f>
        <v>0</v>
      </c>
      <c r="AP514" s="2">
        <f t="shared" ref="AP514:AP577" si="83">+AE514+AF514</f>
        <v>0</v>
      </c>
      <c r="AQ514" s="2">
        <f t="shared" ref="AQ514:AQ577" si="84">+AK514+AD514+AC514+AJ514</f>
        <v>0</v>
      </c>
      <c r="AR514" s="2">
        <f t="shared" ref="AR514:AR577" si="85">+W514+X514+Y514+Z514+AA514+AB514</f>
        <v>0</v>
      </c>
      <c r="AS514" s="2">
        <f t="shared" ref="AS514:AS577" si="86">+AG514</f>
        <v>0</v>
      </c>
      <c r="AT514" s="25">
        <f t="shared" ref="AT514:AT577" si="87">+AH514</f>
        <v>0</v>
      </c>
    </row>
    <row r="515" spans="1:46">
      <c r="A515" s="24">
        <v>46127</v>
      </c>
      <c r="B515" s="23">
        <f t="shared" si="80"/>
        <v>46113</v>
      </c>
      <c r="C515" s="2" t="s">
        <v>63</v>
      </c>
      <c r="D515" s="2" t="s">
        <v>84</v>
      </c>
      <c r="E515" s="2">
        <v>1825</v>
      </c>
      <c r="F515" s="2">
        <v>81</v>
      </c>
      <c r="G515" s="2">
        <f t="shared" ref="G515:G578" si="88">IF(F515&lt;1001,IF(F515&gt;500,80,IF(F515&gt;280,50,IF(F515&gt;150,32,IF(F515&lt;51,F515,20)))),125)</f>
        <v>20</v>
      </c>
      <c r="H515" s="2">
        <f t="shared" ref="H515:H578" si="89">G515-I515</f>
        <v>20</v>
      </c>
      <c r="I515" s="2">
        <v>0</v>
      </c>
      <c r="J515" s="44" t="s">
        <v>48</v>
      </c>
      <c r="K515" s="2" t="s">
        <v>49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/>
      <c r="AM515" s="2" t="s">
        <v>1568</v>
      </c>
      <c r="AN515" s="2">
        <f t="shared" si="81"/>
        <v>0</v>
      </c>
      <c r="AO515" s="2">
        <f t="shared" si="82"/>
        <v>0</v>
      </c>
      <c r="AP515" s="2">
        <f t="shared" si="83"/>
        <v>0</v>
      </c>
      <c r="AQ515" s="2">
        <f t="shared" si="84"/>
        <v>0</v>
      </c>
      <c r="AR515" s="2">
        <f t="shared" si="85"/>
        <v>0</v>
      </c>
      <c r="AS515" s="2">
        <f t="shared" si="86"/>
        <v>0</v>
      </c>
      <c r="AT515" s="25">
        <f t="shared" si="87"/>
        <v>0</v>
      </c>
    </row>
    <row r="516" spans="1:46">
      <c r="A516" s="24">
        <v>46127</v>
      </c>
      <c r="B516" s="23">
        <f t="shared" si="80"/>
        <v>46113</v>
      </c>
      <c r="C516" s="2" t="s">
        <v>62</v>
      </c>
      <c r="D516" s="2" t="s">
        <v>141</v>
      </c>
      <c r="E516" s="2">
        <v>6282</v>
      </c>
      <c r="F516" s="2">
        <v>51</v>
      </c>
      <c r="G516" s="2">
        <f t="shared" si="88"/>
        <v>20</v>
      </c>
      <c r="H516" s="2">
        <f t="shared" si="89"/>
        <v>20</v>
      </c>
      <c r="I516" s="2">
        <v>0</v>
      </c>
      <c r="J516" s="44" t="s">
        <v>48</v>
      </c>
      <c r="K516" s="2" t="s">
        <v>49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/>
      <c r="AM516" s="2" t="s">
        <v>1568</v>
      </c>
      <c r="AN516" s="2">
        <f t="shared" si="81"/>
        <v>0</v>
      </c>
      <c r="AO516" s="2">
        <f t="shared" si="82"/>
        <v>0</v>
      </c>
      <c r="AP516" s="2">
        <f t="shared" si="83"/>
        <v>0</v>
      </c>
      <c r="AQ516" s="2">
        <f t="shared" si="84"/>
        <v>0</v>
      </c>
      <c r="AR516" s="2">
        <f t="shared" si="85"/>
        <v>0</v>
      </c>
      <c r="AS516" s="2">
        <f t="shared" si="86"/>
        <v>0</v>
      </c>
      <c r="AT516" s="25">
        <f t="shared" si="87"/>
        <v>0</v>
      </c>
    </row>
    <row r="517" spans="1:46">
      <c r="A517" s="24">
        <v>46127</v>
      </c>
      <c r="B517" s="23">
        <f t="shared" si="80"/>
        <v>46113</v>
      </c>
      <c r="C517" s="2" t="s">
        <v>62</v>
      </c>
      <c r="D517" s="2" t="s">
        <v>105</v>
      </c>
      <c r="E517" s="2">
        <v>3291</v>
      </c>
      <c r="F517" s="2">
        <v>55</v>
      </c>
      <c r="G517" s="2">
        <f t="shared" si="88"/>
        <v>20</v>
      </c>
      <c r="H517" s="2">
        <f t="shared" si="89"/>
        <v>19</v>
      </c>
      <c r="I517" s="2">
        <v>1</v>
      </c>
      <c r="J517" s="44" t="s">
        <v>48</v>
      </c>
      <c r="K517" s="2" t="s">
        <v>49</v>
      </c>
      <c r="L517" s="2">
        <v>0</v>
      </c>
      <c r="M517" s="2">
        <v>1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/>
      <c r="AM517" s="2" t="s">
        <v>1568</v>
      </c>
      <c r="AN517" s="2">
        <f t="shared" si="81"/>
        <v>0</v>
      </c>
      <c r="AO517" s="2">
        <f t="shared" si="82"/>
        <v>1</v>
      </c>
      <c r="AP517" s="2">
        <f t="shared" si="83"/>
        <v>0</v>
      </c>
      <c r="AQ517" s="2">
        <f t="shared" si="84"/>
        <v>0</v>
      </c>
      <c r="AR517" s="2">
        <f t="shared" si="85"/>
        <v>0</v>
      </c>
      <c r="AS517" s="2">
        <f t="shared" si="86"/>
        <v>0</v>
      </c>
      <c r="AT517" s="25">
        <f t="shared" si="87"/>
        <v>0</v>
      </c>
    </row>
    <row r="518" spans="1:46">
      <c r="A518" s="24">
        <v>46127</v>
      </c>
      <c r="B518" s="23">
        <f t="shared" si="80"/>
        <v>46113</v>
      </c>
      <c r="C518" s="2" t="s">
        <v>63</v>
      </c>
      <c r="D518" s="2" t="s">
        <v>142</v>
      </c>
      <c r="E518" s="2">
        <v>8060</v>
      </c>
      <c r="F518" s="2">
        <v>60</v>
      </c>
      <c r="G518" s="2">
        <f t="shared" si="88"/>
        <v>20</v>
      </c>
      <c r="H518" s="2">
        <f t="shared" si="89"/>
        <v>19</v>
      </c>
      <c r="I518" s="2">
        <v>1</v>
      </c>
      <c r="J518" s="44" t="s">
        <v>48</v>
      </c>
      <c r="K518" s="2" t="s">
        <v>49</v>
      </c>
      <c r="L518" s="2">
        <v>1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/>
      <c r="AM518" s="2" t="s">
        <v>1568</v>
      </c>
      <c r="AN518" s="2">
        <f t="shared" si="81"/>
        <v>1</v>
      </c>
      <c r="AO518" s="2">
        <f t="shared" si="82"/>
        <v>0</v>
      </c>
      <c r="AP518" s="2">
        <f t="shared" si="83"/>
        <v>0</v>
      </c>
      <c r="AQ518" s="2">
        <f t="shared" si="84"/>
        <v>0</v>
      </c>
      <c r="AR518" s="2">
        <f t="shared" si="85"/>
        <v>0</v>
      </c>
      <c r="AS518" s="2">
        <f t="shared" si="86"/>
        <v>0</v>
      </c>
      <c r="AT518" s="25">
        <f t="shared" si="87"/>
        <v>0</v>
      </c>
    </row>
    <row r="519" spans="1:46">
      <c r="A519" s="24">
        <v>46127</v>
      </c>
      <c r="B519" s="23">
        <f t="shared" si="80"/>
        <v>46113</v>
      </c>
      <c r="C519" s="2" t="s">
        <v>95</v>
      </c>
      <c r="D519" s="2" t="s">
        <v>319</v>
      </c>
      <c r="E519" s="2">
        <v>8109</v>
      </c>
      <c r="F519" s="2">
        <v>86</v>
      </c>
      <c r="G519" s="2">
        <f t="shared" si="88"/>
        <v>20</v>
      </c>
      <c r="H519" s="2">
        <f t="shared" si="89"/>
        <v>20</v>
      </c>
      <c r="I519" s="2">
        <v>0</v>
      </c>
      <c r="J519" s="44" t="s">
        <v>48</v>
      </c>
      <c r="K519" s="2" t="s">
        <v>49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/>
      <c r="AM519" s="2" t="s">
        <v>1568</v>
      </c>
      <c r="AN519" s="2">
        <f t="shared" si="81"/>
        <v>0</v>
      </c>
      <c r="AO519" s="2">
        <f t="shared" si="82"/>
        <v>0</v>
      </c>
      <c r="AP519" s="2">
        <f t="shared" si="83"/>
        <v>0</v>
      </c>
      <c r="AQ519" s="2">
        <f t="shared" si="84"/>
        <v>0</v>
      </c>
      <c r="AR519" s="2">
        <f t="shared" si="85"/>
        <v>0</v>
      </c>
      <c r="AS519" s="2">
        <f t="shared" si="86"/>
        <v>0</v>
      </c>
      <c r="AT519" s="25">
        <f t="shared" si="87"/>
        <v>0</v>
      </c>
    </row>
    <row r="520" spans="1:46">
      <c r="A520" s="24">
        <v>46127</v>
      </c>
      <c r="B520" s="23">
        <f t="shared" si="80"/>
        <v>46113</v>
      </c>
      <c r="C520" s="2" t="s">
        <v>62</v>
      </c>
      <c r="D520" s="2" t="s">
        <v>272</v>
      </c>
      <c r="E520" s="2">
        <v>2536</v>
      </c>
      <c r="F520" s="2">
        <v>104</v>
      </c>
      <c r="G520" s="2">
        <f t="shared" si="88"/>
        <v>20</v>
      </c>
      <c r="H520" s="2">
        <f t="shared" si="89"/>
        <v>20</v>
      </c>
      <c r="I520" s="2">
        <v>0</v>
      </c>
      <c r="J520" s="44" t="s">
        <v>48</v>
      </c>
      <c r="K520" s="2" t="s">
        <v>49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/>
      <c r="AM520" s="2" t="s">
        <v>1568</v>
      </c>
      <c r="AN520" s="2">
        <f t="shared" si="81"/>
        <v>0</v>
      </c>
      <c r="AO520" s="2">
        <f t="shared" si="82"/>
        <v>0</v>
      </c>
      <c r="AP520" s="2">
        <f t="shared" si="83"/>
        <v>0</v>
      </c>
      <c r="AQ520" s="2">
        <f t="shared" si="84"/>
        <v>0</v>
      </c>
      <c r="AR520" s="2">
        <f t="shared" si="85"/>
        <v>0</v>
      </c>
      <c r="AS520" s="2">
        <f t="shared" si="86"/>
        <v>0</v>
      </c>
      <c r="AT520" s="25">
        <f t="shared" si="87"/>
        <v>0</v>
      </c>
    </row>
    <row r="521" spans="1:46">
      <c r="A521" s="24">
        <v>46127</v>
      </c>
      <c r="B521" s="23">
        <f t="shared" si="80"/>
        <v>46113</v>
      </c>
      <c r="C521" s="2" t="s">
        <v>62</v>
      </c>
      <c r="D521" s="2" t="s">
        <v>287</v>
      </c>
      <c r="E521" s="2">
        <v>6282</v>
      </c>
      <c r="F521" s="2">
        <v>230</v>
      </c>
      <c r="G521" s="2">
        <f t="shared" si="88"/>
        <v>32</v>
      </c>
      <c r="H521" s="2">
        <f t="shared" si="89"/>
        <v>31</v>
      </c>
      <c r="I521" s="2">
        <v>1</v>
      </c>
      <c r="J521" s="44" t="s">
        <v>48</v>
      </c>
      <c r="K521" s="2" t="s">
        <v>49</v>
      </c>
      <c r="L521" s="2">
        <v>1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/>
      <c r="AM521" s="2" t="s">
        <v>1568</v>
      </c>
      <c r="AN521" s="2">
        <f t="shared" si="81"/>
        <v>1</v>
      </c>
      <c r="AO521" s="2">
        <f t="shared" si="82"/>
        <v>0</v>
      </c>
      <c r="AP521" s="2">
        <f t="shared" si="83"/>
        <v>0</v>
      </c>
      <c r="AQ521" s="2">
        <f t="shared" si="84"/>
        <v>0</v>
      </c>
      <c r="AR521" s="2">
        <f t="shared" si="85"/>
        <v>0</v>
      </c>
      <c r="AS521" s="2">
        <f t="shared" si="86"/>
        <v>0</v>
      </c>
      <c r="AT521" s="25">
        <f t="shared" si="87"/>
        <v>0</v>
      </c>
    </row>
    <row r="522" spans="1:46">
      <c r="A522" s="24">
        <v>46127</v>
      </c>
      <c r="B522" s="23">
        <f t="shared" si="80"/>
        <v>46113</v>
      </c>
      <c r="C522" s="2" t="s">
        <v>62</v>
      </c>
      <c r="D522" s="2" t="s">
        <v>329</v>
      </c>
      <c r="E522" s="2">
        <v>3305</v>
      </c>
      <c r="F522" s="2">
        <v>105</v>
      </c>
      <c r="G522" s="2">
        <f t="shared" si="88"/>
        <v>20</v>
      </c>
      <c r="H522" s="2">
        <f t="shared" si="89"/>
        <v>20</v>
      </c>
      <c r="I522" s="2">
        <v>0</v>
      </c>
      <c r="J522" s="44" t="s">
        <v>48</v>
      </c>
      <c r="K522" s="2" t="s">
        <v>49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/>
      <c r="AM522" s="2" t="s">
        <v>1568</v>
      </c>
      <c r="AN522" s="2">
        <f t="shared" si="81"/>
        <v>0</v>
      </c>
      <c r="AO522" s="2">
        <f t="shared" si="82"/>
        <v>0</v>
      </c>
      <c r="AP522" s="2">
        <f t="shared" si="83"/>
        <v>0</v>
      </c>
      <c r="AQ522" s="2">
        <f t="shared" si="84"/>
        <v>0</v>
      </c>
      <c r="AR522" s="2">
        <f t="shared" si="85"/>
        <v>0</v>
      </c>
      <c r="AS522" s="2">
        <f t="shared" si="86"/>
        <v>0</v>
      </c>
      <c r="AT522" s="25">
        <f t="shared" si="87"/>
        <v>0</v>
      </c>
    </row>
    <row r="523" spans="1:46">
      <c r="A523" s="24">
        <v>46127</v>
      </c>
      <c r="B523" s="23">
        <f t="shared" si="80"/>
        <v>46113</v>
      </c>
      <c r="C523" s="2" t="s">
        <v>82</v>
      </c>
      <c r="D523" s="2" t="s">
        <v>130</v>
      </c>
      <c r="E523" s="2">
        <v>2656</v>
      </c>
      <c r="F523" s="2">
        <v>226</v>
      </c>
      <c r="G523" s="2">
        <f t="shared" si="88"/>
        <v>32</v>
      </c>
      <c r="H523" s="2">
        <f t="shared" si="89"/>
        <v>32</v>
      </c>
      <c r="I523" s="2">
        <v>0</v>
      </c>
      <c r="J523" s="44" t="s">
        <v>48</v>
      </c>
      <c r="K523" s="2" t="s">
        <v>49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/>
      <c r="AM523" s="2" t="s">
        <v>93</v>
      </c>
      <c r="AN523" s="2">
        <f t="shared" si="81"/>
        <v>0</v>
      </c>
      <c r="AO523" s="2">
        <f t="shared" si="82"/>
        <v>0</v>
      </c>
      <c r="AP523" s="2">
        <f t="shared" si="83"/>
        <v>0</v>
      </c>
      <c r="AQ523" s="2">
        <f t="shared" si="84"/>
        <v>0</v>
      </c>
      <c r="AR523" s="2">
        <f t="shared" si="85"/>
        <v>0</v>
      </c>
      <c r="AS523" s="2">
        <f t="shared" si="86"/>
        <v>0</v>
      </c>
      <c r="AT523" s="25">
        <f t="shared" si="87"/>
        <v>0</v>
      </c>
    </row>
    <row r="524" spans="1:46">
      <c r="A524" s="24">
        <v>46127</v>
      </c>
      <c r="B524" s="23">
        <f t="shared" si="80"/>
        <v>46113</v>
      </c>
      <c r="C524" s="2" t="s">
        <v>160</v>
      </c>
      <c r="D524" s="2" t="s">
        <v>1573</v>
      </c>
      <c r="E524" s="2">
        <v>3089</v>
      </c>
      <c r="F524" s="2">
        <v>79</v>
      </c>
      <c r="G524" s="2">
        <f t="shared" si="88"/>
        <v>20</v>
      </c>
      <c r="H524" s="2">
        <f t="shared" si="89"/>
        <v>15</v>
      </c>
      <c r="I524" s="2">
        <v>5</v>
      </c>
      <c r="J524" s="44" t="s">
        <v>67</v>
      </c>
      <c r="K524" s="2" t="s">
        <v>49</v>
      </c>
      <c r="L524" s="2">
        <v>0</v>
      </c>
      <c r="M524" s="2">
        <v>0</v>
      </c>
      <c r="N524" s="2">
        <v>0</v>
      </c>
      <c r="O524" s="2">
        <v>0</v>
      </c>
      <c r="P524" s="2">
        <v>5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/>
      <c r="AM524" s="2" t="s">
        <v>93</v>
      </c>
      <c r="AN524" s="2">
        <f t="shared" si="81"/>
        <v>0</v>
      </c>
      <c r="AO524" s="2">
        <f t="shared" si="82"/>
        <v>5</v>
      </c>
      <c r="AP524" s="2">
        <f t="shared" si="83"/>
        <v>0</v>
      </c>
      <c r="AQ524" s="2">
        <f t="shared" si="84"/>
        <v>0</v>
      </c>
      <c r="AR524" s="2">
        <f t="shared" si="85"/>
        <v>0</v>
      </c>
      <c r="AS524" s="2">
        <f t="shared" si="86"/>
        <v>0</v>
      </c>
      <c r="AT524" s="25">
        <f t="shared" si="87"/>
        <v>0</v>
      </c>
    </row>
    <row r="525" spans="1:46">
      <c r="A525" s="24">
        <v>46127</v>
      </c>
      <c r="B525" s="23">
        <f t="shared" si="80"/>
        <v>46113</v>
      </c>
      <c r="C525" s="2" t="s">
        <v>160</v>
      </c>
      <c r="D525" s="2" t="s">
        <v>321</v>
      </c>
      <c r="E525" s="2">
        <v>3089</v>
      </c>
      <c r="F525" s="2">
        <v>79</v>
      </c>
      <c r="G525" s="2">
        <f t="shared" si="88"/>
        <v>20</v>
      </c>
      <c r="H525" s="2">
        <f t="shared" si="89"/>
        <v>19</v>
      </c>
      <c r="I525" s="2">
        <v>1</v>
      </c>
      <c r="J525" s="44" t="s">
        <v>48</v>
      </c>
      <c r="K525" s="2" t="s">
        <v>49</v>
      </c>
      <c r="L525" s="2">
        <v>0</v>
      </c>
      <c r="M525" s="2">
        <v>0</v>
      </c>
      <c r="N525" s="2">
        <v>0</v>
      </c>
      <c r="O525" s="2">
        <v>0</v>
      </c>
      <c r="P525" s="2">
        <v>1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/>
      <c r="AM525" s="2" t="s">
        <v>93</v>
      </c>
      <c r="AN525" s="2">
        <f t="shared" si="81"/>
        <v>0</v>
      </c>
      <c r="AO525" s="2">
        <f t="shared" si="82"/>
        <v>1</v>
      </c>
      <c r="AP525" s="2">
        <f t="shared" si="83"/>
        <v>0</v>
      </c>
      <c r="AQ525" s="2">
        <f t="shared" si="84"/>
        <v>0</v>
      </c>
      <c r="AR525" s="2">
        <f t="shared" si="85"/>
        <v>0</v>
      </c>
      <c r="AS525" s="2">
        <f t="shared" si="86"/>
        <v>0</v>
      </c>
      <c r="AT525" s="25">
        <f t="shared" si="87"/>
        <v>0</v>
      </c>
    </row>
    <row r="526" spans="1:46">
      <c r="A526" s="24">
        <v>46127</v>
      </c>
      <c r="B526" s="23">
        <f t="shared" si="80"/>
        <v>46113</v>
      </c>
      <c r="C526" s="2" t="s">
        <v>82</v>
      </c>
      <c r="D526" s="2" t="s">
        <v>305</v>
      </c>
      <c r="E526" s="2">
        <v>8141</v>
      </c>
      <c r="F526" s="2">
        <v>72</v>
      </c>
      <c r="G526" s="2">
        <f t="shared" si="88"/>
        <v>20</v>
      </c>
      <c r="H526" s="2">
        <f t="shared" si="89"/>
        <v>20</v>
      </c>
      <c r="I526" s="2">
        <v>0</v>
      </c>
      <c r="J526" s="44" t="s">
        <v>48</v>
      </c>
      <c r="K526" s="2" t="s">
        <v>49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/>
      <c r="AM526" s="2" t="s">
        <v>93</v>
      </c>
      <c r="AN526" s="2">
        <f t="shared" si="81"/>
        <v>0</v>
      </c>
      <c r="AO526" s="2">
        <f t="shared" si="82"/>
        <v>0</v>
      </c>
      <c r="AP526" s="2">
        <f t="shared" si="83"/>
        <v>0</v>
      </c>
      <c r="AQ526" s="2">
        <f t="shared" si="84"/>
        <v>0</v>
      </c>
      <c r="AR526" s="2">
        <f t="shared" si="85"/>
        <v>0</v>
      </c>
      <c r="AS526" s="2">
        <f t="shared" si="86"/>
        <v>0</v>
      </c>
      <c r="AT526" s="25">
        <f t="shared" si="87"/>
        <v>0</v>
      </c>
    </row>
    <row r="527" spans="1:46">
      <c r="A527" s="24">
        <v>46127</v>
      </c>
      <c r="B527" s="23">
        <f t="shared" si="80"/>
        <v>46113</v>
      </c>
      <c r="C527" s="2" t="s">
        <v>82</v>
      </c>
      <c r="D527" s="2" t="s">
        <v>1299</v>
      </c>
      <c r="E527" s="2">
        <v>1650</v>
      </c>
      <c r="F527" s="2">
        <v>87</v>
      </c>
      <c r="G527" s="2">
        <f t="shared" si="88"/>
        <v>20</v>
      </c>
      <c r="H527" s="2">
        <f t="shared" si="89"/>
        <v>19</v>
      </c>
      <c r="I527" s="2">
        <v>1</v>
      </c>
      <c r="J527" s="44" t="s">
        <v>48</v>
      </c>
      <c r="K527" s="2" t="s">
        <v>49</v>
      </c>
      <c r="L527" s="2">
        <v>1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/>
      <c r="AM527" s="2" t="s">
        <v>93</v>
      </c>
      <c r="AN527" s="2">
        <f t="shared" si="81"/>
        <v>1</v>
      </c>
      <c r="AO527" s="2">
        <f t="shared" si="82"/>
        <v>0</v>
      </c>
      <c r="AP527" s="2">
        <f t="shared" si="83"/>
        <v>0</v>
      </c>
      <c r="AQ527" s="2">
        <f t="shared" si="84"/>
        <v>0</v>
      </c>
      <c r="AR527" s="2">
        <f t="shared" si="85"/>
        <v>0</v>
      </c>
      <c r="AS527" s="2">
        <f t="shared" si="86"/>
        <v>0</v>
      </c>
      <c r="AT527" s="25">
        <f t="shared" si="87"/>
        <v>0</v>
      </c>
    </row>
    <row r="528" spans="1:46">
      <c r="A528" s="24">
        <v>46127</v>
      </c>
      <c r="B528" s="23">
        <f t="shared" si="80"/>
        <v>46113</v>
      </c>
      <c r="C528" s="2" t="s">
        <v>82</v>
      </c>
      <c r="D528" s="2" t="s">
        <v>118</v>
      </c>
      <c r="E528" s="2">
        <v>1650</v>
      </c>
      <c r="F528" s="2">
        <v>97</v>
      </c>
      <c r="G528" s="2">
        <f t="shared" si="88"/>
        <v>20</v>
      </c>
      <c r="H528" s="2">
        <f t="shared" si="89"/>
        <v>18</v>
      </c>
      <c r="I528" s="2">
        <v>2</v>
      </c>
      <c r="J528" s="44" t="s">
        <v>67</v>
      </c>
      <c r="K528" s="2" t="s">
        <v>49</v>
      </c>
      <c r="L528" s="2">
        <v>2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/>
      <c r="AM528" s="2" t="s">
        <v>93</v>
      </c>
      <c r="AN528" s="2">
        <f t="shared" si="81"/>
        <v>2</v>
      </c>
      <c r="AO528" s="2">
        <f t="shared" si="82"/>
        <v>0</v>
      </c>
      <c r="AP528" s="2">
        <f t="shared" si="83"/>
        <v>0</v>
      </c>
      <c r="AQ528" s="2">
        <f t="shared" si="84"/>
        <v>0</v>
      </c>
      <c r="AR528" s="2">
        <f t="shared" si="85"/>
        <v>0</v>
      </c>
      <c r="AS528" s="2">
        <f t="shared" si="86"/>
        <v>0</v>
      </c>
      <c r="AT528" s="25">
        <f t="shared" si="87"/>
        <v>0</v>
      </c>
    </row>
    <row r="529" spans="1:46">
      <c r="A529" s="24">
        <v>46127</v>
      </c>
      <c r="B529" s="23">
        <f t="shared" si="80"/>
        <v>46113</v>
      </c>
      <c r="C529" s="2" t="s">
        <v>46</v>
      </c>
      <c r="D529" s="2" t="s">
        <v>178</v>
      </c>
      <c r="E529" s="2">
        <v>3254</v>
      </c>
      <c r="F529" s="2">
        <v>443</v>
      </c>
      <c r="G529" s="2">
        <f t="shared" si="88"/>
        <v>50</v>
      </c>
      <c r="H529" s="2">
        <f t="shared" si="89"/>
        <v>50</v>
      </c>
      <c r="I529" s="2">
        <v>0</v>
      </c>
      <c r="J529" s="44" t="s">
        <v>48</v>
      </c>
      <c r="K529" s="2" t="s">
        <v>49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/>
      <c r="AM529" s="2" t="s">
        <v>93</v>
      </c>
      <c r="AN529" s="2">
        <f t="shared" si="81"/>
        <v>0</v>
      </c>
      <c r="AO529" s="2">
        <f t="shared" si="82"/>
        <v>0</v>
      </c>
      <c r="AP529" s="2">
        <f t="shared" si="83"/>
        <v>0</v>
      </c>
      <c r="AQ529" s="2">
        <f t="shared" si="84"/>
        <v>0</v>
      </c>
      <c r="AR529" s="2">
        <f t="shared" si="85"/>
        <v>0</v>
      </c>
      <c r="AS529" s="2">
        <f t="shared" si="86"/>
        <v>0</v>
      </c>
      <c r="AT529" s="25">
        <f t="shared" si="87"/>
        <v>0</v>
      </c>
    </row>
    <row r="530" spans="1:46">
      <c r="A530" s="24">
        <v>46127</v>
      </c>
      <c r="B530" s="23">
        <f t="shared" si="80"/>
        <v>46113</v>
      </c>
      <c r="C530" s="2" t="s">
        <v>82</v>
      </c>
      <c r="D530" s="2" t="s">
        <v>91</v>
      </c>
      <c r="E530" s="2">
        <v>6248</v>
      </c>
      <c r="F530" s="2">
        <v>470</v>
      </c>
      <c r="G530" s="2">
        <f t="shared" si="88"/>
        <v>50</v>
      </c>
      <c r="H530" s="2">
        <f t="shared" si="89"/>
        <v>50</v>
      </c>
      <c r="I530" s="2">
        <v>0</v>
      </c>
      <c r="J530" s="44" t="s">
        <v>48</v>
      </c>
      <c r="K530" s="2" t="s">
        <v>49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/>
      <c r="AM530" s="2" t="s">
        <v>93</v>
      </c>
      <c r="AN530" s="2">
        <f t="shared" si="81"/>
        <v>0</v>
      </c>
      <c r="AO530" s="2">
        <f t="shared" si="82"/>
        <v>0</v>
      </c>
      <c r="AP530" s="2">
        <f t="shared" si="83"/>
        <v>0</v>
      </c>
      <c r="AQ530" s="2">
        <f t="shared" si="84"/>
        <v>0</v>
      </c>
      <c r="AR530" s="2">
        <f t="shared" si="85"/>
        <v>0</v>
      </c>
      <c r="AS530" s="2">
        <f t="shared" si="86"/>
        <v>0</v>
      </c>
      <c r="AT530" s="25">
        <f t="shared" si="87"/>
        <v>0</v>
      </c>
    </row>
    <row r="531" spans="1:46">
      <c r="A531" s="24">
        <v>46127</v>
      </c>
      <c r="B531" s="23">
        <f t="shared" si="80"/>
        <v>46113</v>
      </c>
      <c r="C531" s="2" t="s">
        <v>82</v>
      </c>
      <c r="D531" s="2" t="s">
        <v>247</v>
      </c>
      <c r="E531" s="2">
        <v>2628</v>
      </c>
      <c r="F531" s="2">
        <v>112</v>
      </c>
      <c r="G531" s="2">
        <f t="shared" si="88"/>
        <v>20</v>
      </c>
      <c r="H531" s="2">
        <f t="shared" si="89"/>
        <v>20</v>
      </c>
      <c r="I531" s="2">
        <v>0</v>
      </c>
      <c r="J531" s="44" t="s">
        <v>48</v>
      </c>
      <c r="K531" s="2" t="s">
        <v>49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/>
      <c r="AM531" s="2" t="s">
        <v>93</v>
      </c>
      <c r="AN531" s="2">
        <f t="shared" si="81"/>
        <v>0</v>
      </c>
      <c r="AO531" s="2">
        <f t="shared" si="82"/>
        <v>0</v>
      </c>
      <c r="AP531" s="2">
        <f t="shared" si="83"/>
        <v>0</v>
      </c>
      <c r="AQ531" s="2">
        <f t="shared" si="84"/>
        <v>0</v>
      </c>
      <c r="AR531" s="2">
        <f t="shared" si="85"/>
        <v>0</v>
      </c>
      <c r="AS531" s="2">
        <f t="shared" si="86"/>
        <v>0</v>
      </c>
      <c r="AT531" s="25">
        <f t="shared" si="87"/>
        <v>0</v>
      </c>
    </row>
    <row r="532" spans="1:46">
      <c r="A532" s="24">
        <v>46127</v>
      </c>
      <c r="B532" s="23">
        <f t="shared" si="80"/>
        <v>46113</v>
      </c>
      <c r="C532" s="2" t="s">
        <v>82</v>
      </c>
      <c r="D532" s="2" t="s">
        <v>250</v>
      </c>
      <c r="E532" s="2">
        <v>1865</v>
      </c>
      <c r="F532" s="2">
        <v>167</v>
      </c>
      <c r="G532" s="2">
        <f t="shared" si="88"/>
        <v>32</v>
      </c>
      <c r="H532" s="2">
        <f t="shared" si="89"/>
        <v>32</v>
      </c>
      <c r="I532" s="2">
        <v>0</v>
      </c>
      <c r="J532" s="44" t="s">
        <v>48</v>
      </c>
      <c r="K532" s="2" t="s">
        <v>49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/>
      <c r="AM532" s="2" t="s">
        <v>93</v>
      </c>
      <c r="AN532" s="2">
        <f t="shared" si="81"/>
        <v>0</v>
      </c>
      <c r="AO532" s="2">
        <f t="shared" si="82"/>
        <v>0</v>
      </c>
      <c r="AP532" s="2">
        <f t="shared" si="83"/>
        <v>0</v>
      </c>
      <c r="AQ532" s="2">
        <f t="shared" si="84"/>
        <v>0</v>
      </c>
      <c r="AR532" s="2">
        <f t="shared" si="85"/>
        <v>0</v>
      </c>
      <c r="AS532" s="2">
        <f t="shared" si="86"/>
        <v>0</v>
      </c>
      <c r="AT532" s="25">
        <f t="shared" si="87"/>
        <v>0</v>
      </c>
    </row>
    <row r="533" spans="1:46">
      <c r="A533" s="24">
        <v>46128</v>
      </c>
      <c r="B533" s="23">
        <f t="shared" si="80"/>
        <v>46113</v>
      </c>
      <c r="C533" s="2" t="s">
        <v>72</v>
      </c>
      <c r="D533" s="2" t="s">
        <v>206</v>
      </c>
      <c r="E533" s="2">
        <v>8141</v>
      </c>
      <c r="F533" s="2">
        <v>500</v>
      </c>
      <c r="G533" s="2">
        <f t="shared" si="88"/>
        <v>50</v>
      </c>
      <c r="H533" s="2">
        <f t="shared" si="89"/>
        <v>50</v>
      </c>
      <c r="I533" s="2">
        <v>0</v>
      </c>
      <c r="J533" s="44" t="s">
        <v>48</v>
      </c>
      <c r="K533" s="2" t="s">
        <v>49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/>
      <c r="AM533" s="2" t="s">
        <v>103</v>
      </c>
      <c r="AN533" s="2">
        <f t="shared" si="81"/>
        <v>0</v>
      </c>
      <c r="AO533" s="2">
        <f t="shared" si="82"/>
        <v>0</v>
      </c>
      <c r="AP533" s="2">
        <f t="shared" si="83"/>
        <v>0</v>
      </c>
      <c r="AQ533" s="2">
        <f t="shared" si="84"/>
        <v>0</v>
      </c>
      <c r="AR533" s="2">
        <f t="shared" si="85"/>
        <v>0</v>
      </c>
      <c r="AS533" s="2">
        <f t="shared" si="86"/>
        <v>0</v>
      </c>
      <c r="AT533" s="25">
        <f t="shared" si="87"/>
        <v>0</v>
      </c>
    </row>
    <row r="534" spans="1:46">
      <c r="A534" s="24">
        <v>46128</v>
      </c>
      <c r="B534" s="23">
        <f t="shared" si="80"/>
        <v>46113</v>
      </c>
      <c r="C534" s="2" t="s">
        <v>72</v>
      </c>
      <c r="D534" s="2" t="s">
        <v>121</v>
      </c>
      <c r="E534" s="2">
        <v>6303</v>
      </c>
      <c r="F534" s="2">
        <v>266</v>
      </c>
      <c r="G534" s="2">
        <f t="shared" si="88"/>
        <v>32</v>
      </c>
      <c r="H534" s="2">
        <f t="shared" si="89"/>
        <v>32</v>
      </c>
      <c r="I534" s="2">
        <v>0</v>
      </c>
      <c r="J534" s="44" t="s">
        <v>48</v>
      </c>
      <c r="K534" s="2" t="s">
        <v>49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/>
      <c r="AM534" s="2" t="s">
        <v>103</v>
      </c>
      <c r="AN534" s="2">
        <f t="shared" si="81"/>
        <v>0</v>
      </c>
      <c r="AO534" s="2">
        <f t="shared" si="82"/>
        <v>0</v>
      </c>
      <c r="AP534" s="2">
        <f t="shared" si="83"/>
        <v>0</v>
      </c>
      <c r="AQ534" s="2">
        <f t="shared" si="84"/>
        <v>0</v>
      </c>
      <c r="AR534" s="2">
        <f t="shared" si="85"/>
        <v>0</v>
      </c>
      <c r="AS534" s="2">
        <f t="shared" si="86"/>
        <v>0</v>
      </c>
      <c r="AT534" s="25">
        <f t="shared" si="87"/>
        <v>0</v>
      </c>
    </row>
    <row r="535" spans="1:46">
      <c r="A535" s="24">
        <v>46128</v>
      </c>
      <c r="B535" s="23">
        <f t="shared" si="80"/>
        <v>46113</v>
      </c>
      <c r="C535" s="2" t="s">
        <v>72</v>
      </c>
      <c r="D535" s="2" t="s">
        <v>86</v>
      </c>
      <c r="E535" s="2">
        <v>6303</v>
      </c>
      <c r="F535" s="2">
        <v>72</v>
      </c>
      <c r="G535" s="2">
        <f t="shared" si="88"/>
        <v>20</v>
      </c>
      <c r="H535" s="2">
        <f t="shared" si="89"/>
        <v>20</v>
      </c>
      <c r="I535" s="2">
        <v>0</v>
      </c>
      <c r="J535" s="44" t="s">
        <v>48</v>
      </c>
      <c r="K535" s="2" t="s">
        <v>49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/>
      <c r="AM535" s="2" t="s">
        <v>103</v>
      </c>
      <c r="AN535" s="2">
        <f t="shared" si="81"/>
        <v>0</v>
      </c>
      <c r="AO535" s="2">
        <f t="shared" si="82"/>
        <v>0</v>
      </c>
      <c r="AP535" s="2">
        <f t="shared" si="83"/>
        <v>0</v>
      </c>
      <c r="AQ535" s="2">
        <f t="shared" si="84"/>
        <v>0</v>
      </c>
      <c r="AR535" s="2">
        <f t="shared" si="85"/>
        <v>0</v>
      </c>
      <c r="AS535" s="2">
        <f t="shared" si="86"/>
        <v>0</v>
      </c>
      <c r="AT535" s="25">
        <f t="shared" si="87"/>
        <v>0</v>
      </c>
    </row>
    <row r="536" spans="1:46">
      <c r="A536" s="24">
        <v>46128</v>
      </c>
      <c r="B536" s="23">
        <f t="shared" si="80"/>
        <v>46113</v>
      </c>
      <c r="C536" s="2" t="s">
        <v>72</v>
      </c>
      <c r="D536" s="2" t="s">
        <v>88</v>
      </c>
      <c r="E536" s="2">
        <v>1825</v>
      </c>
      <c r="F536" s="2">
        <v>90</v>
      </c>
      <c r="G536" s="2">
        <f t="shared" si="88"/>
        <v>20</v>
      </c>
      <c r="H536" s="2">
        <f t="shared" si="89"/>
        <v>20</v>
      </c>
      <c r="I536" s="2">
        <v>0</v>
      </c>
      <c r="J536" s="44" t="s">
        <v>48</v>
      </c>
      <c r="K536" s="2" t="s">
        <v>49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/>
      <c r="AM536" s="2" t="s">
        <v>103</v>
      </c>
      <c r="AN536" s="2">
        <f t="shared" si="81"/>
        <v>0</v>
      </c>
      <c r="AO536" s="2">
        <f t="shared" si="82"/>
        <v>0</v>
      </c>
      <c r="AP536" s="2">
        <f t="shared" si="83"/>
        <v>0</v>
      </c>
      <c r="AQ536" s="2">
        <f t="shared" si="84"/>
        <v>0</v>
      </c>
      <c r="AR536" s="2">
        <f t="shared" si="85"/>
        <v>0</v>
      </c>
      <c r="AS536" s="2">
        <f t="shared" si="86"/>
        <v>0</v>
      </c>
      <c r="AT536" s="25">
        <f t="shared" si="87"/>
        <v>0</v>
      </c>
    </row>
    <row r="537" spans="1:46">
      <c r="A537" s="24">
        <v>46128</v>
      </c>
      <c r="B537" s="23">
        <f t="shared" si="80"/>
        <v>46113</v>
      </c>
      <c r="C537" s="2" t="s">
        <v>72</v>
      </c>
      <c r="D537" s="2" t="s">
        <v>219</v>
      </c>
      <c r="E537" s="2">
        <v>3123</v>
      </c>
      <c r="F537" s="2">
        <v>150</v>
      </c>
      <c r="G537" s="2">
        <f t="shared" si="88"/>
        <v>20</v>
      </c>
      <c r="H537" s="2">
        <f t="shared" si="89"/>
        <v>20</v>
      </c>
      <c r="I537" s="2">
        <v>0</v>
      </c>
      <c r="J537" s="44" t="s">
        <v>48</v>
      </c>
      <c r="K537" s="2" t="s">
        <v>49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/>
      <c r="AM537" s="2" t="s">
        <v>103</v>
      </c>
      <c r="AN537" s="2">
        <f t="shared" si="81"/>
        <v>0</v>
      </c>
      <c r="AO537" s="2">
        <f t="shared" si="82"/>
        <v>0</v>
      </c>
      <c r="AP537" s="2">
        <f t="shared" si="83"/>
        <v>0</v>
      </c>
      <c r="AQ537" s="2">
        <f t="shared" si="84"/>
        <v>0</v>
      </c>
      <c r="AR537" s="2">
        <f t="shared" si="85"/>
        <v>0</v>
      </c>
      <c r="AS537" s="2">
        <f t="shared" si="86"/>
        <v>0</v>
      </c>
      <c r="AT537" s="25">
        <f t="shared" si="87"/>
        <v>0</v>
      </c>
    </row>
    <row r="538" spans="1:46">
      <c r="A538" s="24">
        <v>46128</v>
      </c>
      <c r="B538" s="23">
        <f t="shared" si="80"/>
        <v>46113</v>
      </c>
      <c r="C538" s="2" t="s">
        <v>114</v>
      </c>
      <c r="D538" s="2" t="s">
        <v>1400</v>
      </c>
      <c r="E538" s="2">
        <v>3332</v>
      </c>
      <c r="F538" s="2">
        <v>111</v>
      </c>
      <c r="G538" s="2">
        <f t="shared" si="88"/>
        <v>20</v>
      </c>
      <c r="H538" s="2">
        <f t="shared" si="89"/>
        <v>20</v>
      </c>
      <c r="I538" s="2">
        <v>0</v>
      </c>
      <c r="J538" s="44" t="s">
        <v>48</v>
      </c>
      <c r="K538" s="2" t="s">
        <v>49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/>
      <c r="AM538" s="2" t="s">
        <v>103</v>
      </c>
      <c r="AN538" s="2">
        <f t="shared" si="81"/>
        <v>0</v>
      </c>
      <c r="AO538" s="2">
        <f t="shared" si="82"/>
        <v>0</v>
      </c>
      <c r="AP538" s="2">
        <f t="shared" si="83"/>
        <v>0</v>
      </c>
      <c r="AQ538" s="2">
        <f t="shared" si="84"/>
        <v>0</v>
      </c>
      <c r="AR538" s="2">
        <f t="shared" si="85"/>
        <v>0</v>
      </c>
      <c r="AS538" s="2">
        <f t="shared" si="86"/>
        <v>0</v>
      </c>
      <c r="AT538" s="25">
        <f t="shared" si="87"/>
        <v>0</v>
      </c>
    </row>
    <row r="539" spans="1:46">
      <c r="A539" s="24">
        <v>46128</v>
      </c>
      <c r="B539" s="23">
        <f t="shared" si="80"/>
        <v>46113</v>
      </c>
      <c r="C539" s="2" t="s">
        <v>114</v>
      </c>
      <c r="D539" s="2" t="s">
        <v>119</v>
      </c>
      <c r="E539" s="2">
        <v>3308</v>
      </c>
      <c r="F539" s="2">
        <v>53</v>
      </c>
      <c r="G539" s="2">
        <f t="shared" si="88"/>
        <v>20</v>
      </c>
      <c r="H539" s="2">
        <f t="shared" si="89"/>
        <v>20</v>
      </c>
      <c r="I539" s="2">
        <v>0</v>
      </c>
      <c r="J539" s="44" t="s">
        <v>48</v>
      </c>
      <c r="K539" s="2" t="s">
        <v>49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/>
      <c r="AM539" s="2" t="s">
        <v>103</v>
      </c>
      <c r="AN539" s="2">
        <f t="shared" si="81"/>
        <v>0</v>
      </c>
      <c r="AO539" s="2">
        <f t="shared" si="82"/>
        <v>0</v>
      </c>
      <c r="AP539" s="2">
        <f t="shared" si="83"/>
        <v>0</v>
      </c>
      <c r="AQ539" s="2">
        <f t="shared" si="84"/>
        <v>0</v>
      </c>
      <c r="AR539" s="2">
        <f t="shared" si="85"/>
        <v>0</v>
      </c>
      <c r="AS539" s="2">
        <f t="shared" si="86"/>
        <v>0</v>
      </c>
      <c r="AT539" s="25">
        <f t="shared" si="87"/>
        <v>0</v>
      </c>
    </row>
    <row r="540" spans="1:46">
      <c r="A540" s="24">
        <v>46128</v>
      </c>
      <c r="B540" s="23">
        <f t="shared" si="80"/>
        <v>46113</v>
      </c>
      <c r="C540" s="2" t="s">
        <v>114</v>
      </c>
      <c r="D540" s="2" t="s">
        <v>180</v>
      </c>
      <c r="E540" s="2">
        <v>3165</v>
      </c>
      <c r="F540" s="2">
        <v>170</v>
      </c>
      <c r="G540" s="2">
        <f t="shared" si="88"/>
        <v>32</v>
      </c>
      <c r="H540" s="2">
        <f t="shared" si="89"/>
        <v>32</v>
      </c>
      <c r="I540" s="2">
        <v>0</v>
      </c>
      <c r="J540" s="44" t="s">
        <v>48</v>
      </c>
      <c r="K540" s="2" t="s">
        <v>49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/>
      <c r="AM540" s="2" t="s">
        <v>103</v>
      </c>
      <c r="AN540" s="2">
        <f t="shared" si="81"/>
        <v>0</v>
      </c>
      <c r="AO540" s="2">
        <f t="shared" si="82"/>
        <v>0</v>
      </c>
      <c r="AP540" s="2">
        <f t="shared" si="83"/>
        <v>0</v>
      </c>
      <c r="AQ540" s="2">
        <f t="shared" si="84"/>
        <v>0</v>
      </c>
      <c r="AR540" s="2">
        <f t="shared" si="85"/>
        <v>0</v>
      </c>
      <c r="AS540" s="2">
        <f t="shared" si="86"/>
        <v>0</v>
      </c>
      <c r="AT540" s="25">
        <f t="shared" si="87"/>
        <v>0</v>
      </c>
    </row>
    <row r="541" spans="1:46">
      <c r="A541" s="24">
        <v>46128</v>
      </c>
      <c r="B541" s="23">
        <f t="shared" si="80"/>
        <v>46113</v>
      </c>
      <c r="C541" s="2" t="s">
        <v>114</v>
      </c>
      <c r="D541" s="2" t="s">
        <v>1220</v>
      </c>
      <c r="E541" s="2">
        <v>7155</v>
      </c>
      <c r="F541" s="2">
        <v>76</v>
      </c>
      <c r="G541" s="2">
        <f t="shared" si="88"/>
        <v>20</v>
      </c>
      <c r="H541" s="2">
        <f t="shared" si="89"/>
        <v>19</v>
      </c>
      <c r="I541" s="2">
        <v>1</v>
      </c>
      <c r="J541" s="44" t="s">
        <v>48</v>
      </c>
      <c r="K541" s="2" t="s">
        <v>49</v>
      </c>
      <c r="L541" s="2">
        <v>1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/>
      <c r="AM541" s="2" t="s">
        <v>103</v>
      </c>
      <c r="AN541" s="2">
        <f t="shared" si="81"/>
        <v>1</v>
      </c>
      <c r="AO541" s="2">
        <f t="shared" si="82"/>
        <v>0</v>
      </c>
      <c r="AP541" s="2">
        <f t="shared" si="83"/>
        <v>0</v>
      </c>
      <c r="AQ541" s="2">
        <f t="shared" si="84"/>
        <v>0</v>
      </c>
      <c r="AR541" s="2">
        <f t="shared" si="85"/>
        <v>0</v>
      </c>
      <c r="AS541" s="2">
        <f t="shared" si="86"/>
        <v>0</v>
      </c>
      <c r="AT541" s="25">
        <f t="shared" si="87"/>
        <v>0</v>
      </c>
    </row>
    <row r="542" spans="1:46">
      <c r="A542" s="24">
        <v>46128</v>
      </c>
      <c r="B542" s="23">
        <f t="shared" si="80"/>
        <v>46113</v>
      </c>
      <c r="C542" s="2" t="s">
        <v>114</v>
      </c>
      <c r="D542" s="2" t="s">
        <v>280</v>
      </c>
      <c r="E542" s="2">
        <v>3308</v>
      </c>
      <c r="F542" s="2">
        <v>102</v>
      </c>
      <c r="G542" s="2">
        <f t="shared" si="88"/>
        <v>20</v>
      </c>
      <c r="H542" s="2">
        <f t="shared" si="89"/>
        <v>20</v>
      </c>
      <c r="I542" s="2">
        <v>0</v>
      </c>
      <c r="J542" s="44" t="s">
        <v>48</v>
      </c>
      <c r="K542" s="2" t="s">
        <v>49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/>
      <c r="AM542" s="2" t="s">
        <v>103</v>
      </c>
      <c r="AN542" s="2">
        <f t="shared" si="81"/>
        <v>0</v>
      </c>
      <c r="AO542" s="2">
        <f t="shared" si="82"/>
        <v>0</v>
      </c>
      <c r="AP542" s="2">
        <f t="shared" si="83"/>
        <v>0</v>
      </c>
      <c r="AQ542" s="2">
        <f t="shared" si="84"/>
        <v>0</v>
      </c>
      <c r="AR542" s="2">
        <f t="shared" si="85"/>
        <v>0</v>
      </c>
      <c r="AS542" s="2">
        <f t="shared" si="86"/>
        <v>0</v>
      </c>
      <c r="AT542" s="25">
        <f t="shared" si="87"/>
        <v>0</v>
      </c>
    </row>
    <row r="543" spans="1:46">
      <c r="A543" s="24">
        <v>46128</v>
      </c>
      <c r="B543" s="23">
        <f t="shared" si="80"/>
        <v>46113</v>
      </c>
      <c r="C543" s="2" t="s">
        <v>114</v>
      </c>
      <c r="D543" s="2" t="s">
        <v>237</v>
      </c>
      <c r="E543" s="2">
        <v>3308</v>
      </c>
      <c r="F543" s="2">
        <v>236</v>
      </c>
      <c r="G543" s="2">
        <f t="shared" si="88"/>
        <v>32</v>
      </c>
      <c r="H543" s="2">
        <f t="shared" si="89"/>
        <v>31</v>
      </c>
      <c r="I543" s="2">
        <v>1</v>
      </c>
      <c r="J543" s="44" t="s">
        <v>48</v>
      </c>
      <c r="K543" s="2" t="s">
        <v>49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1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/>
      <c r="AM543" s="2" t="s">
        <v>103</v>
      </c>
      <c r="AN543" s="2">
        <f t="shared" si="81"/>
        <v>0</v>
      </c>
      <c r="AO543" s="2">
        <f t="shared" si="82"/>
        <v>1</v>
      </c>
      <c r="AP543" s="2">
        <f t="shared" si="83"/>
        <v>0</v>
      </c>
      <c r="AQ543" s="2">
        <f t="shared" si="84"/>
        <v>0</v>
      </c>
      <c r="AR543" s="2">
        <f t="shared" si="85"/>
        <v>0</v>
      </c>
      <c r="AS543" s="2">
        <f t="shared" si="86"/>
        <v>0</v>
      </c>
      <c r="AT543" s="25">
        <f t="shared" si="87"/>
        <v>0</v>
      </c>
    </row>
    <row r="544" spans="1:46">
      <c r="A544" s="24">
        <v>46128</v>
      </c>
      <c r="B544" s="23">
        <f t="shared" si="80"/>
        <v>46113</v>
      </c>
      <c r="C544" s="2" t="s">
        <v>72</v>
      </c>
      <c r="D544" s="2" t="s">
        <v>211</v>
      </c>
      <c r="E544" s="2">
        <v>6265</v>
      </c>
      <c r="F544" s="2">
        <v>104</v>
      </c>
      <c r="G544" s="2">
        <f t="shared" si="88"/>
        <v>20</v>
      </c>
      <c r="H544" s="2">
        <f t="shared" si="89"/>
        <v>20</v>
      </c>
      <c r="I544" s="2">
        <v>0</v>
      </c>
      <c r="J544" s="44" t="s">
        <v>48</v>
      </c>
      <c r="K544" s="2" t="s">
        <v>49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/>
      <c r="AM544" s="2" t="s">
        <v>103</v>
      </c>
      <c r="AN544" s="2">
        <f t="shared" si="81"/>
        <v>0</v>
      </c>
      <c r="AO544" s="2">
        <f t="shared" si="82"/>
        <v>0</v>
      </c>
      <c r="AP544" s="2">
        <f t="shared" si="83"/>
        <v>0</v>
      </c>
      <c r="AQ544" s="2">
        <f t="shared" si="84"/>
        <v>0</v>
      </c>
      <c r="AR544" s="2">
        <f t="shared" si="85"/>
        <v>0</v>
      </c>
      <c r="AS544" s="2">
        <f t="shared" si="86"/>
        <v>0</v>
      </c>
      <c r="AT544" s="25">
        <f t="shared" si="87"/>
        <v>0</v>
      </c>
    </row>
    <row r="545" spans="1:46">
      <c r="A545" s="24">
        <v>46128</v>
      </c>
      <c r="B545" s="23">
        <f t="shared" si="80"/>
        <v>46113</v>
      </c>
      <c r="C545" s="2" t="s">
        <v>72</v>
      </c>
      <c r="D545" s="2" t="s">
        <v>211</v>
      </c>
      <c r="E545" s="2">
        <v>6265</v>
      </c>
      <c r="F545" s="2">
        <v>100</v>
      </c>
      <c r="G545" s="2">
        <f t="shared" si="88"/>
        <v>20</v>
      </c>
      <c r="H545" s="2">
        <f t="shared" si="89"/>
        <v>20</v>
      </c>
      <c r="I545" s="2">
        <v>0</v>
      </c>
      <c r="J545" s="44" t="s">
        <v>48</v>
      </c>
      <c r="K545" s="2" t="s">
        <v>49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/>
      <c r="AM545" s="2" t="s">
        <v>103</v>
      </c>
      <c r="AN545" s="2">
        <f t="shared" si="81"/>
        <v>0</v>
      </c>
      <c r="AO545" s="2">
        <f t="shared" si="82"/>
        <v>0</v>
      </c>
      <c r="AP545" s="2">
        <f t="shared" si="83"/>
        <v>0</v>
      </c>
      <c r="AQ545" s="2">
        <f t="shared" si="84"/>
        <v>0</v>
      </c>
      <c r="AR545" s="2">
        <f t="shared" si="85"/>
        <v>0</v>
      </c>
      <c r="AS545" s="2">
        <f t="shared" si="86"/>
        <v>0</v>
      </c>
      <c r="AT545" s="25">
        <f t="shared" si="87"/>
        <v>0</v>
      </c>
    </row>
    <row r="546" spans="1:46">
      <c r="A546" s="24">
        <v>46128</v>
      </c>
      <c r="B546" s="23">
        <f t="shared" si="80"/>
        <v>46113</v>
      </c>
      <c r="C546" s="2" t="s">
        <v>72</v>
      </c>
      <c r="D546" s="2" t="s">
        <v>182</v>
      </c>
      <c r="E546" s="2">
        <v>8107</v>
      </c>
      <c r="F546" s="2">
        <v>137</v>
      </c>
      <c r="G546" s="2">
        <f t="shared" si="88"/>
        <v>20</v>
      </c>
      <c r="H546" s="2">
        <f t="shared" si="89"/>
        <v>20</v>
      </c>
      <c r="I546" s="2">
        <v>0</v>
      </c>
      <c r="J546" s="44" t="s">
        <v>48</v>
      </c>
      <c r="K546" s="2" t="s">
        <v>49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/>
      <c r="AM546" s="2" t="s">
        <v>103</v>
      </c>
      <c r="AN546" s="2">
        <f t="shared" si="81"/>
        <v>0</v>
      </c>
      <c r="AO546" s="2">
        <f t="shared" si="82"/>
        <v>0</v>
      </c>
      <c r="AP546" s="2">
        <f t="shared" si="83"/>
        <v>0</v>
      </c>
      <c r="AQ546" s="2">
        <f t="shared" si="84"/>
        <v>0</v>
      </c>
      <c r="AR546" s="2">
        <f t="shared" si="85"/>
        <v>0</v>
      </c>
      <c r="AS546" s="2">
        <f t="shared" si="86"/>
        <v>0</v>
      </c>
      <c r="AT546" s="25">
        <f t="shared" si="87"/>
        <v>0</v>
      </c>
    </row>
    <row r="547" spans="1:46">
      <c r="A547" s="24">
        <v>46128</v>
      </c>
      <c r="B547" s="23">
        <f t="shared" si="80"/>
        <v>46113</v>
      </c>
      <c r="C547" s="2" t="s">
        <v>72</v>
      </c>
      <c r="D547" s="2" t="s">
        <v>1218</v>
      </c>
      <c r="E547" s="2">
        <v>6258</v>
      </c>
      <c r="F547" s="2">
        <v>56</v>
      </c>
      <c r="G547" s="2">
        <f t="shared" si="88"/>
        <v>20</v>
      </c>
      <c r="H547" s="2">
        <f t="shared" si="89"/>
        <v>20</v>
      </c>
      <c r="I547" s="2">
        <v>0</v>
      </c>
      <c r="J547" s="44" t="s">
        <v>48</v>
      </c>
      <c r="K547" s="2" t="s">
        <v>49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/>
      <c r="AM547" s="2" t="s">
        <v>103</v>
      </c>
      <c r="AN547" s="2">
        <f t="shared" si="81"/>
        <v>0</v>
      </c>
      <c r="AO547" s="2">
        <f t="shared" si="82"/>
        <v>0</v>
      </c>
      <c r="AP547" s="2">
        <f t="shared" si="83"/>
        <v>0</v>
      </c>
      <c r="AQ547" s="2">
        <f t="shared" si="84"/>
        <v>0</v>
      </c>
      <c r="AR547" s="2">
        <f t="shared" si="85"/>
        <v>0</v>
      </c>
      <c r="AS547" s="2">
        <f t="shared" si="86"/>
        <v>0</v>
      </c>
      <c r="AT547" s="25">
        <f t="shared" si="87"/>
        <v>0</v>
      </c>
    </row>
    <row r="548" spans="1:46">
      <c r="A548" s="24">
        <v>46128</v>
      </c>
      <c r="B548" s="23">
        <f t="shared" si="80"/>
        <v>46113</v>
      </c>
      <c r="C548" s="2" t="s">
        <v>72</v>
      </c>
      <c r="D548" s="2" t="s">
        <v>1515</v>
      </c>
      <c r="E548" s="2">
        <v>3341</v>
      </c>
      <c r="F548" s="2">
        <v>167</v>
      </c>
      <c r="G548" s="2">
        <f t="shared" si="88"/>
        <v>32</v>
      </c>
      <c r="H548" s="2">
        <f t="shared" si="89"/>
        <v>31</v>
      </c>
      <c r="I548" s="2">
        <v>1</v>
      </c>
      <c r="J548" s="44" t="s">
        <v>48</v>
      </c>
      <c r="K548" s="2" t="s">
        <v>49</v>
      </c>
      <c r="L548" s="2">
        <v>1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/>
      <c r="AM548" s="2" t="s">
        <v>103</v>
      </c>
      <c r="AN548" s="2">
        <f t="shared" si="81"/>
        <v>1</v>
      </c>
      <c r="AO548" s="2">
        <f t="shared" si="82"/>
        <v>0</v>
      </c>
      <c r="AP548" s="2">
        <f t="shared" si="83"/>
        <v>0</v>
      </c>
      <c r="AQ548" s="2">
        <f t="shared" si="84"/>
        <v>0</v>
      </c>
      <c r="AR548" s="2">
        <f t="shared" si="85"/>
        <v>0</v>
      </c>
      <c r="AS548" s="2">
        <f t="shared" si="86"/>
        <v>0</v>
      </c>
      <c r="AT548" s="25">
        <f t="shared" si="87"/>
        <v>0</v>
      </c>
    </row>
    <row r="549" spans="1:46">
      <c r="A549" s="24">
        <v>46128</v>
      </c>
      <c r="B549" s="23">
        <f t="shared" si="80"/>
        <v>46113</v>
      </c>
      <c r="C549" s="2" t="s">
        <v>82</v>
      </c>
      <c r="D549" s="2" t="s">
        <v>130</v>
      </c>
      <c r="E549" s="2">
        <v>2656</v>
      </c>
      <c r="F549" s="2">
        <v>266</v>
      </c>
      <c r="G549" s="2">
        <f t="shared" si="88"/>
        <v>32</v>
      </c>
      <c r="H549" s="2">
        <f t="shared" si="89"/>
        <v>31</v>
      </c>
      <c r="I549" s="2">
        <v>1</v>
      </c>
      <c r="J549" s="44" t="s">
        <v>48</v>
      </c>
      <c r="K549" s="2" t="s">
        <v>49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1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/>
      <c r="AM549" s="2" t="s">
        <v>93</v>
      </c>
      <c r="AN549" s="2">
        <f t="shared" si="81"/>
        <v>0</v>
      </c>
      <c r="AO549" s="2">
        <f t="shared" si="82"/>
        <v>1</v>
      </c>
      <c r="AP549" s="2">
        <f t="shared" si="83"/>
        <v>0</v>
      </c>
      <c r="AQ549" s="2">
        <f t="shared" si="84"/>
        <v>0</v>
      </c>
      <c r="AR549" s="2">
        <f t="shared" si="85"/>
        <v>0</v>
      </c>
      <c r="AS549" s="2">
        <f t="shared" si="86"/>
        <v>0</v>
      </c>
      <c r="AT549" s="25">
        <f t="shared" si="87"/>
        <v>0</v>
      </c>
    </row>
    <row r="550" spans="1:46">
      <c r="A550" s="24">
        <v>46128</v>
      </c>
      <c r="B550" s="23">
        <f t="shared" si="80"/>
        <v>46113</v>
      </c>
      <c r="C550" s="2" t="s">
        <v>82</v>
      </c>
      <c r="D550" s="2" t="s">
        <v>113</v>
      </c>
      <c r="E550" s="2">
        <v>2598</v>
      </c>
      <c r="F550" s="2">
        <v>372</v>
      </c>
      <c r="G550" s="2">
        <f t="shared" si="88"/>
        <v>50</v>
      </c>
      <c r="H550" s="2">
        <f t="shared" si="89"/>
        <v>48</v>
      </c>
      <c r="I550" s="2">
        <v>2</v>
      </c>
      <c r="J550" s="44" t="s">
        <v>48</v>
      </c>
      <c r="K550" s="2" t="s">
        <v>49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2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/>
      <c r="AM550" s="2" t="s">
        <v>93</v>
      </c>
      <c r="AN550" s="2">
        <f t="shared" si="81"/>
        <v>0</v>
      </c>
      <c r="AO550" s="2">
        <f t="shared" si="82"/>
        <v>2</v>
      </c>
      <c r="AP550" s="2">
        <f t="shared" si="83"/>
        <v>0</v>
      </c>
      <c r="AQ550" s="2">
        <f t="shared" si="84"/>
        <v>0</v>
      </c>
      <c r="AR550" s="2">
        <f t="shared" si="85"/>
        <v>0</v>
      </c>
      <c r="AS550" s="2">
        <f t="shared" si="86"/>
        <v>0</v>
      </c>
      <c r="AT550" s="25">
        <f t="shared" si="87"/>
        <v>0</v>
      </c>
    </row>
    <row r="551" spans="1:46">
      <c r="A551" s="24">
        <v>46128</v>
      </c>
      <c r="B551" s="23">
        <f t="shared" si="80"/>
        <v>46113</v>
      </c>
      <c r="C551" s="2" t="s">
        <v>82</v>
      </c>
      <c r="D551" s="2" t="s">
        <v>89</v>
      </c>
      <c r="E551" s="2">
        <v>8141</v>
      </c>
      <c r="F551" s="2">
        <v>416</v>
      </c>
      <c r="G551" s="2">
        <f t="shared" si="88"/>
        <v>50</v>
      </c>
      <c r="H551" s="2">
        <f t="shared" si="89"/>
        <v>50</v>
      </c>
      <c r="I551" s="2">
        <v>0</v>
      </c>
      <c r="J551" s="44" t="s">
        <v>48</v>
      </c>
      <c r="K551" s="2" t="s">
        <v>49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/>
      <c r="AM551" s="2" t="s">
        <v>93</v>
      </c>
      <c r="AN551" s="2">
        <f t="shared" si="81"/>
        <v>0</v>
      </c>
      <c r="AO551" s="2">
        <f t="shared" si="82"/>
        <v>0</v>
      </c>
      <c r="AP551" s="2">
        <f t="shared" si="83"/>
        <v>0</v>
      </c>
      <c r="AQ551" s="2">
        <f t="shared" si="84"/>
        <v>0</v>
      </c>
      <c r="AR551" s="2">
        <f t="shared" si="85"/>
        <v>0</v>
      </c>
      <c r="AS551" s="2">
        <f t="shared" si="86"/>
        <v>0</v>
      </c>
      <c r="AT551" s="25">
        <f t="shared" si="87"/>
        <v>0</v>
      </c>
    </row>
    <row r="552" spans="1:46">
      <c r="A552" s="24">
        <v>46128</v>
      </c>
      <c r="B552" s="23">
        <f t="shared" si="80"/>
        <v>46113</v>
      </c>
      <c r="C552" s="2" t="s">
        <v>82</v>
      </c>
      <c r="D552" s="2" t="s">
        <v>305</v>
      </c>
      <c r="E552" s="2">
        <v>8141</v>
      </c>
      <c r="F552" s="2">
        <v>55</v>
      </c>
      <c r="G552" s="2">
        <f t="shared" si="88"/>
        <v>20</v>
      </c>
      <c r="H552" s="2">
        <f t="shared" si="89"/>
        <v>20</v>
      </c>
      <c r="I552" s="2">
        <v>0</v>
      </c>
      <c r="J552" s="44" t="s">
        <v>48</v>
      </c>
      <c r="K552" s="2" t="s">
        <v>49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/>
      <c r="AM552" s="2" t="s">
        <v>93</v>
      </c>
      <c r="AN552" s="2">
        <f t="shared" si="81"/>
        <v>0</v>
      </c>
      <c r="AO552" s="2">
        <f t="shared" si="82"/>
        <v>0</v>
      </c>
      <c r="AP552" s="2">
        <f t="shared" si="83"/>
        <v>0</v>
      </c>
      <c r="AQ552" s="2">
        <f t="shared" si="84"/>
        <v>0</v>
      </c>
      <c r="AR552" s="2">
        <f t="shared" si="85"/>
        <v>0</v>
      </c>
      <c r="AS552" s="2">
        <f t="shared" si="86"/>
        <v>0</v>
      </c>
      <c r="AT552" s="25">
        <f t="shared" si="87"/>
        <v>0</v>
      </c>
    </row>
    <row r="553" spans="1:46">
      <c r="A553" s="24">
        <v>46128</v>
      </c>
      <c r="B553" s="23">
        <f t="shared" si="80"/>
        <v>46113</v>
      </c>
      <c r="C553" s="2" t="s">
        <v>160</v>
      </c>
      <c r="D553" s="2" t="s">
        <v>205</v>
      </c>
      <c r="E553" s="2">
        <v>3224</v>
      </c>
      <c r="F553" s="2">
        <v>560</v>
      </c>
      <c r="G553" s="2">
        <f t="shared" si="88"/>
        <v>80</v>
      </c>
      <c r="H553" s="2">
        <f t="shared" si="89"/>
        <v>72</v>
      </c>
      <c r="I553" s="2">
        <v>8</v>
      </c>
      <c r="J553" s="44" t="s">
        <v>67</v>
      </c>
      <c r="K553" s="2" t="s">
        <v>49</v>
      </c>
      <c r="L553" s="2">
        <v>1</v>
      </c>
      <c r="M553" s="2">
        <v>0</v>
      </c>
      <c r="N553" s="2">
        <v>0</v>
      </c>
      <c r="O553" s="2">
        <v>0</v>
      </c>
      <c r="P553" s="2">
        <v>0</v>
      </c>
      <c r="Q553" s="2">
        <v>2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5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/>
      <c r="AM553" s="2" t="s">
        <v>93</v>
      </c>
      <c r="AN553" s="2">
        <f t="shared" si="81"/>
        <v>1</v>
      </c>
      <c r="AO553" s="2">
        <f t="shared" si="82"/>
        <v>2</v>
      </c>
      <c r="AP553" s="2">
        <f t="shared" si="83"/>
        <v>0</v>
      </c>
      <c r="AQ553" s="2">
        <f t="shared" si="84"/>
        <v>0</v>
      </c>
      <c r="AR553" s="2">
        <f t="shared" si="85"/>
        <v>5</v>
      </c>
      <c r="AS553" s="2">
        <f t="shared" si="86"/>
        <v>0</v>
      </c>
      <c r="AT553" s="25">
        <f t="shared" si="87"/>
        <v>0</v>
      </c>
    </row>
    <row r="554" spans="1:46">
      <c r="A554" s="24">
        <v>46128</v>
      </c>
      <c r="B554" s="23">
        <f t="shared" si="80"/>
        <v>46113</v>
      </c>
      <c r="C554" s="2" t="s">
        <v>160</v>
      </c>
      <c r="D554" s="2" t="s">
        <v>162</v>
      </c>
      <c r="E554" s="2">
        <v>3227</v>
      </c>
      <c r="F554" s="2">
        <v>149</v>
      </c>
      <c r="G554" s="2">
        <f t="shared" si="88"/>
        <v>20</v>
      </c>
      <c r="H554" s="2">
        <f t="shared" si="89"/>
        <v>20</v>
      </c>
      <c r="I554" s="2">
        <v>0</v>
      </c>
      <c r="J554" s="44" t="s">
        <v>48</v>
      </c>
      <c r="K554" s="2" t="s">
        <v>49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/>
      <c r="AM554" s="2" t="s">
        <v>93</v>
      </c>
      <c r="AN554" s="2">
        <f t="shared" si="81"/>
        <v>0</v>
      </c>
      <c r="AO554" s="2">
        <f t="shared" si="82"/>
        <v>0</v>
      </c>
      <c r="AP554" s="2">
        <f t="shared" si="83"/>
        <v>0</v>
      </c>
      <c r="AQ554" s="2">
        <f t="shared" si="84"/>
        <v>0</v>
      </c>
      <c r="AR554" s="2">
        <f t="shared" si="85"/>
        <v>0</v>
      </c>
      <c r="AS554" s="2">
        <f t="shared" si="86"/>
        <v>0</v>
      </c>
      <c r="AT554" s="25">
        <f t="shared" si="87"/>
        <v>0</v>
      </c>
    </row>
    <row r="555" spans="1:46">
      <c r="A555" s="24">
        <v>46128</v>
      </c>
      <c r="B555" s="23">
        <f t="shared" si="80"/>
        <v>46113</v>
      </c>
      <c r="C555" s="2" t="s">
        <v>160</v>
      </c>
      <c r="D555" s="2" t="s">
        <v>205</v>
      </c>
      <c r="E555" s="2">
        <v>3224</v>
      </c>
      <c r="F555" s="2">
        <v>560</v>
      </c>
      <c r="G555" s="2">
        <f t="shared" si="88"/>
        <v>80</v>
      </c>
      <c r="H555" s="2">
        <f t="shared" si="89"/>
        <v>77</v>
      </c>
      <c r="I555" s="2">
        <v>3</v>
      </c>
      <c r="J555" s="44" t="s">
        <v>48</v>
      </c>
      <c r="K555" s="2" t="s">
        <v>49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3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/>
      <c r="AM555" s="2" t="s">
        <v>93</v>
      </c>
      <c r="AN555" s="2">
        <f t="shared" si="81"/>
        <v>0</v>
      </c>
      <c r="AO555" s="2">
        <f t="shared" si="82"/>
        <v>3</v>
      </c>
      <c r="AP555" s="2">
        <f t="shared" si="83"/>
        <v>0</v>
      </c>
      <c r="AQ555" s="2">
        <f t="shared" si="84"/>
        <v>0</v>
      </c>
      <c r="AR555" s="2">
        <f t="shared" si="85"/>
        <v>0</v>
      </c>
      <c r="AS555" s="2">
        <f t="shared" si="86"/>
        <v>0</v>
      </c>
      <c r="AT555" s="25">
        <f t="shared" si="87"/>
        <v>0</v>
      </c>
    </row>
    <row r="556" spans="1:46">
      <c r="A556" s="24">
        <v>46128</v>
      </c>
      <c r="B556" s="23">
        <f t="shared" si="80"/>
        <v>46113</v>
      </c>
      <c r="C556" s="2" t="s">
        <v>82</v>
      </c>
      <c r="D556" s="2" t="s">
        <v>382</v>
      </c>
      <c r="E556" s="2">
        <v>3184</v>
      </c>
      <c r="F556" s="2">
        <v>105</v>
      </c>
      <c r="G556" s="2">
        <f t="shared" si="88"/>
        <v>20</v>
      </c>
      <c r="H556" s="2">
        <f t="shared" si="89"/>
        <v>19</v>
      </c>
      <c r="I556" s="2">
        <v>1</v>
      </c>
      <c r="J556" s="44" t="s">
        <v>48</v>
      </c>
      <c r="K556" s="2" t="s">
        <v>49</v>
      </c>
      <c r="L556" s="2">
        <v>1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/>
      <c r="AM556" s="2" t="s">
        <v>93</v>
      </c>
      <c r="AN556" s="2">
        <f t="shared" si="81"/>
        <v>1</v>
      </c>
      <c r="AO556" s="2">
        <f t="shared" si="82"/>
        <v>0</v>
      </c>
      <c r="AP556" s="2">
        <f t="shared" si="83"/>
        <v>0</v>
      </c>
      <c r="AQ556" s="2">
        <f t="shared" si="84"/>
        <v>0</v>
      </c>
      <c r="AR556" s="2">
        <f t="shared" si="85"/>
        <v>0</v>
      </c>
      <c r="AS556" s="2">
        <f t="shared" si="86"/>
        <v>0</v>
      </c>
      <c r="AT556" s="25">
        <f t="shared" si="87"/>
        <v>0</v>
      </c>
    </row>
    <row r="557" spans="1:46">
      <c r="A557" s="24">
        <v>46128</v>
      </c>
      <c r="B557" s="23">
        <f t="shared" si="80"/>
        <v>46113</v>
      </c>
      <c r="C557" s="2" t="s">
        <v>82</v>
      </c>
      <c r="D557" s="3" t="s">
        <v>96</v>
      </c>
      <c r="E557" s="2">
        <v>1802</v>
      </c>
      <c r="F557" s="2">
        <v>286</v>
      </c>
      <c r="G557" s="2">
        <f t="shared" si="88"/>
        <v>50</v>
      </c>
      <c r="H557" s="2">
        <f t="shared" si="89"/>
        <v>50</v>
      </c>
      <c r="I557" s="2">
        <v>0</v>
      </c>
      <c r="J557" s="44" t="s">
        <v>48</v>
      </c>
      <c r="K557" s="2" t="s">
        <v>49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/>
      <c r="AM557" s="2" t="s">
        <v>93</v>
      </c>
      <c r="AN557" s="2">
        <f t="shared" si="81"/>
        <v>0</v>
      </c>
      <c r="AO557" s="2">
        <f t="shared" si="82"/>
        <v>0</v>
      </c>
      <c r="AP557" s="2">
        <f t="shared" si="83"/>
        <v>0</v>
      </c>
      <c r="AQ557" s="2">
        <f t="shared" si="84"/>
        <v>0</v>
      </c>
      <c r="AR557" s="2">
        <f t="shared" si="85"/>
        <v>0</v>
      </c>
      <c r="AS557" s="2">
        <f t="shared" si="86"/>
        <v>0</v>
      </c>
      <c r="AT557" s="25">
        <f t="shared" si="87"/>
        <v>0</v>
      </c>
    </row>
    <row r="558" spans="1:46">
      <c r="A558" s="24">
        <v>46128</v>
      </c>
      <c r="B558" s="23">
        <f t="shared" si="80"/>
        <v>46113</v>
      </c>
      <c r="C558" s="2" t="s">
        <v>82</v>
      </c>
      <c r="D558" s="2" t="s">
        <v>351</v>
      </c>
      <c r="E558" s="2">
        <v>3247</v>
      </c>
      <c r="F558" s="2">
        <v>211</v>
      </c>
      <c r="G558" s="2">
        <f t="shared" si="88"/>
        <v>32</v>
      </c>
      <c r="H558" s="2">
        <f t="shared" si="89"/>
        <v>32</v>
      </c>
      <c r="I558" s="2">
        <v>0</v>
      </c>
      <c r="J558" s="44" t="s">
        <v>48</v>
      </c>
      <c r="K558" s="2" t="s">
        <v>49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/>
      <c r="AM558" s="2" t="s">
        <v>93</v>
      </c>
      <c r="AN558" s="2">
        <f t="shared" si="81"/>
        <v>0</v>
      </c>
      <c r="AO558" s="2">
        <f t="shared" si="82"/>
        <v>0</v>
      </c>
      <c r="AP558" s="2">
        <f t="shared" si="83"/>
        <v>0</v>
      </c>
      <c r="AQ558" s="2">
        <f t="shared" si="84"/>
        <v>0</v>
      </c>
      <c r="AR558" s="2">
        <f t="shared" si="85"/>
        <v>0</v>
      </c>
      <c r="AS558" s="2">
        <f t="shared" si="86"/>
        <v>0</v>
      </c>
      <c r="AT558" s="25">
        <f t="shared" si="87"/>
        <v>0</v>
      </c>
    </row>
    <row r="559" spans="1:46">
      <c r="A559" s="24">
        <v>46128</v>
      </c>
      <c r="B559" s="23">
        <f t="shared" si="80"/>
        <v>46113</v>
      </c>
      <c r="C559" s="2" t="s">
        <v>46</v>
      </c>
      <c r="D559" s="2" t="s">
        <v>171</v>
      </c>
      <c r="E559" s="2">
        <v>6207</v>
      </c>
      <c r="F559" s="2">
        <v>130</v>
      </c>
      <c r="G559" s="2">
        <f t="shared" si="88"/>
        <v>20</v>
      </c>
      <c r="H559" s="2">
        <f t="shared" si="89"/>
        <v>17</v>
      </c>
      <c r="I559" s="2">
        <v>3</v>
      </c>
      <c r="J559" s="44" t="s">
        <v>67</v>
      </c>
      <c r="K559" s="2" t="s">
        <v>49</v>
      </c>
      <c r="L559" s="2">
        <v>2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1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/>
      <c r="AM559" s="2" t="s">
        <v>93</v>
      </c>
      <c r="AN559" s="2">
        <f t="shared" si="81"/>
        <v>2</v>
      </c>
      <c r="AO559" s="2">
        <f t="shared" si="82"/>
        <v>1</v>
      </c>
      <c r="AP559" s="2">
        <f t="shared" si="83"/>
        <v>0</v>
      </c>
      <c r="AQ559" s="2">
        <f t="shared" si="84"/>
        <v>0</v>
      </c>
      <c r="AR559" s="2">
        <f t="shared" si="85"/>
        <v>0</v>
      </c>
      <c r="AS559" s="2">
        <f t="shared" si="86"/>
        <v>0</v>
      </c>
      <c r="AT559" s="25">
        <f t="shared" si="87"/>
        <v>0</v>
      </c>
    </row>
    <row r="560" spans="1:46">
      <c r="A560" s="24">
        <v>46128</v>
      </c>
      <c r="B560" s="23">
        <f t="shared" si="80"/>
        <v>46113</v>
      </c>
      <c r="C560" s="2" t="s">
        <v>160</v>
      </c>
      <c r="D560" s="2" t="s">
        <v>322</v>
      </c>
      <c r="E560" s="2">
        <v>3089</v>
      </c>
      <c r="F560" s="2">
        <v>191</v>
      </c>
      <c r="G560" s="2">
        <f t="shared" si="88"/>
        <v>32</v>
      </c>
      <c r="H560" s="2">
        <f t="shared" si="89"/>
        <v>30</v>
      </c>
      <c r="I560" s="2">
        <v>2</v>
      </c>
      <c r="J560" s="44" t="s">
        <v>48</v>
      </c>
      <c r="K560" s="2" t="s">
        <v>49</v>
      </c>
      <c r="L560" s="2">
        <v>1</v>
      </c>
      <c r="M560" s="2">
        <v>0</v>
      </c>
      <c r="N560" s="2">
        <v>0</v>
      </c>
      <c r="O560" s="2">
        <v>0</v>
      </c>
      <c r="P560" s="2">
        <v>1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/>
      <c r="AM560" s="2" t="s">
        <v>93</v>
      </c>
      <c r="AN560" s="2">
        <f t="shared" si="81"/>
        <v>1</v>
      </c>
      <c r="AO560" s="2">
        <f t="shared" si="82"/>
        <v>1</v>
      </c>
      <c r="AP560" s="2">
        <f t="shared" si="83"/>
        <v>0</v>
      </c>
      <c r="AQ560" s="2">
        <f t="shared" si="84"/>
        <v>0</v>
      </c>
      <c r="AR560" s="2">
        <f t="shared" si="85"/>
        <v>0</v>
      </c>
      <c r="AS560" s="2">
        <f t="shared" si="86"/>
        <v>0</v>
      </c>
      <c r="AT560" s="25">
        <f t="shared" si="87"/>
        <v>0</v>
      </c>
    </row>
    <row r="561" spans="1:46">
      <c r="A561" s="24">
        <v>46128</v>
      </c>
      <c r="B561" s="23">
        <f t="shared" si="80"/>
        <v>46113</v>
      </c>
      <c r="C561" s="2" t="s">
        <v>66</v>
      </c>
      <c r="D561" s="2" t="s">
        <v>68</v>
      </c>
      <c r="E561" s="2">
        <v>2638</v>
      </c>
      <c r="F561" s="2">
        <v>163</v>
      </c>
      <c r="G561" s="2">
        <f t="shared" si="88"/>
        <v>32</v>
      </c>
      <c r="H561" s="2">
        <f t="shared" si="89"/>
        <v>31</v>
      </c>
      <c r="I561" s="2">
        <v>1</v>
      </c>
      <c r="J561" s="44" t="s">
        <v>48</v>
      </c>
      <c r="K561" s="2" t="s">
        <v>49</v>
      </c>
      <c r="L561" s="2">
        <v>1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/>
      <c r="AM561" s="2" t="s">
        <v>110</v>
      </c>
      <c r="AN561" s="2">
        <f t="shared" si="81"/>
        <v>1</v>
      </c>
      <c r="AO561" s="2">
        <f t="shared" si="82"/>
        <v>0</v>
      </c>
      <c r="AP561" s="2">
        <f t="shared" si="83"/>
        <v>0</v>
      </c>
      <c r="AQ561" s="2">
        <f t="shared" si="84"/>
        <v>0</v>
      </c>
      <c r="AR561" s="2">
        <f t="shared" si="85"/>
        <v>0</v>
      </c>
      <c r="AS561" s="2">
        <f t="shared" si="86"/>
        <v>0</v>
      </c>
      <c r="AT561" s="25">
        <f t="shared" si="87"/>
        <v>0</v>
      </c>
    </row>
    <row r="562" spans="1:46">
      <c r="A562" s="24">
        <v>46128</v>
      </c>
      <c r="B562" s="23">
        <f t="shared" si="80"/>
        <v>46113</v>
      </c>
      <c r="C562" s="2" t="s">
        <v>66</v>
      </c>
      <c r="D562" s="2" t="s">
        <v>130</v>
      </c>
      <c r="E562" s="2">
        <v>2656</v>
      </c>
      <c r="F562" s="2">
        <v>336</v>
      </c>
      <c r="G562" s="2">
        <f t="shared" si="88"/>
        <v>50</v>
      </c>
      <c r="H562" s="2">
        <f t="shared" si="89"/>
        <v>50</v>
      </c>
      <c r="I562" s="2">
        <v>0</v>
      </c>
      <c r="J562" s="44" t="s">
        <v>48</v>
      </c>
      <c r="K562" s="2" t="s">
        <v>49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/>
      <c r="AM562" s="2" t="s">
        <v>110</v>
      </c>
      <c r="AN562" s="2">
        <f t="shared" si="81"/>
        <v>0</v>
      </c>
      <c r="AO562" s="2">
        <f t="shared" si="82"/>
        <v>0</v>
      </c>
      <c r="AP562" s="2">
        <f t="shared" si="83"/>
        <v>0</v>
      </c>
      <c r="AQ562" s="2">
        <f t="shared" si="84"/>
        <v>0</v>
      </c>
      <c r="AR562" s="2">
        <f t="shared" si="85"/>
        <v>0</v>
      </c>
      <c r="AS562" s="2">
        <f t="shared" si="86"/>
        <v>0</v>
      </c>
      <c r="AT562" s="25">
        <f t="shared" si="87"/>
        <v>0</v>
      </c>
    </row>
    <row r="563" spans="1:46">
      <c r="A563" s="24">
        <v>46128</v>
      </c>
      <c r="B563" s="23">
        <f t="shared" si="80"/>
        <v>46113</v>
      </c>
      <c r="C563" s="2" t="s">
        <v>95</v>
      </c>
      <c r="D563" s="2" t="s">
        <v>291</v>
      </c>
      <c r="E563" s="2">
        <v>6222</v>
      </c>
      <c r="F563" s="2">
        <v>63</v>
      </c>
      <c r="G563" s="2">
        <f t="shared" si="88"/>
        <v>20</v>
      </c>
      <c r="H563" s="2">
        <f t="shared" si="89"/>
        <v>20</v>
      </c>
      <c r="I563" s="2">
        <v>0</v>
      </c>
      <c r="J563" s="44" t="s">
        <v>48</v>
      </c>
      <c r="K563" s="2" t="s">
        <v>49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/>
      <c r="AM563" s="2" t="s">
        <v>110</v>
      </c>
      <c r="AN563" s="2">
        <f t="shared" si="81"/>
        <v>0</v>
      </c>
      <c r="AO563" s="2">
        <f t="shared" si="82"/>
        <v>0</v>
      </c>
      <c r="AP563" s="2">
        <f t="shared" si="83"/>
        <v>0</v>
      </c>
      <c r="AQ563" s="2">
        <f t="shared" si="84"/>
        <v>0</v>
      </c>
      <c r="AR563" s="2">
        <f t="shared" si="85"/>
        <v>0</v>
      </c>
      <c r="AS563" s="2">
        <f t="shared" si="86"/>
        <v>0</v>
      </c>
      <c r="AT563" s="25">
        <f t="shared" si="87"/>
        <v>0</v>
      </c>
    </row>
    <row r="564" spans="1:46">
      <c r="A564" s="24">
        <v>46128</v>
      </c>
      <c r="B564" s="23">
        <f t="shared" si="80"/>
        <v>46113</v>
      </c>
      <c r="C564" s="2" t="s">
        <v>66</v>
      </c>
      <c r="D564" s="2" t="s">
        <v>1300</v>
      </c>
      <c r="E564" s="2">
        <v>1899</v>
      </c>
      <c r="F564" s="2">
        <v>300</v>
      </c>
      <c r="G564" s="2">
        <f t="shared" si="88"/>
        <v>50</v>
      </c>
      <c r="H564" s="2">
        <f t="shared" si="89"/>
        <v>50</v>
      </c>
      <c r="I564" s="2">
        <v>0</v>
      </c>
      <c r="J564" s="44" t="s">
        <v>48</v>
      </c>
      <c r="K564" s="2" t="s">
        <v>49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/>
      <c r="AM564" s="2" t="s">
        <v>110</v>
      </c>
      <c r="AN564" s="2">
        <f t="shared" si="81"/>
        <v>0</v>
      </c>
      <c r="AO564" s="2">
        <f t="shared" si="82"/>
        <v>0</v>
      </c>
      <c r="AP564" s="2">
        <f t="shared" si="83"/>
        <v>0</v>
      </c>
      <c r="AQ564" s="2">
        <f t="shared" si="84"/>
        <v>0</v>
      </c>
      <c r="AR564" s="2">
        <f t="shared" si="85"/>
        <v>0</v>
      </c>
      <c r="AS564" s="2">
        <f t="shared" si="86"/>
        <v>0</v>
      </c>
      <c r="AT564" s="25">
        <f t="shared" si="87"/>
        <v>0</v>
      </c>
    </row>
    <row r="565" spans="1:46">
      <c r="A565" s="24">
        <v>46128</v>
      </c>
      <c r="B565" s="23">
        <f t="shared" si="80"/>
        <v>46113</v>
      </c>
      <c r="C565" s="2" t="s">
        <v>66</v>
      </c>
      <c r="D565" s="2" t="s">
        <v>191</v>
      </c>
      <c r="E565" s="2">
        <v>1899</v>
      </c>
      <c r="F565" s="2">
        <v>118</v>
      </c>
      <c r="G565" s="2">
        <f t="shared" si="88"/>
        <v>20</v>
      </c>
      <c r="H565" s="2">
        <f t="shared" si="89"/>
        <v>20</v>
      </c>
      <c r="I565" s="2">
        <v>0</v>
      </c>
      <c r="J565" s="44" t="s">
        <v>48</v>
      </c>
      <c r="K565" s="2" t="s">
        <v>49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/>
      <c r="AM565" s="2" t="s">
        <v>110</v>
      </c>
      <c r="AN565" s="2">
        <f t="shared" si="81"/>
        <v>0</v>
      </c>
      <c r="AO565" s="2">
        <f t="shared" si="82"/>
        <v>0</v>
      </c>
      <c r="AP565" s="2">
        <f t="shared" si="83"/>
        <v>0</v>
      </c>
      <c r="AQ565" s="2">
        <f t="shared" si="84"/>
        <v>0</v>
      </c>
      <c r="AR565" s="2">
        <f t="shared" si="85"/>
        <v>0</v>
      </c>
      <c r="AS565" s="2">
        <f t="shared" si="86"/>
        <v>0</v>
      </c>
      <c r="AT565" s="25">
        <f t="shared" si="87"/>
        <v>0</v>
      </c>
    </row>
    <row r="566" spans="1:46">
      <c r="A566" s="24">
        <v>46128</v>
      </c>
      <c r="B566" s="23">
        <f t="shared" si="80"/>
        <v>46113</v>
      </c>
      <c r="C566" s="2" t="s">
        <v>66</v>
      </c>
      <c r="D566" s="2" t="s">
        <v>1403</v>
      </c>
      <c r="E566" s="2">
        <v>10060</v>
      </c>
      <c r="F566" s="2">
        <v>489</v>
      </c>
      <c r="G566" s="2">
        <f t="shared" si="88"/>
        <v>50</v>
      </c>
      <c r="H566" s="2">
        <f t="shared" si="89"/>
        <v>48</v>
      </c>
      <c r="I566" s="2">
        <v>2</v>
      </c>
      <c r="J566" s="44" t="s">
        <v>48</v>
      </c>
      <c r="K566" s="2" t="s">
        <v>49</v>
      </c>
      <c r="L566" s="2">
        <v>1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1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/>
      <c r="AM566" s="2" t="s">
        <v>110</v>
      </c>
      <c r="AN566" s="2">
        <f t="shared" si="81"/>
        <v>1</v>
      </c>
      <c r="AO566" s="2">
        <f t="shared" si="82"/>
        <v>1</v>
      </c>
      <c r="AP566" s="2">
        <f t="shared" si="83"/>
        <v>0</v>
      </c>
      <c r="AQ566" s="2">
        <f t="shared" si="84"/>
        <v>0</v>
      </c>
      <c r="AR566" s="2">
        <f t="shared" si="85"/>
        <v>0</v>
      </c>
      <c r="AS566" s="2">
        <f t="shared" si="86"/>
        <v>0</v>
      </c>
      <c r="AT566" s="25">
        <f t="shared" si="87"/>
        <v>0</v>
      </c>
    </row>
    <row r="567" spans="1:46">
      <c r="A567" s="24">
        <v>46128</v>
      </c>
      <c r="B567" s="23">
        <f t="shared" si="80"/>
        <v>46113</v>
      </c>
      <c r="C567" s="2" t="s">
        <v>55</v>
      </c>
      <c r="D567" s="3" t="s">
        <v>277</v>
      </c>
      <c r="E567" s="2">
        <v>3250</v>
      </c>
      <c r="F567" s="2">
        <v>259</v>
      </c>
      <c r="G567" s="2">
        <f t="shared" si="88"/>
        <v>32</v>
      </c>
      <c r="H567" s="2">
        <f t="shared" si="89"/>
        <v>32</v>
      </c>
      <c r="I567" s="2">
        <v>0</v>
      </c>
      <c r="J567" s="44" t="s">
        <v>48</v>
      </c>
      <c r="K567" s="2" t="s">
        <v>49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/>
      <c r="AM567" s="2" t="s">
        <v>1566</v>
      </c>
      <c r="AN567" s="2">
        <f t="shared" si="81"/>
        <v>0</v>
      </c>
      <c r="AO567" s="2">
        <f t="shared" si="82"/>
        <v>0</v>
      </c>
      <c r="AP567" s="2">
        <f t="shared" si="83"/>
        <v>0</v>
      </c>
      <c r="AQ567" s="2">
        <f t="shared" si="84"/>
        <v>0</v>
      </c>
      <c r="AR567" s="2">
        <f t="shared" si="85"/>
        <v>0</v>
      </c>
      <c r="AS567" s="2">
        <f t="shared" si="86"/>
        <v>0</v>
      </c>
      <c r="AT567" s="25">
        <f t="shared" si="87"/>
        <v>0</v>
      </c>
    </row>
    <row r="568" spans="1:46">
      <c r="A568" s="24">
        <v>46128</v>
      </c>
      <c r="B568" s="23">
        <f t="shared" si="80"/>
        <v>46113</v>
      </c>
      <c r="C568" s="2" t="s">
        <v>55</v>
      </c>
      <c r="D568" s="2" t="s">
        <v>59</v>
      </c>
      <c r="E568" s="2">
        <v>1775</v>
      </c>
      <c r="F568" s="2">
        <v>52</v>
      </c>
      <c r="G568" s="2">
        <f t="shared" si="88"/>
        <v>20</v>
      </c>
      <c r="H568" s="2">
        <f t="shared" si="89"/>
        <v>20</v>
      </c>
      <c r="I568" s="2">
        <v>0</v>
      </c>
      <c r="J568" s="44" t="s">
        <v>48</v>
      </c>
      <c r="K568" s="2" t="s">
        <v>49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/>
      <c r="AM568" s="2" t="s">
        <v>1566</v>
      </c>
      <c r="AN568" s="2">
        <f t="shared" si="81"/>
        <v>0</v>
      </c>
      <c r="AO568" s="2">
        <f t="shared" si="82"/>
        <v>0</v>
      </c>
      <c r="AP568" s="2">
        <f t="shared" si="83"/>
        <v>0</v>
      </c>
      <c r="AQ568" s="2">
        <f t="shared" si="84"/>
        <v>0</v>
      </c>
      <c r="AR568" s="2">
        <f t="shared" si="85"/>
        <v>0</v>
      </c>
      <c r="AS568" s="2">
        <f t="shared" si="86"/>
        <v>0</v>
      </c>
      <c r="AT568" s="25">
        <f t="shared" si="87"/>
        <v>0</v>
      </c>
    </row>
    <row r="569" spans="1:46">
      <c r="A569" s="24">
        <v>46128</v>
      </c>
      <c r="B569" s="23">
        <f t="shared" si="80"/>
        <v>46113</v>
      </c>
      <c r="C569" s="2" t="s">
        <v>55</v>
      </c>
      <c r="D569" s="2" t="s">
        <v>132</v>
      </c>
      <c r="E569" s="2">
        <v>1775</v>
      </c>
      <c r="F569" s="2">
        <v>472</v>
      </c>
      <c r="G569" s="2">
        <f t="shared" si="88"/>
        <v>50</v>
      </c>
      <c r="H569" s="2">
        <f t="shared" si="89"/>
        <v>48</v>
      </c>
      <c r="I569" s="2">
        <v>2</v>
      </c>
      <c r="J569" s="44" t="s">
        <v>48</v>
      </c>
      <c r="K569" s="2" t="s">
        <v>49</v>
      </c>
      <c r="L569" s="2">
        <v>2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/>
      <c r="AM569" s="2" t="s">
        <v>1566</v>
      </c>
      <c r="AN569" s="2">
        <f t="shared" si="81"/>
        <v>2</v>
      </c>
      <c r="AO569" s="2">
        <f t="shared" si="82"/>
        <v>0</v>
      </c>
      <c r="AP569" s="2">
        <f t="shared" si="83"/>
        <v>0</v>
      </c>
      <c r="AQ569" s="2">
        <f t="shared" si="84"/>
        <v>0</v>
      </c>
      <c r="AR569" s="2">
        <f t="shared" si="85"/>
        <v>0</v>
      </c>
      <c r="AS569" s="2">
        <f t="shared" si="86"/>
        <v>0</v>
      </c>
      <c r="AT569" s="25">
        <f t="shared" si="87"/>
        <v>0</v>
      </c>
    </row>
    <row r="570" spans="1:46">
      <c r="A570" s="24">
        <v>46128</v>
      </c>
      <c r="B570" s="23">
        <f t="shared" si="80"/>
        <v>46113</v>
      </c>
      <c r="C570" s="2" t="s">
        <v>95</v>
      </c>
      <c r="D570" s="2" t="s">
        <v>1306</v>
      </c>
      <c r="E570" s="2">
        <v>3322</v>
      </c>
      <c r="F570" s="2">
        <v>118</v>
      </c>
      <c r="G570" s="2">
        <f t="shared" si="88"/>
        <v>20</v>
      </c>
      <c r="H570" s="2">
        <f t="shared" si="89"/>
        <v>20</v>
      </c>
      <c r="I570" s="2">
        <v>0</v>
      </c>
      <c r="J570" s="44" t="s">
        <v>48</v>
      </c>
      <c r="K570" s="2" t="s">
        <v>49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/>
      <c r="AM570" s="2" t="s">
        <v>1566</v>
      </c>
      <c r="AN570" s="2">
        <f t="shared" si="81"/>
        <v>0</v>
      </c>
      <c r="AO570" s="2">
        <f t="shared" si="82"/>
        <v>0</v>
      </c>
      <c r="AP570" s="2">
        <f t="shared" si="83"/>
        <v>0</v>
      </c>
      <c r="AQ570" s="2">
        <f t="shared" si="84"/>
        <v>0</v>
      </c>
      <c r="AR570" s="2">
        <f t="shared" si="85"/>
        <v>0</v>
      </c>
      <c r="AS570" s="2">
        <f t="shared" si="86"/>
        <v>0</v>
      </c>
      <c r="AT570" s="25">
        <f t="shared" si="87"/>
        <v>0</v>
      </c>
    </row>
    <row r="571" spans="1:46">
      <c r="A571" s="24">
        <v>46128</v>
      </c>
      <c r="B571" s="23">
        <f t="shared" si="80"/>
        <v>46113</v>
      </c>
      <c r="C571" s="2" t="s">
        <v>55</v>
      </c>
      <c r="D571" s="2" t="s">
        <v>1310</v>
      </c>
      <c r="E571" s="2">
        <v>8190</v>
      </c>
      <c r="F571" s="2">
        <v>96</v>
      </c>
      <c r="G571" s="2">
        <f t="shared" si="88"/>
        <v>20</v>
      </c>
      <c r="H571" s="2">
        <f t="shared" si="89"/>
        <v>17</v>
      </c>
      <c r="I571" s="2">
        <v>3</v>
      </c>
      <c r="J571" s="44" t="s">
        <v>67</v>
      </c>
      <c r="K571" s="2" t="s">
        <v>49</v>
      </c>
      <c r="L571" s="2">
        <v>3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/>
      <c r="AM571" s="2" t="s">
        <v>1566</v>
      </c>
      <c r="AN571" s="2">
        <f t="shared" si="81"/>
        <v>3</v>
      </c>
      <c r="AO571" s="2">
        <f t="shared" si="82"/>
        <v>0</v>
      </c>
      <c r="AP571" s="2">
        <f t="shared" si="83"/>
        <v>0</v>
      </c>
      <c r="AQ571" s="2">
        <f t="shared" si="84"/>
        <v>0</v>
      </c>
      <c r="AR571" s="2">
        <f t="shared" si="85"/>
        <v>0</v>
      </c>
      <c r="AS571" s="2">
        <f t="shared" si="86"/>
        <v>0</v>
      </c>
      <c r="AT571" s="25">
        <f t="shared" si="87"/>
        <v>0</v>
      </c>
    </row>
    <row r="572" spans="1:46">
      <c r="A572" s="24">
        <v>46128</v>
      </c>
      <c r="B572" s="23">
        <f t="shared" si="80"/>
        <v>46113</v>
      </c>
      <c r="C572" s="2" t="s">
        <v>55</v>
      </c>
      <c r="D572" s="2" t="s">
        <v>327</v>
      </c>
      <c r="E572" s="2">
        <v>6314</v>
      </c>
      <c r="F572" s="2">
        <v>725</v>
      </c>
      <c r="G572" s="2">
        <f t="shared" si="88"/>
        <v>80</v>
      </c>
      <c r="H572" s="2">
        <f t="shared" si="89"/>
        <v>79</v>
      </c>
      <c r="I572" s="2">
        <v>1</v>
      </c>
      <c r="J572" s="44" t="s">
        <v>48</v>
      </c>
      <c r="K572" s="2" t="s">
        <v>49</v>
      </c>
      <c r="L572" s="2">
        <v>1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/>
      <c r="AM572" s="2" t="s">
        <v>1566</v>
      </c>
      <c r="AN572" s="2">
        <f t="shared" si="81"/>
        <v>1</v>
      </c>
      <c r="AO572" s="2">
        <f t="shared" si="82"/>
        <v>0</v>
      </c>
      <c r="AP572" s="2">
        <f t="shared" si="83"/>
        <v>0</v>
      </c>
      <c r="AQ572" s="2">
        <f t="shared" si="84"/>
        <v>0</v>
      </c>
      <c r="AR572" s="2">
        <f t="shared" si="85"/>
        <v>0</v>
      </c>
      <c r="AS572" s="2">
        <f t="shared" si="86"/>
        <v>0</v>
      </c>
      <c r="AT572" s="25">
        <f t="shared" si="87"/>
        <v>0</v>
      </c>
    </row>
    <row r="573" spans="1:46">
      <c r="A573" s="24">
        <v>46128</v>
      </c>
      <c r="B573" s="23">
        <f t="shared" si="80"/>
        <v>46113</v>
      </c>
      <c r="C573" s="2" t="s">
        <v>55</v>
      </c>
      <c r="D573" s="2" t="s">
        <v>1306</v>
      </c>
      <c r="E573" s="2">
        <v>3322</v>
      </c>
      <c r="F573" s="2">
        <v>655</v>
      </c>
      <c r="G573" s="2">
        <f t="shared" si="88"/>
        <v>80</v>
      </c>
      <c r="H573" s="2">
        <f t="shared" si="89"/>
        <v>80</v>
      </c>
      <c r="I573" s="2">
        <v>0</v>
      </c>
      <c r="J573" s="44" t="s">
        <v>48</v>
      </c>
      <c r="K573" s="2" t="s">
        <v>49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/>
      <c r="AM573" s="2" t="s">
        <v>1566</v>
      </c>
      <c r="AN573" s="2">
        <f t="shared" si="81"/>
        <v>0</v>
      </c>
      <c r="AO573" s="2">
        <f t="shared" si="82"/>
        <v>0</v>
      </c>
      <c r="AP573" s="2">
        <f t="shared" si="83"/>
        <v>0</v>
      </c>
      <c r="AQ573" s="2">
        <f t="shared" si="84"/>
        <v>0</v>
      </c>
      <c r="AR573" s="2">
        <f t="shared" si="85"/>
        <v>0</v>
      </c>
      <c r="AS573" s="2">
        <f t="shared" si="86"/>
        <v>0</v>
      </c>
      <c r="AT573" s="25">
        <f t="shared" si="87"/>
        <v>0</v>
      </c>
    </row>
    <row r="574" spans="1:46">
      <c r="A574" s="24">
        <v>46128</v>
      </c>
      <c r="B574" s="23">
        <f t="shared" si="80"/>
        <v>46113</v>
      </c>
      <c r="C574" s="2" t="s">
        <v>46</v>
      </c>
      <c r="D574" s="2" t="s">
        <v>159</v>
      </c>
      <c r="E574" s="2">
        <v>6296</v>
      </c>
      <c r="F574" s="2">
        <v>200</v>
      </c>
      <c r="G574" s="2">
        <f t="shared" si="88"/>
        <v>32</v>
      </c>
      <c r="H574" s="2">
        <f t="shared" si="89"/>
        <v>31</v>
      </c>
      <c r="I574" s="2">
        <v>1</v>
      </c>
      <c r="J574" s="44" t="s">
        <v>48</v>
      </c>
      <c r="K574" s="2" t="s">
        <v>49</v>
      </c>
      <c r="L574" s="2">
        <v>1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/>
      <c r="AM574" s="2" t="s">
        <v>1566</v>
      </c>
      <c r="AN574" s="2">
        <f t="shared" si="81"/>
        <v>1</v>
      </c>
      <c r="AO574" s="2">
        <f t="shared" si="82"/>
        <v>0</v>
      </c>
      <c r="AP574" s="2">
        <f t="shared" si="83"/>
        <v>0</v>
      </c>
      <c r="AQ574" s="2">
        <f t="shared" si="84"/>
        <v>0</v>
      </c>
      <c r="AR574" s="2">
        <f t="shared" si="85"/>
        <v>0</v>
      </c>
      <c r="AS574" s="2">
        <f t="shared" si="86"/>
        <v>0</v>
      </c>
      <c r="AT574" s="25">
        <f t="shared" si="87"/>
        <v>0</v>
      </c>
    </row>
    <row r="575" spans="1:46">
      <c r="A575" s="24">
        <v>46128</v>
      </c>
      <c r="B575" s="23">
        <f t="shared" si="80"/>
        <v>46113</v>
      </c>
      <c r="C575" s="2" t="s">
        <v>55</v>
      </c>
      <c r="D575" s="2" t="s">
        <v>58</v>
      </c>
      <c r="E575" s="2">
        <v>3323</v>
      </c>
      <c r="F575" s="2">
        <v>183</v>
      </c>
      <c r="G575" s="2">
        <f t="shared" si="88"/>
        <v>32</v>
      </c>
      <c r="H575" s="2">
        <f t="shared" si="89"/>
        <v>32</v>
      </c>
      <c r="I575" s="2">
        <v>0</v>
      </c>
      <c r="J575" s="44" t="s">
        <v>48</v>
      </c>
      <c r="K575" s="2" t="s">
        <v>49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/>
      <c r="AM575" s="2" t="s">
        <v>1566</v>
      </c>
      <c r="AN575" s="2">
        <f t="shared" si="81"/>
        <v>0</v>
      </c>
      <c r="AO575" s="2">
        <f t="shared" si="82"/>
        <v>0</v>
      </c>
      <c r="AP575" s="2">
        <f t="shared" si="83"/>
        <v>0</v>
      </c>
      <c r="AQ575" s="2">
        <f t="shared" si="84"/>
        <v>0</v>
      </c>
      <c r="AR575" s="2">
        <f t="shared" si="85"/>
        <v>0</v>
      </c>
      <c r="AS575" s="2">
        <f t="shared" si="86"/>
        <v>0</v>
      </c>
      <c r="AT575" s="25">
        <f t="shared" si="87"/>
        <v>0</v>
      </c>
    </row>
    <row r="576" spans="1:46">
      <c r="A576" s="24">
        <v>46128</v>
      </c>
      <c r="B576" s="23">
        <f t="shared" si="80"/>
        <v>46113</v>
      </c>
      <c r="C576" s="2" t="s">
        <v>55</v>
      </c>
      <c r="D576" s="2" t="s">
        <v>198</v>
      </c>
      <c r="E576" s="2">
        <v>1729</v>
      </c>
      <c r="F576" s="2">
        <v>87</v>
      </c>
      <c r="G576" s="2">
        <f t="shared" si="88"/>
        <v>20</v>
      </c>
      <c r="H576" s="2">
        <f t="shared" si="89"/>
        <v>19</v>
      </c>
      <c r="I576" s="2">
        <v>1</v>
      </c>
      <c r="J576" s="44" t="s">
        <v>48</v>
      </c>
      <c r="K576" s="2" t="s">
        <v>49</v>
      </c>
      <c r="L576" s="2">
        <v>1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/>
      <c r="AM576" s="2" t="s">
        <v>1566</v>
      </c>
      <c r="AN576" s="2">
        <f t="shared" si="81"/>
        <v>1</v>
      </c>
      <c r="AO576" s="2">
        <f t="shared" si="82"/>
        <v>0</v>
      </c>
      <c r="AP576" s="2">
        <f t="shared" si="83"/>
        <v>0</v>
      </c>
      <c r="AQ576" s="2">
        <f t="shared" si="84"/>
        <v>0</v>
      </c>
      <c r="AR576" s="2">
        <f t="shared" si="85"/>
        <v>0</v>
      </c>
      <c r="AS576" s="2">
        <f t="shared" si="86"/>
        <v>0</v>
      </c>
      <c r="AT576" s="25">
        <f t="shared" si="87"/>
        <v>0</v>
      </c>
    </row>
    <row r="577" spans="1:46">
      <c r="A577" s="24">
        <v>46128</v>
      </c>
      <c r="B577" s="23">
        <f t="shared" si="80"/>
        <v>46113</v>
      </c>
      <c r="C577" s="2" t="s">
        <v>46</v>
      </c>
      <c r="D577" s="2" t="s">
        <v>176</v>
      </c>
      <c r="E577" s="2">
        <v>7152</v>
      </c>
      <c r="F577" s="2">
        <v>80</v>
      </c>
      <c r="G577" s="2">
        <f t="shared" si="88"/>
        <v>20</v>
      </c>
      <c r="H577" s="2">
        <f t="shared" si="89"/>
        <v>20</v>
      </c>
      <c r="I577" s="2">
        <v>0</v>
      </c>
      <c r="J577" s="44" t="s">
        <v>48</v>
      </c>
      <c r="K577" s="2" t="s">
        <v>49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/>
      <c r="AM577" s="2" t="s">
        <v>1566</v>
      </c>
      <c r="AN577" s="2">
        <f t="shared" si="81"/>
        <v>0</v>
      </c>
      <c r="AO577" s="2">
        <f t="shared" si="82"/>
        <v>0</v>
      </c>
      <c r="AP577" s="2">
        <f t="shared" si="83"/>
        <v>0</v>
      </c>
      <c r="AQ577" s="2">
        <f t="shared" si="84"/>
        <v>0</v>
      </c>
      <c r="AR577" s="2">
        <f t="shared" si="85"/>
        <v>0</v>
      </c>
      <c r="AS577" s="2">
        <f t="shared" si="86"/>
        <v>0</v>
      </c>
      <c r="AT577" s="25">
        <f t="shared" si="87"/>
        <v>0</v>
      </c>
    </row>
    <row r="578" spans="1:46">
      <c r="A578" s="24">
        <v>46128</v>
      </c>
      <c r="B578" s="23">
        <f t="shared" ref="B578:B641" si="90">EOMONTH(A578,-1)+1</f>
        <v>46113</v>
      </c>
      <c r="C578" s="2" t="s">
        <v>55</v>
      </c>
      <c r="D578" s="2" t="s">
        <v>1310</v>
      </c>
      <c r="E578" s="2">
        <v>8190</v>
      </c>
      <c r="F578" s="2">
        <v>90</v>
      </c>
      <c r="G578" s="2">
        <f t="shared" si="88"/>
        <v>20</v>
      </c>
      <c r="H578" s="2">
        <f t="shared" si="89"/>
        <v>20</v>
      </c>
      <c r="I578" s="2">
        <v>0</v>
      </c>
      <c r="J578" s="44" t="s">
        <v>48</v>
      </c>
      <c r="K578" s="2" t="s">
        <v>49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/>
      <c r="AM578" s="2" t="s">
        <v>1566</v>
      </c>
      <c r="AN578" s="2">
        <f t="shared" ref="AN578:AN641" si="91">+L578+AI578</f>
        <v>0</v>
      </c>
      <c r="AO578" s="2">
        <f t="shared" ref="AO578:AO641" si="92">+M578+N578+O578+P578+Q578+R578+S578+T578+U578+V578</f>
        <v>0</v>
      </c>
      <c r="AP578" s="2">
        <f t="shared" ref="AP578:AP641" si="93">+AE578+AF578</f>
        <v>0</v>
      </c>
      <c r="AQ578" s="2">
        <f t="shared" ref="AQ578:AQ641" si="94">+AK578+AD578+AC578+AJ578</f>
        <v>0</v>
      </c>
      <c r="AR578" s="2">
        <f t="shared" ref="AR578:AR641" si="95">+W578+X578+Y578+Z578+AA578+AB578</f>
        <v>0</v>
      </c>
      <c r="AS578" s="2">
        <f t="shared" ref="AS578:AS641" si="96">+AG578</f>
        <v>0</v>
      </c>
      <c r="AT578" s="25">
        <f t="shared" ref="AT578:AT641" si="97">+AH578</f>
        <v>0</v>
      </c>
    </row>
    <row r="579" spans="1:46">
      <c r="A579" s="24">
        <v>46128</v>
      </c>
      <c r="B579" s="23">
        <f t="shared" si="90"/>
        <v>46113</v>
      </c>
      <c r="C579" s="2" t="s">
        <v>63</v>
      </c>
      <c r="D579" s="2" t="s">
        <v>65</v>
      </c>
      <c r="E579" s="2">
        <v>2598</v>
      </c>
      <c r="F579" s="2">
        <v>527</v>
      </c>
      <c r="G579" s="2">
        <f t="shared" ref="G579:G642" si="98">IF(F579&lt;1001,IF(F579&gt;500,80,IF(F579&gt;280,50,IF(F579&gt;150,32,IF(F579&lt;51,F579,20)))),125)</f>
        <v>80</v>
      </c>
      <c r="H579" s="2">
        <f t="shared" ref="H579:H642" si="99">G579-I579</f>
        <v>72</v>
      </c>
      <c r="I579" s="2">
        <v>8</v>
      </c>
      <c r="J579" s="44" t="s">
        <v>67</v>
      </c>
      <c r="K579" s="2" t="s">
        <v>49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8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/>
      <c r="AM579" s="2" t="s">
        <v>1568</v>
      </c>
      <c r="AN579" s="2">
        <f t="shared" si="91"/>
        <v>0</v>
      </c>
      <c r="AO579" s="2">
        <f t="shared" si="92"/>
        <v>8</v>
      </c>
      <c r="AP579" s="2">
        <f t="shared" si="93"/>
        <v>0</v>
      </c>
      <c r="AQ579" s="2">
        <f t="shared" si="94"/>
        <v>0</v>
      </c>
      <c r="AR579" s="2">
        <f t="shared" si="95"/>
        <v>0</v>
      </c>
      <c r="AS579" s="2">
        <f t="shared" si="96"/>
        <v>0</v>
      </c>
      <c r="AT579" s="25">
        <f t="shared" si="97"/>
        <v>0</v>
      </c>
    </row>
    <row r="580" spans="1:46">
      <c r="A580" s="24">
        <v>46128</v>
      </c>
      <c r="B580" s="23">
        <f t="shared" si="90"/>
        <v>46113</v>
      </c>
      <c r="C580" s="2" t="s">
        <v>62</v>
      </c>
      <c r="D580" s="2" t="s">
        <v>106</v>
      </c>
      <c r="E580" s="2">
        <v>3305</v>
      </c>
      <c r="F580" s="2">
        <v>177</v>
      </c>
      <c r="G580" s="2">
        <f t="shared" si="98"/>
        <v>32</v>
      </c>
      <c r="H580" s="2">
        <f t="shared" si="99"/>
        <v>32</v>
      </c>
      <c r="I580" s="2">
        <v>0</v>
      </c>
      <c r="J580" s="44" t="s">
        <v>48</v>
      </c>
      <c r="K580" s="2" t="s">
        <v>49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/>
      <c r="AM580" s="2" t="s">
        <v>1568</v>
      </c>
      <c r="AN580" s="2">
        <f t="shared" si="91"/>
        <v>0</v>
      </c>
      <c r="AO580" s="2">
        <f t="shared" si="92"/>
        <v>0</v>
      </c>
      <c r="AP580" s="2">
        <f t="shared" si="93"/>
        <v>0</v>
      </c>
      <c r="AQ580" s="2">
        <f t="shared" si="94"/>
        <v>0</v>
      </c>
      <c r="AR580" s="2">
        <f t="shared" si="95"/>
        <v>0</v>
      </c>
      <c r="AS580" s="2">
        <f t="shared" si="96"/>
        <v>0</v>
      </c>
      <c r="AT580" s="25">
        <f t="shared" si="97"/>
        <v>0</v>
      </c>
    </row>
    <row r="581" spans="1:46">
      <c r="A581" s="24">
        <v>46128</v>
      </c>
      <c r="B581" s="23">
        <f t="shared" si="90"/>
        <v>46113</v>
      </c>
      <c r="C581" s="2" t="s">
        <v>62</v>
      </c>
      <c r="D581" s="2" t="s">
        <v>208</v>
      </c>
      <c r="E581" s="2">
        <v>3305</v>
      </c>
      <c r="F581" s="2">
        <v>280</v>
      </c>
      <c r="G581" s="2">
        <f t="shared" si="98"/>
        <v>32</v>
      </c>
      <c r="H581" s="2">
        <f t="shared" si="99"/>
        <v>31</v>
      </c>
      <c r="I581" s="2">
        <v>1</v>
      </c>
      <c r="J581" s="44" t="s">
        <v>48</v>
      </c>
      <c r="K581" s="2" t="s">
        <v>49</v>
      </c>
      <c r="L581" s="2">
        <v>1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/>
      <c r="AM581" s="2" t="s">
        <v>1568</v>
      </c>
      <c r="AN581" s="2">
        <f t="shared" si="91"/>
        <v>1</v>
      </c>
      <c r="AO581" s="2">
        <f t="shared" si="92"/>
        <v>0</v>
      </c>
      <c r="AP581" s="2">
        <f t="shared" si="93"/>
        <v>0</v>
      </c>
      <c r="AQ581" s="2">
        <f t="shared" si="94"/>
        <v>0</v>
      </c>
      <c r="AR581" s="2">
        <f t="shared" si="95"/>
        <v>0</v>
      </c>
      <c r="AS581" s="2">
        <f t="shared" si="96"/>
        <v>0</v>
      </c>
      <c r="AT581" s="25">
        <f t="shared" si="97"/>
        <v>0</v>
      </c>
    </row>
    <row r="582" spans="1:46">
      <c r="A582" s="24">
        <v>46128</v>
      </c>
      <c r="B582" s="23">
        <f t="shared" si="90"/>
        <v>46113</v>
      </c>
      <c r="C582" s="2" t="s">
        <v>63</v>
      </c>
      <c r="D582" s="2" t="s">
        <v>65</v>
      </c>
      <c r="E582" s="2">
        <v>2598</v>
      </c>
      <c r="F582" s="2">
        <v>457</v>
      </c>
      <c r="G582" s="2">
        <f t="shared" si="98"/>
        <v>50</v>
      </c>
      <c r="H582" s="2">
        <f t="shared" si="99"/>
        <v>49</v>
      </c>
      <c r="I582" s="2">
        <v>1</v>
      </c>
      <c r="J582" s="44" t="s">
        <v>48</v>
      </c>
      <c r="K582" s="2" t="s">
        <v>49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1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/>
      <c r="AM582" s="2" t="s">
        <v>1568</v>
      </c>
      <c r="AN582" s="2">
        <f t="shared" si="91"/>
        <v>0</v>
      </c>
      <c r="AO582" s="2">
        <f t="shared" si="92"/>
        <v>1</v>
      </c>
      <c r="AP582" s="2">
        <f t="shared" si="93"/>
        <v>0</v>
      </c>
      <c r="AQ582" s="2">
        <f t="shared" si="94"/>
        <v>0</v>
      </c>
      <c r="AR582" s="2">
        <f t="shared" si="95"/>
        <v>0</v>
      </c>
      <c r="AS582" s="2">
        <f t="shared" si="96"/>
        <v>0</v>
      </c>
      <c r="AT582" s="25">
        <f t="shared" si="97"/>
        <v>0</v>
      </c>
    </row>
    <row r="583" spans="1:46">
      <c r="A583" s="24">
        <v>46128</v>
      </c>
      <c r="B583" s="23">
        <f t="shared" si="90"/>
        <v>46113</v>
      </c>
      <c r="C583" s="2" t="s">
        <v>63</v>
      </c>
      <c r="D583" s="2" t="s">
        <v>206</v>
      </c>
      <c r="E583" s="2">
        <v>8141</v>
      </c>
      <c r="F583" s="2">
        <v>861</v>
      </c>
      <c r="G583" s="2">
        <f t="shared" si="98"/>
        <v>80</v>
      </c>
      <c r="H583" s="2">
        <f t="shared" si="99"/>
        <v>79</v>
      </c>
      <c r="I583" s="2">
        <v>1</v>
      </c>
      <c r="J583" s="44" t="s">
        <v>48</v>
      </c>
      <c r="K583" s="2" t="s">
        <v>49</v>
      </c>
      <c r="L583" s="2">
        <v>1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/>
      <c r="AM583" s="2" t="s">
        <v>1568</v>
      </c>
      <c r="AN583" s="2">
        <f t="shared" si="91"/>
        <v>1</v>
      </c>
      <c r="AO583" s="2">
        <f t="shared" si="92"/>
        <v>0</v>
      </c>
      <c r="AP583" s="2">
        <f t="shared" si="93"/>
        <v>0</v>
      </c>
      <c r="AQ583" s="2">
        <f t="shared" si="94"/>
        <v>0</v>
      </c>
      <c r="AR583" s="2">
        <f t="shared" si="95"/>
        <v>0</v>
      </c>
      <c r="AS583" s="2">
        <f t="shared" si="96"/>
        <v>0</v>
      </c>
      <c r="AT583" s="25">
        <f t="shared" si="97"/>
        <v>0</v>
      </c>
    </row>
    <row r="584" spans="1:46">
      <c r="A584" s="24">
        <v>46128</v>
      </c>
      <c r="B584" s="23">
        <f t="shared" si="90"/>
        <v>46113</v>
      </c>
      <c r="C584" s="2" t="s">
        <v>63</v>
      </c>
      <c r="D584" s="2" t="s">
        <v>56</v>
      </c>
      <c r="E584" s="2">
        <v>3255</v>
      </c>
      <c r="F584" s="2">
        <v>570</v>
      </c>
      <c r="G584" s="2">
        <f t="shared" si="98"/>
        <v>80</v>
      </c>
      <c r="H584" s="2">
        <f t="shared" si="99"/>
        <v>79</v>
      </c>
      <c r="I584" s="2">
        <v>1</v>
      </c>
      <c r="J584" s="44" t="s">
        <v>48</v>
      </c>
      <c r="K584" s="2" t="s">
        <v>49</v>
      </c>
      <c r="L584" s="2">
        <v>1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/>
      <c r="AM584" s="2" t="s">
        <v>1568</v>
      </c>
      <c r="AN584" s="2">
        <f t="shared" si="91"/>
        <v>1</v>
      </c>
      <c r="AO584" s="2">
        <f t="shared" si="92"/>
        <v>0</v>
      </c>
      <c r="AP584" s="2">
        <f t="shared" si="93"/>
        <v>0</v>
      </c>
      <c r="AQ584" s="2">
        <f t="shared" si="94"/>
        <v>0</v>
      </c>
      <c r="AR584" s="2">
        <f t="shared" si="95"/>
        <v>0</v>
      </c>
      <c r="AS584" s="2">
        <f t="shared" si="96"/>
        <v>0</v>
      </c>
      <c r="AT584" s="25">
        <f t="shared" si="97"/>
        <v>0</v>
      </c>
    </row>
    <row r="585" spans="1:46">
      <c r="A585" s="24">
        <v>46128</v>
      </c>
      <c r="B585" s="23">
        <f t="shared" si="90"/>
        <v>46113</v>
      </c>
      <c r="C585" s="2" t="s">
        <v>63</v>
      </c>
      <c r="D585" s="3" t="s">
        <v>113</v>
      </c>
      <c r="E585" s="2">
        <v>2598</v>
      </c>
      <c r="F585" s="2">
        <v>175</v>
      </c>
      <c r="G585" s="2">
        <f t="shared" si="98"/>
        <v>32</v>
      </c>
      <c r="H585" s="2">
        <f t="shared" si="99"/>
        <v>31</v>
      </c>
      <c r="I585" s="2">
        <v>1</v>
      </c>
      <c r="J585" s="44" t="s">
        <v>48</v>
      </c>
      <c r="K585" s="2" t="s">
        <v>49</v>
      </c>
      <c r="L585" s="2">
        <v>1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/>
      <c r="AM585" s="2" t="s">
        <v>1568</v>
      </c>
      <c r="AN585" s="2">
        <f t="shared" si="91"/>
        <v>1</v>
      </c>
      <c r="AO585" s="2">
        <f t="shared" si="92"/>
        <v>0</v>
      </c>
      <c r="AP585" s="2">
        <f t="shared" si="93"/>
        <v>0</v>
      </c>
      <c r="AQ585" s="2">
        <f t="shared" si="94"/>
        <v>0</v>
      </c>
      <c r="AR585" s="2">
        <f t="shared" si="95"/>
        <v>0</v>
      </c>
      <c r="AS585" s="2">
        <f t="shared" si="96"/>
        <v>0</v>
      </c>
      <c r="AT585" s="25">
        <f t="shared" si="97"/>
        <v>0</v>
      </c>
    </row>
    <row r="586" spans="1:46">
      <c r="A586" s="24">
        <v>46129</v>
      </c>
      <c r="B586" s="23">
        <f t="shared" si="90"/>
        <v>46113</v>
      </c>
      <c r="C586" s="2" t="s">
        <v>46</v>
      </c>
      <c r="D586" s="2" t="s">
        <v>171</v>
      </c>
      <c r="E586" s="2">
        <v>6207</v>
      </c>
      <c r="F586" s="2">
        <v>130</v>
      </c>
      <c r="G586" s="2">
        <f t="shared" si="98"/>
        <v>20</v>
      </c>
      <c r="H586" s="2">
        <f t="shared" si="99"/>
        <v>20</v>
      </c>
      <c r="I586" s="2">
        <v>0</v>
      </c>
      <c r="J586" s="44" t="s">
        <v>48</v>
      </c>
      <c r="K586" s="2" t="s">
        <v>49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/>
      <c r="AM586" s="2" t="s">
        <v>93</v>
      </c>
      <c r="AN586" s="2">
        <f t="shared" si="91"/>
        <v>0</v>
      </c>
      <c r="AO586" s="2">
        <f t="shared" si="92"/>
        <v>0</v>
      </c>
      <c r="AP586" s="2">
        <f t="shared" si="93"/>
        <v>0</v>
      </c>
      <c r="AQ586" s="2">
        <f t="shared" si="94"/>
        <v>0</v>
      </c>
      <c r="AR586" s="2">
        <f t="shared" si="95"/>
        <v>0</v>
      </c>
      <c r="AS586" s="2">
        <f t="shared" si="96"/>
        <v>0</v>
      </c>
      <c r="AT586" s="25">
        <f t="shared" si="97"/>
        <v>0</v>
      </c>
    </row>
    <row r="587" spans="1:46">
      <c r="A587" s="24">
        <v>46129</v>
      </c>
      <c r="B587" s="23">
        <f t="shared" si="90"/>
        <v>46113</v>
      </c>
      <c r="C587" s="2" t="s">
        <v>82</v>
      </c>
      <c r="D587" s="2" t="s">
        <v>116</v>
      </c>
      <c r="E587" s="2">
        <v>2678</v>
      </c>
      <c r="F587" s="2">
        <v>183</v>
      </c>
      <c r="G587" s="2">
        <f t="shared" si="98"/>
        <v>32</v>
      </c>
      <c r="H587" s="2">
        <f t="shared" si="99"/>
        <v>31</v>
      </c>
      <c r="I587" s="2">
        <v>1</v>
      </c>
      <c r="J587" s="44" t="s">
        <v>48</v>
      </c>
      <c r="K587" s="2" t="s">
        <v>49</v>
      </c>
      <c r="L587" s="2">
        <v>1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/>
      <c r="AM587" s="2" t="s">
        <v>93</v>
      </c>
      <c r="AN587" s="2">
        <f t="shared" si="91"/>
        <v>1</v>
      </c>
      <c r="AO587" s="2">
        <f t="shared" si="92"/>
        <v>0</v>
      </c>
      <c r="AP587" s="2">
        <f t="shared" si="93"/>
        <v>0</v>
      </c>
      <c r="AQ587" s="2">
        <f t="shared" si="94"/>
        <v>0</v>
      </c>
      <c r="AR587" s="2">
        <f t="shared" si="95"/>
        <v>0</v>
      </c>
      <c r="AS587" s="2">
        <f t="shared" si="96"/>
        <v>0</v>
      </c>
      <c r="AT587" s="25">
        <f t="shared" si="97"/>
        <v>0</v>
      </c>
    </row>
    <row r="588" spans="1:46">
      <c r="A588" s="24">
        <v>46129</v>
      </c>
      <c r="B588" s="23">
        <f t="shared" si="90"/>
        <v>46113</v>
      </c>
      <c r="C588" s="2" t="s">
        <v>82</v>
      </c>
      <c r="D588" s="2" t="s">
        <v>1299</v>
      </c>
      <c r="E588" s="2">
        <v>1650</v>
      </c>
      <c r="F588" s="2">
        <v>72</v>
      </c>
      <c r="G588" s="2">
        <f t="shared" si="98"/>
        <v>20</v>
      </c>
      <c r="H588" s="2">
        <f t="shared" si="99"/>
        <v>20</v>
      </c>
      <c r="I588" s="2">
        <v>0</v>
      </c>
      <c r="J588" s="44" t="s">
        <v>48</v>
      </c>
      <c r="K588" s="2" t="s">
        <v>49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/>
      <c r="AM588" s="2" t="s">
        <v>93</v>
      </c>
      <c r="AN588" s="2">
        <f t="shared" si="91"/>
        <v>0</v>
      </c>
      <c r="AO588" s="2">
        <f t="shared" si="92"/>
        <v>0</v>
      </c>
      <c r="AP588" s="2">
        <f t="shared" si="93"/>
        <v>0</v>
      </c>
      <c r="AQ588" s="2">
        <f t="shared" si="94"/>
        <v>0</v>
      </c>
      <c r="AR588" s="2">
        <f t="shared" si="95"/>
        <v>0</v>
      </c>
      <c r="AS588" s="2">
        <f t="shared" si="96"/>
        <v>0</v>
      </c>
      <c r="AT588" s="25">
        <f t="shared" si="97"/>
        <v>0</v>
      </c>
    </row>
    <row r="589" spans="1:46">
      <c r="A589" s="24">
        <v>46129</v>
      </c>
      <c r="B589" s="23">
        <f t="shared" si="90"/>
        <v>46113</v>
      </c>
      <c r="C589" s="2" t="s">
        <v>95</v>
      </c>
      <c r="D589" s="2" t="s">
        <v>150</v>
      </c>
      <c r="E589" s="2">
        <v>1584</v>
      </c>
      <c r="F589" s="2">
        <v>150</v>
      </c>
      <c r="G589" s="2">
        <f t="shared" si="98"/>
        <v>20</v>
      </c>
      <c r="H589" s="2">
        <f t="shared" si="99"/>
        <v>20</v>
      </c>
      <c r="I589" s="2">
        <v>0</v>
      </c>
      <c r="J589" s="44" t="s">
        <v>48</v>
      </c>
      <c r="K589" s="2" t="s">
        <v>49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/>
      <c r="AM589" s="2" t="s">
        <v>93</v>
      </c>
      <c r="AN589" s="2">
        <f t="shared" si="91"/>
        <v>0</v>
      </c>
      <c r="AO589" s="2">
        <f t="shared" si="92"/>
        <v>0</v>
      </c>
      <c r="AP589" s="2">
        <f t="shared" si="93"/>
        <v>0</v>
      </c>
      <c r="AQ589" s="2">
        <f t="shared" si="94"/>
        <v>0</v>
      </c>
      <c r="AR589" s="2">
        <f t="shared" si="95"/>
        <v>0</v>
      </c>
      <c r="AS589" s="2">
        <f t="shared" si="96"/>
        <v>0</v>
      </c>
      <c r="AT589" s="25">
        <f t="shared" si="97"/>
        <v>0</v>
      </c>
    </row>
    <row r="590" spans="1:46">
      <c r="A590" s="24">
        <v>46129</v>
      </c>
      <c r="B590" s="23">
        <f t="shared" si="90"/>
        <v>46113</v>
      </c>
      <c r="C590" s="2" t="s">
        <v>95</v>
      </c>
      <c r="D590" s="2" t="s">
        <v>136</v>
      </c>
      <c r="E590" s="2">
        <v>2679</v>
      </c>
      <c r="F590" s="2">
        <v>87</v>
      </c>
      <c r="G590" s="2">
        <f t="shared" si="98"/>
        <v>20</v>
      </c>
      <c r="H590" s="2">
        <f t="shared" si="99"/>
        <v>19</v>
      </c>
      <c r="I590" s="2">
        <v>1</v>
      </c>
      <c r="J590" s="44" t="s">
        <v>48</v>
      </c>
      <c r="K590" s="2" t="s">
        <v>49</v>
      </c>
      <c r="L590" s="2">
        <v>1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/>
      <c r="AM590" s="2" t="s">
        <v>93</v>
      </c>
      <c r="AN590" s="2">
        <f t="shared" si="91"/>
        <v>1</v>
      </c>
      <c r="AO590" s="2">
        <f t="shared" si="92"/>
        <v>0</v>
      </c>
      <c r="AP590" s="2">
        <f t="shared" si="93"/>
        <v>0</v>
      </c>
      <c r="AQ590" s="2">
        <f t="shared" si="94"/>
        <v>0</v>
      </c>
      <c r="AR590" s="2">
        <f t="shared" si="95"/>
        <v>0</v>
      </c>
      <c r="AS590" s="2">
        <f t="shared" si="96"/>
        <v>0</v>
      </c>
      <c r="AT590" s="25">
        <f t="shared" si="97"/>
        <v>0</v>
      </c>
    </row>
    <row r="591" spans="1:46">
      <c r="A591" s="24">
        <v>46129</v>
      </c>
      <c r="B591" s="23">
        <f t="shared" si="90"/>
        <v>46113</v>
      </c>
      <c r="C591" s="2" t="s">
        <v>160</v>
      </c>
      <c r="D591" s="2" t="s">
        <v>261</v>
      </c>
      <c r="E591" s="2">
        <v>6093</v>
      </c>
      <c r="F591" s="2">
        <v>320</v>
      </c>
      <c r="G591" s="2">
        <f t="shared" si="98"/>
        <v>50</v>
      </c>
      <c r="H591" s="2">
        <f t="shared" si="99"/>
        <v>50</v>
      </c>
      <c r="I591" s="2">
        <v>0</v>
      </c>
      <c r="J591" s="44" t="s">
        <v>48</v>
      </c>
      <c r="K591" s="2" t="s">
        <v>49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/>
      <c r="AM591" s="2" t="s">
        <v>93</v>
      </c>
      <c r="AN591" s="2">
        <f t="shared" si="91"/>
        <v>0</v>
      </c>
      <c r="AO591" s="2">
        <f t="shared" si="92"/>
        <v>0</v>
      </c>
      <c r="AP591" s="2">
        <f t="shared" si="93"/>
        <v>0</v>
      </c>
      <c r="AQ591" s="2">
        <f t="shared" si="94"/>
        <v>0</v>
      </c>
      <c r="AR591" s="2">
        <f t="shared" si="95"/>
        <v>0</v>
      </c>
      <c r="AS591" s="2">
        <f t="shared" si="96"/>
        <v>0</v>
      </c>
      <c r="AT591" s="25">
        <f t="shared" si="97"/>
        <v>0</v>
      </c>
    </row>
    <row r="592" spans="1:46">
      <c r="A592" s="24">
        <v>46129</v>
      </c>
      <c r="B592" s="23">
        <f t="shared" si="90"/>
        <v>46113</v>
      </c>
      <c r="C592" s="2" t="s">
        <v>82</v>
      </c>
      <c r="D592" s="2" t="s">
        <v>173</v>
      </c>
      <c r="E592" s="2">
        <v>3295</v>
      </c>
      <c r="F592" s="2">
        <v>209</v>
      </c>
      <c r="G592" s="2">
        <f t="shared" si="98"/>
        <v>32</v>
      </c>
      <c r="H592" s="2">
        <f t="shared" si="99"/>
        <v>32</v>
      </c>
      <c r="I592" s="2">
        <v>0</v>
      </c>
      <c r="J592" s="44" t="s">
        <v>48</v>
      </c>
      <c r="K592" s="2" t="s">
        <v>49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/>
      <c r="AM592" s="2" t="s">
        <v>93</v>
      </c>
      <c r="AN592" s="2">
        <f t="shared" si="91"/>
        <v>0</v>
      </c>
      <c r="AO592" s="2">
        <f t="shared" si="92"/>
        <v>0</v>
      </c>
      <c r="AP592" s="2">
        <f t="shared" si="93"/>
        <v>0</v>
      </c>
      <c r="AQ592" s="2">
        <f t="shared" si="94"/>
        <v>0</v>
      </c>
      <c r="AR592" s="2">
        <f t="shared" si="95"/>
        <v>0</v>
      </c>
      <c r="AS592" s="2">
        <f t="shared" si="96"/>
        <v>0</v>
      </c>
      <c r="AT592" s="25">
        <f t="shared" si="97"/>
        <v>0</v>
      </c>
    </row>
    <row r="593" spans="1:46">
      <c r="A593" s="24">
        <v>46129</v>
      </c>
      <c r="B593" s="23">
        <f t="shared" si="90"/>
        <v>46113</v>
      </c>
      <c r="C593" s="2" t="s">
        <v>82</v>
      </c>
      <c r="D593" s="2" t="s">
        <v>90</v>
      </c>
      <c r="E593" s="2">
        <v>8141</v>
      </c>
      <c r="F593" s="2">
        <v>268</v>
      </c>
      <c r="G593" s="2">
        <f t="shared" si="98"/>
        <v>32</v>
      </c>
      <c r="H593" s="2">
        <f t="shared" si="99"/>
        <v>32</v>
      </c>
      <c r="I593" s="2">
        <v>0</v>
      </c>
      <c r="J593" s="44" t="s">
        <v>48</v>
      </c>
      <c r="K593" s="2" t="s">
        <v>49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/>
      <c r="AM593" s="2" t="s">
        <v>93</v>
      </c>
      <c r="AN593" s="2">
        <f t="shared" si="91"/>
        <v>0</v>
      </c>
      <c r="AO593" s="2">
        <f t="shared" si="92"/>
        <v>0</v>
      </c>
      <c r="AP593" s="2">
        <f t="shared" si="93"/>
        <v>0</v>
      </c>
      <c r="AQ593" s="2">
        <f t="shared" si="94"/>
        <v>0</v>
      </c>
      <c r="AR593" s="2">
        <f t="shared" si="95"/>
        <v>0</v>
      </c>
      <c r="AS593" s="2">
        <f t="shared" si="96"/>
        <v>0</v>
      </c>
      <c r="AT593" s="25">
        <f t="shared" si="97"/>
        <v>0</v>
      </c>
    </row>
    <row r="594" spans="1:46">
      <c r="A594" s="24">
        <v>46129</v>
      </c>
      <c r="B594" s="23">
        <f t="shared" si="90"/>
        <v>46113</v>
      </c>
      <c r="C594" s="2" t="s">
        <v>82</v>
      </c>
      <c r="D594" s="2" t="s">
        <v>275</v>
      </c>
      <c r="E594" s="2">
        <v>8141</v>
      </c>
      <c r="F594" s="2">
        <v>79</v>
      </c>
      <c r="G594" s="2">
        <f t="shared" si="98"/>
        <v>20</v>
      </c>
      <c r="H594" s="2">
        <f t="shared" si="99"/>
        <v>20</v>
      </c>
      <c r="I594" s="2">
        <v>0</v>
      </c>
      <c r="J594" s="44" t="s">
        <v>48</v>
      </c>
      <c r="K594" s="2" t="s">
        <v>49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/>
      <c r="AM594" s="2" t="s">
        <v>93</v>
      </c>
      <c r="AN594" s="2">
        <f t="shared" si="91"/>
        <v>0</v>
      </c>
      <c r="AO594" s="2">
        <f t="shared" si="92"/>
        <v>0</v>
      </c>
      <c r="AP594" s="2">
        <f t="shared" si="93"/>
        <v>0</v>
      </c>
      <c r="AQ594" s="2">
        <f t="shared" si="94"/>
        <v>0</v>
      </c>
      <c r="AR594" s="2">
        <f t="shared" si="95"/>
        <v>0</v>
      </c>
      <c r="AS594" s="2">
        <f t="shared" si="96"/>
        <v>0</v>
      </c>
      <c r="AT594" s="25">
        <f t="shared" si="97"/>
        <v>0</v>
      </c>
    </row>
    <row r="595" spans="1:46">
      <c r="A595" s="24">
        <v>46129</v>
      </c>
      <c r="B595" s="23">
        <f t="shared" si="90"/>
        <v>46113</v>
      </c>
      <c r="C595" s="2" t="s">
        <v>82</v>
      </c>
      <c r="D595" s="2" t="s">
        <v>96</v>
      </c>
      <c r="E595" s="2">
        <v>1802</v>
      </c>
      <c r="F595" s="2">
        <v>955</v>
      </c>
      <c r="G595" s="2">
        <f t="shared" si="98"/>
        <v>80</v>
      </c>
      <c r="H595" s="2">
        <f t="shared" si="99"/>
        <v>80</v>
      </c>
      <c r="I595" s="2">
        <v>0</v>
      </c>
      <c r="J595" s="44" t="s">
        <v>48</v>
      </c>
      <c r="K595" s="2" t="s">
        <v>49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/>
      <c r="AM595" s="2" t="s">
        <v>93</v>
      </c>
      <c r="AN595" s="2">
        <f t="shared" si="91"/>
        <v>0</v>
      </c>
      <c r="AO595" s="2">
        <f t="shared" si="92"/>
        <v>0</v>
      </c>
      <c r="AP595" s="2">
        <f t="shared" si="93"/>
        <v>0</v>
      </c>
      <c r="AQ595" s="2">
        <f t="shared" si="94"/>
        <v>0</v>
      </c>
      <c r="AR595" s="2">
        <f t="shared" si="95"/>
        <v>0</v>
      </c>
      <c r="AS595" s="2">
        <f t="shared" si="96"/>
        <v>0</v>
      </c>
      <c r="AT595" s="25">
        <f t="shared" si="97"/>
        <v>0</v>
      </c>
    </row>
    <row r="596" spans="1:46">
      <c r="A596" s="24">
        <v>46129</v>
      </c>
      <c r="B596" s="23">
        <f t="shared" si="90"/>
        <v>46113</v>
      </c>
      <c r="C596" s="2" t="s">
        <v>95</v>
      </c>
      <c r="D596" s="2" t="s">
        <v>264</v>
      </c>
      <c r="E596" s="2">
        <v>1713</v>
      </c>
      <c r="F596" s="2">
        <v>80</v>
      </c>
      <c r="G596" s="2">
        <f t="shared" si="98"/>
        <v>20</v>
      </c>
      <c r="H596" s="2">
        <f t="shared" si="99"/>
        <v>20</v>
      </c>
      <c r="I596" s="2">
        <v>0</v>
      </c>
      <c r="J596" s="44" t="s">
        <v>48</v>
      </c>
      <c r="K596" s="2" t="s">
        <v>49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/>
      <c r="AM596" s="2" t="s">
        <v>99</v>
      </c>
      <c r="AN596" s="2">
        <f t="shared" si="91"/>
        <v>0</v>
      </c>
      <c r="AO596" s="2">
        <f t="shared" si="92"/>
        <v>0</v>
      </c>
      <c r="AP596" s="2">
        <f t="shared" si="93"/>
        <v>0</v>
      </c>
      <c r="AQ596" s="2">
        <f t="shared" si="94"/>
        <v>0</v>
      </c>
      <c r="AR596" s="2">
        <f t="shared" si="95"/>
        <v>0</v>
      </c>
      <c r="AS596" s="2">
        <f t="shared" si="96"/>
        <v>0</v>
      </c>
      <c r="AT596" s="25">
        <f t="shared" si="97"/>
        <v>0</v>
      </c>
    </row>
    <row r="597" spans="1:46">
      <c r="A597" s="24">
        <v>46129</v>
      </c>
      <c r="B597" s="23">
        <f t="shared" si="90"/>
        <v>46113</v>
      </c>
      <c r="C597" s="2" t="s">
        <v>46</v>
      </c>
      <c r="D597" s="2" t="s">
        <v>213</v>
      </c>
      <c r="E597" s="2">
        <v>2679</v>
      </c>
      <c r="F597" s="2">
        <v>129</v>
      </c>
      <c r="G597" s="2">
        <f t="shared" si="98"/>
        <v>20</v>
      </c>
      <c r="H597" s="2">
        <f t="shared" si="99"/>
        <v>20</v>
      </c>
      <c r="I597" s="2">
        <v>0</v>
      </c>
      <c r="J597" s="44" t="s">
        <v>48</v>
      </c>
      <c r="K597" s="2" t="s">
        <v>49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/>
      <c r="AM597" s="2" t="s">
        <v>99</v>
      </c>
      <c r="AN597" s="2">
        <f t="shared" si="91"/>
        <v>0</v>
      </c>
      <c r="AO597" s="2">
        <f t="shared" si="92"/>
        <v>0</v>
      </c>
      <c r="AP597" s="2">
        <f t="shared" si="93"/>
        <v>0</v>
      </c>
      <c r="AQ597" s="2">
        <f t="shared" si="94"/>
        <v>0</v>
      </c>
      <c r="AR597" s="2">
        <f t="shared" si="95"/>
        <v>0</v>
      </c>
      <c r="AS597" s="2">
        <f t="shared" si="96"/>
        <v>0</v>
      </c>
      <c r="AT597" s="25">
        <f t="shared" si="97"/>
        <v>0</v>
      </c>
    </row>
    <row r="598" spans="1:46">
      <c r="A598" s="24">
        <v>46129</v>
      </c>
      <c r="B598" s="23">
        <f t="shared" si="90"/>
        <v>46113</v>
      </c>
      <c r="C598" s="2" t="s">
        <v>63</v>
      </c>
      <c r="D598" s="2" t="s">
        <v>113</v>
      </c>
      <c r="E598" s="2">
        <v>2598</v>
      </c>
      <c r="F598" s="2">
        <v>56</v>
      </c>
      <c r="G598" s="2">
        <f t="shared" si="98"/>
        <v>20</v>
      </c>
      <c r="H598" s="2">
        <f t="shared" si="99"/>
        <v>19</v>
      </c>
      <c r="I598" s="2">
        <v>1</v>
      </c>
      <c r="J598" s="44" t="s">
        <v>48</v>
      </c>
      <c r="K598" s="2" t="s">
        <v>49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1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/>
      <c r="AM598" s="2" t="s">
        <v>99</v>
      </c>
      <c r="AN598" s="2">
        <f t="shared" si="91"/>
        <v>0</v>
      </c>
      <c r="AO598" s="2">
        <f t="shared" si="92"/>
        <v>0</v>
      </c>
      <c r="AP598" s="2">
        <f t="shared" si="93"/>
        <v>1</v>
      </c>
      <c r="AQ598" s="2">
        <f t="shared" si="94"/>
        <v>0</v>
      </c>
      <c r="AR598" s="2">
        <f t="shared" si="95"/>
        <v>0</v>
      </c>
      <c r="AS598" s="2">
        <f t="shared" si="96"/>
        <v>0</v>
      </c>
      <c r="AT598" s="25">
        <f t="shared" si="97"/>
        <v>0</v>
      </c>
    </row>
    <row r="599" spans="1:46">
      <c r="A599" s="24">
        <v>46129</v>
      </c>
      <c r="B599" s="23">
        <f t="shared" si="90"/>
        <v>46113</v>
      </c>
      <c r="C599" s="2" t="s">
        <v>63</v>
      </c>
      <c r="D599" s="2" t="s">
        <v>225</v>
      </c>
      <c r="E599" s="2">
        <v>2598</v>
      </c>
      <c r="F599" s="2">
        <v>261</v>
      </c>
      <c r="G599" s="2">
        <f t="shared" si="98"/>
        <v>32</v>
      </c>
      <c r="H599" s="2">
        <f t="shared" si="99"/>
        <v>31</v>
      </c>
      <c r="I599" s="2">
        <v>1</v>
      </c>
      <c r="J599" s="44" t="s">
        <v>48</v>
      </c>
      <c r="K599" s="2" t="s">
        <v>49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1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/>
      <c r="AM599" s="2" t="s">
        <v>99</v>
      </c>
      <c r="AN599" s="2">
        <f t="shared" si="91"/>
        <v>0</v>
      </c>
      <c r="AO599" s="2">
        <f t="shared" si="92"/>
        <v>0</v>
      </c>
      <c r="AP599" s="2">
        <f t="shared" si="93"/>
        <v>1</v>
      </c>
      <c r="AQ599" s="2">
        <f t="shared" si="94"/>
        <v>0</v>
      </c>
      <c r="AR599" s="2">
        <f t="shared" si="95"/>
        <v>0</v>
      </c>
      <c r="AS599" s="2">
        <f t="shared" si="96"/>
        <v>0</v>
      </c>
      <c r="AT599" s="25">
        <f t="shared" si="97"/>
        <v>0</v>
      </c>
    </row>
    <row r="600" spans="1:46">
      <c r="A600" s="24">
        <v>46129</v>
      </c>
      <c r="B600" s="23">
        <f t="shared" si="90"/>
        <v>46113</v>
      </c>
      <c r="C600" s="2" t="s">
        <v>62</v>
      </c>
      <c r="D600" s="2" t="s">
        <v>383</v>
      </c>
      <c r="E600" s="2">
        <v>3254</v>
      </c>
      <c r="F600" s="2">
        <v>345</v>
      </c>
      <c r="G600" s="2">
        <f t="shared" si="98"/>
        <v>50</v>
      </c>
      <c r="H600" s="2">
        <f t="shared" si="99"/>
        <v>49</v>
      </c>
      <c r="I600" s="2">
        <v>1</v>
      </c>
      <c r="J600" s="44" t="s">
        <v>48</v>
      </c>
      <c r="K600" s="2" t="s">
        <v>49</v>
      </c>
      <c r="L600" s="2">
        <v>1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/>
      <c r="AM600" s="2" t="s">
        <v>99</v>
      </c>
      <c r="AN600" s="2">
        <f t="shared" si="91"/>
        <v>1</v>
      </c>
      <c r="AO600" s="2">
        <f t="shared" si="92"/>
        <v>0</v>
      </c>
      <c r="AP600" s="2">
        <f t="shared" si="93"/>
        <v>0</v>
      </c>
      <c r="AQ600" s="2">
        <f t="shared" si="94"/>
        <v>0</v>
      </c>
      <c r="AR600" s="2">
        <f t="shared" si="95"/>
        <v>0</v>
      </c>
      <c r="AS600" s="2">
        <f t="shared" si="96"/>
        <v>0</v>
      </c>
      <c r="AT600" s="25">
        <f t="shared" si="97"/>
        <v>0</v>
      </c>
    </row>
    <row r="601" spans="1:46">
      <c r="A601" s="24">
        <v>46129</v>
      </c>
      <c r="B601" s="23">
        <f t="shared" si="90"/>
        <v>46113</v>
      </c>
      <c r="C601" s="2" t="s">
        <v>63</v>
      </c>
      <c r="D601" s="2" t="s">
        <v>1306</v>
      </c>
      <c r="E601" s="2">
        <v>3322</v>
      </c>
      <c r="F601" s="2">
        <v>526</v>
      </c>
      <c r="G601" s="2">
        <f t="shared" si="98"/>
        <v>80</v>
      </c>
      <c r="H601" s="2">
        <f t="shared" si="99"/>
        <v>80</v>
      </c>
      <c r="I601" s="2">
        <v>0</v>
      </c>
      <c r="J601" s="44" t="s">
        <v>48</v>
      </c>
      <c r="K601" s="2" t="s">
        <v>49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/>
      <c r="AM601" s="2" t="s">
        <v>99</v>
      </c>
      <c r="AN601" s="2">
        <f t="shared" si="91"/>
        <v>0</v>
      </c>
      <c r="AO601" s="2">
        <f t="shared" si="92"/>
        <v>0</v>
      </c>
      <c r="AP601" s="2">
        <f t="shared" si="93"/>
        <v>0</v>
      </c>
      <c r="AQ601" s="2">
        <f t="shared" si="94"/>
        <v>0</v>
      </c>
      <c r="AR601" s="2">
        <f t="shared" si="95"/>
        <v>0</v>
      </c>
      <c r="AS601" s="2">
        <f t="shared" si="96"/>
        <v>0</v>
      </c>
      <c r="AT601" s="25">
        <f t="shared" si="97"/>
        <v>0</v>
      </c>
    </row>
    <row r="602" spans="1:46">
      <c r="A602" s="24">
        <v>46129</v>
      </c>
      <c r="B602" s="23">
        <f t="shared" si="90"/>
        <v>46113</v>
      </c>
      <c r="C602" s="2" t="s">
        <v>62</v>
      </c>
      <c r="D602" s="2" t="s">
        <v>109</v>
      </c>
      <c r="E602" s="2">
        <v>7131</v>
      </c>
      <c r="F602" s="2">
        <v>500</v>
      </c>
      <c r="G602" s="2">
        <f t="shared" si="98"/>
        <v>50</v>
      </c>
      <c r="H602" s="2">
        <f t="shared" si="99"/>
        <v>49</v>
      </c>
      <c r="I602" s="2">
        <v>1</v>
      </c>
      <c r="J602" s="44" t="s">
        <v>48</v>
      </c>
      <c r="K602" s="2" t="s">
        <v>49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1</v>
      </c>
      <c r="AL602" s="2"/>
      <c r="AM602" s="2" t="s">
        <v>99</v>
      </c>
      <c r="AN602" s="2">
        <f t="shared" si="91"/>
        <v>0</v>
      </c>
      <c r="AO602" s="2">
        <f t="shared" si="92"/>
        <v>0</v>
      </c>
      <c r="AP602" s="2">
        <f t="shared" si="93"/>
        <v>0</v>
      </c>
      <c r="AQ602" s="2">
        <f t="shared" si="94"/>
        <v>1</v>
      </c>
      <c r="AR602" s="2">
        <f t="shared" si="95"/>
        <v>0</v>
      </c>
      <c r="AS602" s="2">
        <f t="shared" si="96"/>
        <v>0</v>
      </c>
      <c r="AT602" s="25">
        <f t="shared" si="97"/>
        <v>0</v>
      </c>
    </row>
    <row r="603" spans="1:46">
      <c r="A603" s="24">
        <v>46129</v>
      </c>
      <c r="B603" s="23">
        <f t="shared" si="90"/>
        <v>46113</v>
      </c>
      <c r="C603" s="2" t="s">
        <v>62</v>
      </c>
      <c r="D603" s="2" t="s">
        <v>130</v>
      </c>
      <c r="E603" s="2">
        <v>2656</v>
      </c>
      <c r="F603" s="2">
        <v>132</v>
      </c>
      <c r="G603" s="2">
        <f t="shared" si="98"/>
        <v>20</v>
      </c>
      <c r="H603" s="2">
        <f t="shared" si="99"/>
        <v>19</v>
      </c>
      <c r="I603" s="2">
        <v>1</v>
      </c>
      <c r="J603" s="44" t="s">
        <v>48</v>
      </c>
      <c r="K603" s="2" t="s">
        <v>49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1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/>
      <c r="AM603" s="2" t="s">
        <v>1568</v>
      </c>
      <c r="AN603" s="2">
        <f t="shared" si="91"/>
        <v>0</v>
      </c>
      <c r="AO603" s="2">
        <f t="shared" si="92"/>
        <v>0</v>
      </c>
      <c r="AP603" s="2">
        <f t="shared" si="93"/>
        <v>1</v>
      </c>
      <c r="AQ603" s="2">
        <f t="shared" si="94"/>
        <v>0</v>
      </c>
      <c r="AR603" s="2">
        <f t="shared" si="95"/>
        <v>0</v>
      </c>
      <c r="AS603" s="2">
        <f t="shared" si="96"/>
        <v>0</v>
      </c>
      <c r="AT603" s="25">
        <f t="shared" si="97"/>
        <v>0</v>
      </c>
    </row>
    <row r="604" spans="1:46">
      <c r="A604" s="24">
        <v>46129</v>
      </c>
      <c r="B604" s="23">
        <f t="shared" si="90"/>
        <v>46113</v>
      </c>
      <c r="C604" s="2" t="s">
        <v>62</v>
      </c>
      <c r="D604" s="2" t="s">
        <v>178</v>
      </c>
      <c r="E604" s="2">
        <v>3254</v>
      </c>
      <c r="F604" s="2">
        <v>208</v>
      </c>
      <c r="G604" s="2">
        <f t="shared" si="98"/>
        <v>32</v>
      </c>
      <c r="H604" s="2">
        <f t="shared" si="99"/>
        <v>32</v>
      </c>
      <c r="I604" s="2">
        <v>0</v>
      </c>
      <c r="J604" s="44" t="s">
        <v>48</v>
      </c>
      <c r="K604" s="2" t="s">
        <v>49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/>
      <c r="AM604" s="2" t="s">
        <v>1568</v>
      </c>
      <c r="AN604" s="2">
        <f t="shared" si="91"/>
        <v>0</v>
      </c>
      <c r="AO604" s="2">
        <f t="shared" si="92"/>
        <v>0</v>
      </c>
      <c r="AP604" s="2">
        <f t="shared" si="93"/>
        <v>0</v>
      </c>
      <c r="AQ604" s="2">
        <f t="shared" si="94"/>
        <v>0</v>
      </c>
      <c r="AR604" s="2">
        <f t="shared" si="95"/>
        <v>0</v>
      </c>
      <c r="AS604" s="2">
        <f t="shared" si="96"/>
        <v>0</v>
      </c>
      <c r="AT604" s="25">
        <f t="shared" si="97"/>
        <v>0</v>
      </c>
    </row>
    <row r="605" spans="1:46">
      <c r="A605" s="24">
        <v>46129</v>
      </c>
      <c r="B605" s="23">
        <f t="shared" si="90"/>
        <v>46113</v>
      </c>
      <c r="C605" s="2" t="s">
        <v>63</v>
      </c>
      <c r="D605" s="2" t="s">
        <v>257</v>
      </c>
      <c r="E605" s="2">
        <v>2574</v>
      </c>
      <c r="F605" s="2">
        <v>143</v>
      </c>
      <c r="G605" s="2">
        <f t="shared" si="98"/>
        <v>20</v>
      </c>
      <c r="H605" s="2">
        <f t="shared" si="99"/>
        <v>20</v>
      </c>
      <c r="I605" s="2">
        <v>0</v>
      </c>
      <c r="J605" s="44" t="s">
        <v>48</v>
      </c>
      <c r="K605" s="2" t="s">
        <v>49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/>
      <c r="AM605" s="2" t="s">
        <v>1568</v>
      </c>
      <c r="AN605" s="2">
        <f t="shared" si="91"/>
        <v>0</v>
      </c>
      <c r="AO605" s="2">
        <f t="shared" si="92"/>
        <v>0</v>
      </c>
      <c r="AP605" s="2">
        <f t="shared" si="93"/>
        <v>0</v>
      </c>
      <c r="AQ605" s="2">
        <f t="shared" si="94"/>
        <v>0</v>
      </c>
      <c r="AR605" s="2">
        <f t="shared" si="95"/>
        <v>0</v>
      </c>
      <c r="AS605" s="2">
        <f t="shared" si="96"/>
        <v>0</v>
      </c>
      <c r="AT605" s="25">
        <f t="shared" si="97"/>
        <v>0</v>
      </c>
    </row>
    <row r="606" spans="1:46">
      <c r="A606" s="24">
        <v>46129</v>
      </c>
      <c r="B606" s="23">
        <f t="shared" si="90"/>
        <v>46113</v>
      </c>
      <c r="C606" s="2" t="s">
        <v>63</v>
      </c>
      <c r="D606" s="2" t="s">
        <v>138</v>
      </c>
      <c r="E606" s="2">
        <v>2598</v>
      </c>
      <c r="F606" s="2">
        <v>450</v>
      </c>
      <c r="G606" s="2">
        <f t="shared" si="98"/>
        <v>50</v>
      </c>
      <c r="H606" s="2">
        <f t="shared" si="99"/>
        <v>49</v>
      </c>
      <c r="I606" s="2">
        <v>1</v>
      </c>
      <c r="J606" s="44" t="s">
        <v>48</v>
      </c>
      <c r="K606" s="2" t="s">
        <v>49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1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/>
      <c r="AM606" s="2" t="s">
        <v>1568</v>
      </c>
      <c r="AN606" s="2">
        <f t="shared" si="91"/>
        <v>0</v>
      </c>
      <c r="AO606" s="2">
        <f t="shared" si="92"/>
        <v>0</v>
      </c>
      <c r="AP606" s="2">
        <f t="shared" si="93"/>
        <v>1</v>
      </c>
      <c r="AQ606" s="2">
        <f t="shared" si="94"/>
        <v>0</v>
      </c>
      <c r="AR606" s="2">
        <f t="shared" si="95"/>
        <v>0</v>
      </c>
      <c r="AS606" s="2">
        <f t="shared" si="96"/>
        <v>0</v>
      </c>
      <c r="AT606" s="25">
        <f t="shared" si="97"/>
        <v>0</v>
      </c>
    </row>
    <row r="607" spans="1:46">
      <c r="A607" s="24">
        <v>46129</v>
      </c>
      <c r="B607" s="23">
        <f t="shared" si="90"/>
        <v>46113</v>
      </c>
      <c r="C607" s="2" t="s">
        <v>62</v>
      </c>
      <c r="D607" s="2" t="s">
        <v>109</v>
      </c>
      <c r="E607" s="2">
        <v>7131</v>
      </c>
      <c r="F607" s="2">
        <v>187</v>
      </c>
      <c r="G607" s="2">
        <f t="shared" si="98"/>
        <v>32</v>
      </c>
      <c r="H607" s="2">
        <f t="shared" si="99"/>
        <v>31</v>
      </c>
      <c r="I607" s="2">
        <v>1</v>
      </c>
      <c r="J607" s="44" t="s">
        <v>48</v>
      </c>
      <c r="K607" s="2" t="s">
        <v>49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1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/>
      <c r="AM607" s="2" t="s">
        <v>1568</v>
      </c>
      <c r="AN607" s="2">
        <f t="shared" si="91"/>
        <v>0</v>
      </c>
      <c r="AO607" s="2">
        <f t="shared" si="92"/>
        <v>1</v>
      </c>
      <c r="AP607" s="2">
        <f t="shared" si="93"/>
        <v>0</v>
      </c>
      <c r="AQ607" s="2">
        <f t="shared" si="94"/>
        <v>0</v>
      </c>
      <c r="AR607" s="2">
        <f t="shared" si="95"/>
        <v>0</v>
      </c>
      <c r="AS607" s="2">
        <f t="shared" si="96"/>
        <v>0</v>
      </c>
      <c r="AT607" s="25">
        <f t="shared" si="97"/>
        <v>0</v>
      </c>
    </row>
    <row r="608" spans="1:46">
      <c r="A608" s="24">
        <v>46129</v>
      </c>
      <c r="B608" s="23">
        <f t="shared" si="90"/>
        <v>46113</v>
      </c>
      <c r="C608" s="2" t="s">
        <v>62</v>
      </c>
      <c r="D608" s="2" t="s">
        <v>144</v>
      </c>
      <c r="E608" s="2">
        <v>3305</v>
      </c>
      <c r="F608" s="2">
        <v>61</v>
      </c>
      <c r="G608" s="2">
        <f t="shared" si="98"/>
        <v>20</v>
      </c>
      <c r="H608" s="2">
        <f t="shared" si="99"/>
        <v>19</v>
      </c>
      <c r="I608" s="2">
        <v>1</v>
      </c>
      <c r="J608" s="44" t="s">
        <v>48</v>
      </c>
      <c r="K608" s="2" t="s">
        <v>49</v>
      </c>
      <c r="L608" s="2">
        <v>1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/>
      <c r="AM608" s="2" t="s">
        <v>1568</v>
      </c>
      <c r="AN608" s="2">
        <f t="shared" si="91"/>
        <v>1</v>
      </c>
      <c r="AO608" s="2">
        <f t="shared" si="92"/>
        <v>0</v>
      </c>
      <c r="AP608" s="2">
        <f t="shared" si="93"/>
        <v>0</v>
      </c>
      <c r="AQ608" s="2">
        <f t="shared" si="94"/>
        <v>0</v>
      </c>
      <c r="AR608" s="2">
        <f t="shared" si="95"/>
        <v>0</v>
      </c>
      <c r="AS608" s="2">
        <f t="shared" si="96"/>
        <v>0</v>
      </c>
      <c r="AT608" s="25">
        <f t="shared" si="97"/>
        <v>0</v>
      </c>
    </row>
    <row r="609" spans="1:46">
      <c r="A609" s="24">
        <v>46129</v>
      </c>
      <c r="B609" s="23">
        <f t="shared" si="90"/>
        <v>46113</v>
      </c>
      <c r="C609" s="2" t="s">
        <v>63</v>
      </c>
      <c r="D609" s="2" t="s">
        <v>130</v>
      </c>
      <c r="E609" s="2">
        <v>2656</v>
      </c>
      <c r="F609" s="2">
        <v>235</v>
      </c>
      <c r="G609" s="2">
        <f t="shared" si="98"/>
        <v>32</v>
      </c>
      <c r="H609" s="2">
        <f t="shared" si="99"/>
        <v>32</v>
      </c>
      <c r="I609" s="2">
        <v>0</v>
      </c>
      <c r="J609" s="44" t="s">
        <v>48</v>
      </c>
      <c r="K609" s="2" t="s">
        <v>49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/>
      <c r="AM609" s="2" t="s">
        <v>1568</v>
      </c>
      <c r="AN609" s="2">
        <f t="shared" si="91"/>
        <v>0</v>
      </c>
      <c r="AO609" s="2">
        <f t="shared" si="92"/>
        <v>0</v>
      </c>
      <c r="AP609" s="2">
        <f t="shared" si="93"/>
        <v>0</v>
      </c>
      <c r="AQ609" s="2">
        <f t="shared" si="94"/>
        <v>0</v>
      </c>
      <c r="AR609" s="2">
        <f t="shared" si="95"/>
        <v>0</v>
      </c>
      <c r="AS609" s="2">
        <f t="shared" si="96"/>
        <v>0</v>
      </c>
      <c r="AT609" s="25">
        <f t="shared" si="97"/>
        <v>0</v>
      </c>
    </row>
    <row r="610" spans="1:46">
      <c r="A610" s="24">
        <v>46129</v>
      </c>
      <c r="B610" s="23">
        <f t="shared" si="90"/>
        <v>46113</v>
      </c>
      <c r="C610" s="2" t="s">
        <v>114</v>
      </c>
      <c r="D610" s="2" t="s">
        <v>400</v>
      </c>
      <c r="E610" s="2">
        <v>3303</v>
      </c>
      <c r="F610" s="2">
        <v>133</v>
      </c>
      <c r="G610" s="2">
        <f t="shared" si="98"/>
        <v>20</v>
      </c>
      <c r="H610" s="2">
        <f t="shared" si="99"/>
        <v>19</v>
      </c>
      <c r="I610" s="2">
        <v>1</v>
      </c>
      <c r="J610" s="44" t="s">
        <v>48</v>
      </c>
      <c r="K610" s="2" t="s">
        <v>49</v>
      </c>
      <c r="L610" s="2">
        <v>1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/>
      <c r="AM610" s="2" t="s">
        <v>103</v>
      </c>
      <c r="AN610" s="2">
        <f t="shared" si="91"/>
        <v>1</v>
      </c>
      <c r="AO610" s="2">
        <f t="shared" si="92"/>
        <v>0</v>
      </c>
      <c r="AP610" s="2">
        <f t="shared" si="93"/>
        <v>0</v>
      </c>
      <c r="AQ610" s="2">
        <f t="shared" si="94"/>
        <v>0</v>
      </c>
      <c r="AR610" s="2">
        <f t="shared" si="95"/>
        <v>0</v>
      </c>
      <c r="AS610" s="2">
        <f t="shared" si="96"/>
        <v>0</v>
      </c>
      <c r="AT610" s="25">
        <f t="shared" si="97"/>
        <v>0</v>
      </c>
    </row>
    <row r="611" spans="1:46">
      <c r="A611" s="24">
        <v>46129</v>
      </c>
      <c r="B611" s="23">
        <f t="shared" si="90"/>
        <v>46113</v>
      </c>
      <c r="C611" s="2" t="s">
        <v>114</v>
      </c>
      <c r="D611" s="2" t="s">
        <v>1468</v>
      </c>
      <c r="E611" s="2">
        <v>3303</v>
      </c>
      <c r="F611" s="2">
        <v>88</v>
      </c>
      <c r="G611" s="2">
        <f t="shared" si="98"/>
        <v>20</v>
      </c>
      <c r="H611" s="2">
        <f t="shared" si="99"/>
        <v>19</v>
      </c>
      <c r="I611" s="2">
        <v>1</v>
      </c>
      <c r="J611" s="44" t="s">
        <v>48</v>
      </c>
      <c r="K611" s="2" t="s">
        <v>49</v>
      </c>
      <c r="L611" s="2">
        <v>1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/>
      <c r="AM611" s="2" t="s">
        <v>103</v>
      </c>
      <c r="AN611" s="2">
        <f t="shared" si="91"/>
        <v>1</v>
      </c>
      <c r="AO611" s="2">
        <f t="shared" si="92"/>
        <v>0</v>
      </c>
      <c r="AP611" s="2">
        <f t="shared" si="93"/>
        <v>0</v>
      </c>
      <c r="AQ611" s="2">
        <f t="shared" si="94"/>
        <v>0</v>
      </c>
      <c r="AR611" s="2">
        <f t="shared" si="95"/>
        <v>0</v>
      </c>
      <c r="AS611" s="2">
        <f t="shared" si="96"/>
        <v>0</v>
      </c>
      <c r="AT611" s="25">
        <f t="shared" si="97"/>
        <v>0</v>
      </c>
    </row>
    <row r="612" spans="1:46">
      <c r="A612" s="24">
        <v>46129</v>
      </c>
      <c r="B612" s="23">
        <f t="shared" si="90"/>
        <v>46113</v>
      </c>
      <c r="C612" s="2" t="s">
        <v>114</v>
      </c>
      <c r="D612" s="2" t="s">
        <v>1446</v>
      </c>
      <c r="E612" s="2">
        <v>6208</v>
      </c>
      <c r="F612" s="2">
        <v>61</v>
      </c>
      <c r="G612" s="2">
        <f t="shared" si="98"/>
        <v>20</v>
      </c>
      <c r="H612" s="2">
        <f t="shared" si="99"/>
        <v>20</v>
      </c>
      <c r="I612" s="2">
        <v>0</v>
      </c>
      <c r="J612" s="44" t="s">
        <v>48</v>
      </c>
      <c r="K612" s="2" t="s">
        <v>49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/>
      <c r="AM612" s="2" t="s">
        <v>103</v>
      </c>
      <c r="AN612" s="2">
        <f t="shared" si="91"/>
        <v>0</v>
      </c>
      <c r="AO612" s="2">
        <f t="shared" si="92"/>
        <v>0</v>
      </c>
      <c r="AP612" s="2">
        <f t="shared" si="93"/>
        <v>0</v>
      </c>
      <c r="AQ612" s="2">
        <f t="shared" si="94"/>
        <v>0</v>
      </c>
      <c r="AR612" s="2">
        <f t="shared" si="95"/>
        <v>0</v>
      </c>
      <c r="AS612" s="2">
        <f t="shared" si="96"/>
        <v>0</v>
      </c>
      <c r="AT612" s="25">
        <f t="shared" si="97"/>
        <v>0</v>
      </c>
    </row>
    <row r="613" spans="1:46">
      <c r="A613" s="24">
        <v>46129</v>
      </c>
      <c r="B613" s="23">
        <f t="shared" si="90"/>
        <v>46113</v>
      </c>
      <c r="C613" s="2" t="s">
        <v>72</v>
      </c>
      <c r="D613" s="2" t="s">
        <v>86</v>
      </c>
      <c r="E613" s="2">
        <v>6303</v>
      </c>
      <c r="F613" s="2">
        <v>319</v>
      </c>
      <c r="G613" s="2">
        <f t="shared" si="98"/>
        <v>50</v>
      </c>
      <c r="H613" s="2">
        <f t="shared" si="99"/>
        <v>50</v>
      </c>
      <c r="I613" s="2">
        <v>0</v>
      </c>
      <c r="J613" s="44" t="s">
        <v>48</v>
      </c>
      <c r="K613" s="2" t="s">
        <v>49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/>
      <c r="AM613" s="2" t="s">
        <v>103</v>
      </c>
      <c r="AN613" s="2">
        <f t="shared" si="91"/>
        <v>0</v>
      </c>
      <c r="AO613" s="2">
        <f t="shared" si="92"/>
        <v>0</v>
      </c>
      <c r="AP613" s="2">
        <f t="shared" si="93"/>
        <v>0</v>
      </c>
      <c r="AQ613" s="2">
        <f t="shared" si="94"/>
        <v>0</v>
      </c>
      <c r="AR613" s="2">
        <f t="shared" si="95"/>
        <v>0</v>
      </c>
      <c r="AS613" s="2">
        <f t="shared" si="96"/>
        <v>0</v>
      </c>
      <c r="AT613" s="25">
        <f t="shared" si="97"/>
        <v>0</v>
      </c>
    </row>
    <row r="614" spans="1:46">
      <c r="A614" s="24">
        <v>46129</v>
      </c>
      <c r="B614" s="23">
        <f t="shared" si="90"/>
        <v>46113</v>
      </c>
      <c r="C614" s="2" t="s">
        <v>72</v>
      </c>
      <c r="D614" s="2" t="s">
        <v>240</v>
      </c>
      <c r="E614" s="2">
        <v>7134</v>
      </c>
      <c r="F614" s="2">
        <v>338</v>
      </c>
      <c r="G614" s="2">
        <f t="shared" si="98"/>
        <v>50</v>
      </c>
      <c r="H614" s="2">
        <f t="shared" si="99"/>
        <v>49</v>
      </c>
      <c r="I614" s="2">
        <v>1</v>
      </c>
      <c r="J614" s="44" t="s">
        <v>48</v>
      </c>
      <c r="K614" s="2" t="s">
        <v>49</v>
      </c>
      <c r="L614" s="2">
        <v>1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/>
      <c r="AM614" s="2" t="s">
        <v>103</v>
      </c>
      <c r="AN614" s="2">
        <f t="shared" si="91"/>
        <v>1</v>
      </c>
      <c r="AO614" s="2">
        <f t="shared" si="92"/>
        <v>0</v>
      </c>
      <c r="AP614" s="2">
        <f t="shared" si="93"/>
        <v>0</v>
      </c>
      <c r="AQ614" s="2">
        <f t="shared" si="94"/>
        <v>0</v>
      </c>
      <c r="AR614" s="2">
        <f t="shared" si="95"/>
        <v>0</v>
      </c>
      <c r="AS614" s="2">
        <f t="shared" si="96"/>
        <v>0</v>
      </c>
      <c r="AT614" s="25">
        <f t="shared" si="97"/>
        <v>0</v>
      </c>
    </row>
    <row r="615" spans="1:46">
      <c r="A615" s="24">
        <v>46129</v>
      </c>
      <c r="B615" s="23">
        <f t="shared" si="90"/>
        <v>46113</v>
      </c>
      <c r="C615" s="2" t="s">
        <v>114</v>
      </c>
      <c r="D615" s="2" t="s">
        <v>71</v>
      </c>
      <c r="E615" s="2">
        <v>1825</v>
      </c>
      <c r="F615" s="2">
        <v>814</v>
      </c>
      <c r="G615" s="2">
        <f t="shared" si="98"/>
        <v>80</v>
      </c>
      <c r="H615" s="2">
        <f t="shared" si="99"/>
        <v>80</v>
      </c>
      <c r="I615" s="2">
        <v>0</v>
      </c>
      <c r="J615" s="44" t="s">
        <v>48</v>
      </c>
      <c r="K615" s="2" t="s">
        <v>49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/>
      <c r="AM615" s="2" t="s">
        <v>103</v>
      </c>
      <c r="AN615" s="2">
        <f t="shared" si="91"/>
        <v>0</v>
      </c>
      <c r="AO615" s="2">
        <f t="shared" si="92"/>
        <v>0</v>
      </c>
      <c r="AP615" s="2">
        <f t="shared" si="93"/>
        <v>0</v>
      </c>
      <c r="AQ615" s="2">
        <f t="shared" si="94"/>
        <v>0</v>
      </c>
      <c r="AR615" s="2">
        <f t="shared" si="95"/>
        <v>0</v>
      </c>
      <c r="AS615" s="2">
        <f t="shared" si="96"/>
        <v>0</v>
      </c>
      <c r="AT615" s="25">
        <f t="shared" si="97"/>
        <v>0</v>
      </c>
    </row>
    <row r="616" spans="1:46">
      <c r="A616" s="24">
        <v>46129</v>
      </c>
      <c r="B616" s="23">
        <f t="shared" si="90"/>
        <v>46113</v>
      </c>
      <c r="C616" s="2" t="s">
        <v>66</v>
      </c>
      <c r="D616" s="2" t="s">
        <v>104</v>
      </c>
      <c r="E616" s="2">
        <v>2638</v>
      </c>
      <c r="F616" s="2">
        <v>145</v>
      </c>
      <c r="G616" s="2">
        <f t="shared" si="98"/>
        <v>20</v>
      </c>
      <c r="H616" s="2">
        <f t="shared" si="99"/>
        <v>20</v>
      </c>
      <c r="I616" s="2">
        <v>0</v>
      </c>
      <c r="J616" s="44" t="s">
        <v>48</v>
      </c>
      <c r="K616" s="2" t="s">
        <v>49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/>
      <c r="AM616" s="2" t="s">
        <v>110</v>
      </c>
      <c r="AN616" s="2">
        <f t="shared" si="91"/>
        <v>0</v>
      </c>
      <c r="AO616" s="2">
        <f t="shared" si="92"/>
        <v>0</v>
      </c>
      <c r="AP616" s="2">
        <f t="shared" si="93"/>
        <v>0</v>
      </c>
      <c r="AQ616" s="2">
        <f t="shared" si="94"/>
        <v>0</v>
      </c>
      <c r="AR616" s="2">
        <f t="shared" si="95"/>
        <v>0</v>
      </c>
      <c r="AS616" s="2">
        <f t="shared" si="96"/>
        <v>0</v>
      </c>
      <c r="AT616" s="25">
        <f t="shared" si="97"/>
        <v>0</v>
      </c>
    </row>
    <row r="617" spans="1:46">
      <c r="A617" s="24">
        <v>46129</v>
      </c>
      <c r="B617" s="23">
        <f t="shared" si="90"/>
        <v>46113</v>
      </c>
      <c r="C617" s="2" t="s">
        <v>97</v>
      </c>
      <c r="D617" s="2" t="s">
        <v>122</v>
      </c>
      <c r="E617" s="2">
        <v>3326</v>
      </c>
      <c r="F617" s="2">
        <v>107</v>
      </c>
      <c r="G617" s="2">
        <f t="shared" si="98"/>
        <v>20</v>
      </c>
      <c r="H617" s="2">
        <f t="shared" si="99"/>
        <v>20</v>
      </c>
      <c r="I617" s="2">
        <v>0</v>
      </c>
      <c r="J617" s="44" t="s">
        <v>48</v>
      </c>
      <c r="K617" s="2" t="s">
        <v>49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/>
      <c r="AM617" s="2" t="s">
        <v>110</v>
      </c>
      <c r="AN617" s="2">
        <f t="shared" si="91"/>
        <v>0</v>
      </c>
      <c r="AO617" s="2">
        <f t="shared" si="92"/>
        <v>0</v>
      </c>
      <c r="AP617" s="2">
        <f t="shared" si="93"/>
        <v>0</v>
      </c>
      <c r="AQ617" s="2">
        <f t="shared" si="94"/>
        <v>0</v>
      </c>
      <c r="AR617" s="2">
        <f t="shared" si="95"/>
        <v>0</v>
      </c>
      <c r="AS617" s="2">
        <f t="shared" si="96"/>
        <v>0</v>
      </c>
      <c r="AT617" s="25">
        <f t="shared" si="97"/>
        <v>0</v>
      </c>
    </row>
    <row r="618" spans="1:46">
      <c r="A618" s="24">
        <v>46129</v>
      </c>
      <c r="B618" s="23">
        <f t="shared" si="90"/>
        <v>46113</v>
      </c>
      <c r="C618" s="2" t="s">
        <v>97</v>
      </c>
      <c r="D618" s="2" t="s">
        <v>98</v>
      </c>
      <c r="E618" s="2">
        <v>6172</v>
      </c>
      <c r="F618" s="2">
        <v>150</v>
      </c>
      <c r="G618" s="2">
        <f t="shared" si="98"/>
        <v>20</v>
      </c>
      <c r="H618" s="2">
        <f t="shared" si="99"/>
        <v>20</v>
      </c>
      <c r="I618" s="2">
        <v>0</v>
      </c>
      <c r="J618" s="44" t="s">
        <v>48</v>
      </c>
      <c r="K618" s="2" t="s">
        <v>49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/>
      <c r="AM618" s="2" t="s">
        <v>110</v>
      </c>
      <c r="AN618" s="2">
        <f t="shared" si="91"/>
        <v>0</v>
      </c>
      <c r="AO618" s="2">
        <f t="shared" si="92"/>
        <v>0</v>
      </c>
      <c r="AP618" s="2">
        <f t="shared" si="93"/>
        <v>0</v>
      </c>
      <c r="AQ618" s="2">
        <f t="shared" si="94"/>
        <v>0</v>
      </c>
      <c r="AR618" s="2">
        <f t="shared" si="95"/>
        <v>0</v>
      </c>
      <c r="AS618" s="2">
        <f t="shared" si="96"/>
        <v>0</v>
      </c>
      <c r="AT618" s="25">
        <f t="shared" si="97"/>
        <v>0</v>
      </c>
    </row>
    <row r="619" spans="1:46">
      <c r="A619" s="24">
        <v>46129</v>
      </c>
      <c r="B619" s="23">
        <f t="shared" si="90"/>
        <v>46113</v>
      </c>
      <c r="C619" s="2" t="s">
        <v>66</v>
      </c>
      <c r="D619" s="2" t="s">
        <v>146</v>
      </c>
      <c r="E619" s="2">
        <v>2638</v>
      </c>
      <c r="F619" s="2">
        <v>135</v>
      </c>
      <c r="G619" s="2">
        <f t="shared" si="98"/>
        <v>20</v>
      </c>
      <c r="H619" s="2">
        <f t="shared" si="99"/>
        <v>20</v>
      </c>
      <c r="I619" s="2">
        <v>0</v>
      </c>
      <c r="J619" s="44" t="s">
        <v>48</v>
      </c>
      <c r="K619" s="2" t="s">
        <v>49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/>
      <c r="AM619" s="2" t="s">
        <v>110</v>
      </c>
      <c r="AN619" s="2">
        <f t="shared" si="91"/>
        <v>0</v>
      </c>
      <c r="AO619" s="2">
        <f t="shared" si="92"/>
        <v>0</v>
      </c>
      <c r="AP619" s="2">
        <f t="shared" si="93"/>
        <v>0</v>
      </c>
      <c r="AQ619" s="2">
        <f t="shared" si="94"/>
        <v>0</v>
      </c>
      <c r="AR619" s="2">
        <f t="shared" si="95"/>
        <v>0</v>
      </c>
      <c r="AS619" s="2">
        <f t="shared" si="96"/>
        <v>0</v>
      </c>
      <c r="AT619" s="25">
        <f t="shared" si="97"/>
        <v>0</v>
      </c>
    </row>
    <row r="620" spans="1:46">
      <c r="A620" s="24">
        <v>46129</v>
      </c>
      <c r="B620" s="23">
        <f t="shared" si="90"/>
        <v>46113</v>
      </c>
      <c r="C620" s="2" t="s">
        <v>97</v>
      </c>
      <c r="D620" s="2" t="s">
        <v>134</v>
      </c>
      <c r="E620" s="2">
        <v>3326</v>
      </c>
      <c r="F620" s="2">
        <v>280</v>
      </c>
      <c r="G620" s="2">
        <f t="shared" si="98"/>
        <v>32</v>
      </c>
      <c r="H620" s="2">
        <f t="shared" si="99"/>
        <v>32</v>
      </c>
      <c r="I620" s="2">
        <v>0</v>
      </c>
      <c r="J620" s="44" t="s">
        <v>48</v>
      </c>
      <c r="K620" s="2" t="s">
        <v>49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/>
      <c r="AM620" s="2" t="s">
        <v>110</v>
      </c>
      <c r="AN620" s="2">
        <f t="shared" si="91"/>
        <v>0</v>
      </c>
      <c r="AO620" s="2">
        <f t="shared" si="92"/>
        <v>0</v>
      </c>
      <c r="AP620" s="2">
        <f t="shared" si="93"/>
        <v>0</v>
      </c>
      <c r="AQ620" s="2">
        <f t="shared" si="94"/>
        <v>0</v>
      </c>
      <c r="AR620" s="2">
        <f t="shared" si="95"/>
        <v>0</v>
      </c>
      <c r="AS620" s="2">
        <f t="shared" si="96"/>
        <v>0</v>
      </c>
      <c r="AT620" s="25">
        <f t="shared" si="97"/>
        <v>0</v>
      </c>
    </row>
    <row r="621" spans="1:46">
      <c r="A621" s="24">
        <v>46129</v>
      </c>
      <c r="B621" s="23">
        <f t="shared" si="90"/>
        <v>46113</v>
      </c>
      <c r="C621" s="2" t="s">
        <v>97</v>
      </c>
      <c r="D621" s="2" t="s">
        <v>1387</v>
      </c>
      <c r="E621" s="2">
        <v>3327</v>
      </c>
      <c r="F621" s="2">
        <v>360</v>
      </c>
      <c r="G621" s="2">
        <f t="shared" si="98"/>
        <v>50</v>
      </c>
      <c r="H621" s="2">
        <f t="shared" si="99"/>
        <v>50</v>
      </c>
      <c r="I621" s="2">
        <v>0</v>
      </c>
      <c r="J621" s="44" t="s">
        <v>48</v>
      </c>
      <c r="K621" s="2" t="s">
        <v>49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/>
      <c r="AM621" s="2" t="s">
        <v>110</v>
      </c>
      <c r="AN621" s="2">
        <f t="shared" si="91"/>
        <v>0</v>
      </c>
      <c r="AO621" s="2">
        <f t="shared" si="92"/>
        <v>0</v>
      </c>
      <c r="AP621" s="2">
        <f t="shared" si="93"/>
        <v>0</v>
      </c>
      <c r="AQ621" s="2">
        <f t="shared" si="94"/>
        <v>0</v>
      </c>
      <c r="AR621" s="2">
        <f t="shared" si="95"/>
        <v>0</v>
      </c>
      <c r="AS621" s="2">
        <f t="shared" si="96"/>
        <v>0</v>
      </c>
      <c r="AT621" s="25">
        <f t="shared" si="97"/>
        <v>0</v>
      </c>
    </row>
    <row r="622" spans="1:46">
      <c r="A622" s="24">
        <v>46129</v>
      </c>
      <c r="B622" s="23">
        <f t="shared" si="90"/>
        <v>46113</v>
      </c>
      <c r="C622" s="2" t="s">
        <v>97</v>
      </c>
      <c r="D622" s="2" t="s">
        <v>120</v>
      </c>
      <c r="E622" s="2">
        <v>3326</v>
      </c>
      <c r="F622" s="2">
        <v>330</v>
      </c>
      <c r="G622" s="2">
        <f t="shared" si="98"/>
        <v>50</v>
      </c>
      <c r="H622" s="2">
        <f t="shared" si="99"/>
        <v>50</v>
      </c>
      <c r="I622" s="2">
        <v>0</v>
      </c>
      <c r="J622" s="44" t="s">
        <v>48</v>
      </c>
      <c r="K622" s="2" t="s">
        <v>49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/>
      <c r="AM622" s="2" t="s">
        <v>110</v>
      </c>
      <c r="AN622" s="2">
        <f t="shared" si="91"/>
        <v>0</v>
      </c>
      <c r="AO622" s="2">
        <f t="shared" si="92"/>
        <v>0</v>
      </c>
      <c r="AP622" s="2">
        <f t="shared" si="93"/>
        <v>0</v>
      </c>
      <c r="AQ622" s="2">
        <f t="shared" si="94"/>
        <v>0</v>
      </c>
      <c r="AR622" s="2">
        <f t="shared" si="95"/>
        <v>0</v>
      </c>
      <c r="AS622" s="2">
        <f t="shared" si="96"/>
        <v>0</v>
      </c>
      <c r="AT622" s="25">
        <f t="shared" si="97"/>
        <v>0</v>
      </c>
    </row>
    <row r="623" spans="1:46">
      <c r="A623" s="24">
        <v>46129</v>
      </c>
      <c r="B623" s="23">
        <f t="shared" si="90"/>
        <v>46113</v>
      </c>
      <c r="C623" s="2" t="s">
        <v>55</v>
      </c>
      <c r="D623" s="2" t="s">
        <v>58</v>
      </c>
      <c r="E623" s="2">
        <v>3323</v>
      </c>
      <c r="F623" s="2">
        <v>316</v>
      </c>
      <c r="G623" s="2">
        <f t="shared" si="98"/>
        <v>50</v>
      </c>
      <c r="H623" s="2">
        <f t="shared" si="99"/>
        <v>49</v>
      </c>
      <c r="I623" s="2">
        <v>1</v>
      </c>
      <c r="J623" s="44" t="s">
        <v>48</v>
      </c>
      <c r="K623" s="2" t="s">
        <v>49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1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/>
      <c r="AM623" s="2" t="s">
        <v>1566</v>
      </c>
      <c r="AN623" s="2">
        <f t="shared" si="91"/>
        <v>0</v>
      </c>
      <c r="AO623" s="2">
        <f t="shared" si="92"/>
        <v>1</v>
      </c>
      <c r="AP623" s="2">
        <f t="shared" si="93"/>
        <v>0</v>
      </c>
      <c r="AQ623" s="2">
        <f t="shared" si="94"/>
        <v>0</v>
      </c>
      <c r="AR623" s="2">
        <f t="shared" si="95"/>
        <v>0</v>
      </c>
      <c r="AS623" s="2">
        <f t="shared" si="96"/>
        <v>0</v>
      </c>
      <c r="AT623" s="25">
        <f t="shared" si="97"/>
        <v>0</v>
      </c>
    </row>
    <row r="624" spans="1:46">
      <c r="A624" s="24">
        <v>46129</v>
      </c>
      <c r="B624" s="23">
        <f t="shared" si="90"/>
        <v>46113</v>
      </c>
      <c r="C624" s="2" t="s">
        <v>55</v>
      </c>
      <c r="D624" s="2" t="s">
        <v>84</v>
      </c>
      <c r="E624" s="2">
        <v>1825</v>
      </c>
      <c r="F624" s="2">
        <v>94</v>
      </c>
      <c r="G624" s="2">
        <f t="shared" si="98"/>
        <v>20</v>
      </c>
      <c r="H624" s="2">
        <f t="shared" si="99"/>
        <v>19</v>
      </c>
      <c r="I624" s="2">
        <v>1</v>
      </c>
      <c r="J624" s="44" t="s">
        <v>48</v>
      </c>
      <c r="K624" s="2" t="s">
        <v>49</v>
      </c>
      <c r="L624" s="2">
        <v>1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/>
      <c r="AM624" s="2" t="s">
        <v>1566</v>
      </c>
      <c r="AN624" s="2">
        <f t="shared" si="91"/>
        <v>1</v>
      </c>
      <c r="AO624" s="2">
        <f t="shared" si="92"/>
        <v>0</v>
      </c>
      <c r="AP624" s="2">
        <f t="shared" si="93"/>
        <v>0</v>
      </c>
      <c r="AQ624" s="2">
        <f t="shared" si="94"/>
        <v>0</v>
      </c>
      <c r="AR624" s="2">
        <f t="shared" si="95"/>
        <v>0</v>
      </c>
      <c r="AS624" s="2">
        <f t="shared" si="96"/>
        <v>0</v>
      </c>
      <c r="AT624" s="25">
        <f t="shared" si="97"/>
        <v>0</v>
      </c>
    </row>
    <row r="625" spans="1:46">
      <c r="A625" s="24">
        <v>46129</v>
      </c>
      <c r="B625" s="23">
        <f t="shared" si="90"/>
        <v>46113</v>
      </c>
      <c r="C625" s="2" t="s">
        <v>55</v>
      </c>
      <c r="D625" s="2" t="s">
        <v>199</v>
      </c>
      <c r="E625" s="2">
        <v>1825</v>
      </c>
      <c r="F625" s="2">
        <v>136</v>
      </c>
      <c r="G625" s="2">
        <f t="shared" si="98"/>
        <v>20</v>
      </c>
      <c r="H625" s="2">
        <f t="shared" si="99"/>
        <v>19</v>
      </c>
      <c r="I625" s="2">
        <v>1</v>
      </c>
      <c r="J625" s="44" t="s">
        <v>48</v>
      </c>
      <c r="K625" s="2" t="s">
        <v>49</v>
      </c>
      <c r="L625" s="2">
        <v>1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/>
      <c r="AM625" s="2" t="s">
        <v>1566</v>
      </c>
      <c r="AN625" s="2">
        <f t="shared" si="91"/>
        <v>1</v>
      </c>
      <c r="AO625" s="2">
        <f t="shared" si="92"/>
        <v>0</v>
      </c>
      <c r="AP625" s="2">
        <f t="shared" si="93"/>
        <v>0</v>
      </c>
      <c r="AQ625" s="2">
        <f t="shared" si="94"/>
        <v>0</v>
      </c>
      <c r="AR625" s="2">
        <f t="shared" si="95"/>
        <v>0</v>
      </c>
      <c r="AS625" s="2">
        <f t="shared" si="96"/>
        <v>0</v>
      </c>
      <c r="AT625" s="25">
        <f t="shared" si="97"/>
        <v>0</v>
      </c>
    </row>
    <row r="626" spans="1:46">
      <c r="A626" s="24">
        <v>46129</v>
      </c>
      <c r="B626" s="23">
        <f t="shared" si="90"/>
        <v>46113</v>
      </c>
      <c r="C626" s="2" t="s">
        <v>55</v>
      </c>
      <c r="D626" s="2" t="s">
        <v>1310</v>
      </c>
      <c r="E626" s="2">
        <v>8190</v>
      </c>
      <c r="F626" s="2">
        <v>64</v>
      </c>
      <c r="G626" s="2">
        <f t="shared" si="98"/>
        <v>20</v>
      </c>
      <c r="H626" s="2">
        <f t="shared" si="99"/>
        <v>17</v>
      </c>
      <c r="I626" s="2">
        <v>3</v>
      </c>
      <c r="J626" s="44" t="s">
        <v>67</v>
      </c>
      <c r="K626" s="2" t="s">
        <v>49</v>
      </c>
      <c r="L626" s="2">
        <v>1</v>
      </c>
      <c r="M626" s="2">
        <v>0</v>
      </c>
      <c r="N626" s="2">
        <v>0</v>
      </c>
      <c r="O626" s="2">
        <v>0</v>
      </c>
      <c r="P626" s="2">
        <v>2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/>
      <c r="AM626" s="2" t="s">
        <v>1566</v>
      </c>
      <c r="AN626" s="2">
        <f t="shared" si="91"/>
        <v>1</v>
      </c>
      <c r="AO626" s="2">
        <f t="shared" si="92"/>
        <v>2</v>
      </c>
      <c r="AP626" s="2">
        <f t="shared" si="93"/>
        <v>0</v>
      </c>
      <c r="AQ626" s="2">
        <f t="shared" si="94"/>
        <v>0</v>
      </c>
      <c r="AR626" s="2">
        <f t="shared" si="95"/>
        <v>0</v>
      </c>
      <c r="AS626" s="2">
        <f t="shared" si="96"/>
        <v>0</v>
      </c>
      <c r="AT626" s="25">
        <f t="shared" si="97"/>
        <v>0</v>
      </c>
    </row>
    <row r="627" spans="1:46">
      <c r="A627" s="24">
        <v>46129</v>
      </c>
      <c r="B627" s="23">
        <f t="shared" si="90"/>
        <v>46113</v>
      </c>
      <c r="C627" s="2" t="s">
        <v>55</v>
      </c>
      <c r="D627" s="2" t="s">
        <v>328</v>
      </c>
      <c r="E627" s="2">
        <v>2760</v>
      </c>
      <c r="F627" s="2">
        <v>228</v>
      </c>
      <c r="G627" s="2">
        <f t="shared" si="98"/>
        <v>32</v>
      </c>
      <c r="H627" s="2">
        <f t="shared" si="99"/>
        <v>32</v>
      </c>
      <c r="I627" s="2">
        <v>0</v>
      </c>
      <c r="J627" s="44" t="s">
        <v>48</v>
      </c>
      <c r="K627" s="2" t="s">
        <v>49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/>
      <c r="AM627" s="2" t="s">
        <v>1566</v>
      </c>
      <c r="AN627" s="2">
        <f t="shared" si="91"/>
        <v>0</v>
      </c>
      <c r="AO627" s="2">
        <f t="shared" si="92"/>
        <v>0</v>
      </c>
      <c r="AP627" s="2">
        <f t="shared" si="93"/>
        <v>0</v>
      </c>
      <c r="AQ627" s="2">
        <f t="shared" si="94"/>
        <v>0</v>
      </c>
      <c r="AR627" s="2">
        <f t="shared" si="95"/>
        <v>0</v>
      </c>
      <c r="AS627" s="2">
        <f t="shared" si="96"/>
        <v>0</v>
      </c>
      <c r="AT627" s="25">
        <f t="shared" si="97"/>
        <v>0</v>
      </c>
    </row>
    <row r="628" spans="1:46">
      <c r="A628" s="24">
        <v>46129</v>
      </c>
      <c r="B628" s="23">
        <f t="shared" si="90"/>
        <v>46113</v>
      </c>
      <c r="C628" s="2" t="s">
        <v>95</v>
      </c>
      <c r="D628" s="2" t="s">
        <v>303</v>
      </c>
      <c r="E628" s="2">
        <v>6222</v>
      </c>
      <c r="F628" s="2">
        <v>95</v>
      </c>
      <c r="G628" s="2">
        <f t="shared" si="98"/>
        <v>20</v>
      </c>
      <c r="H628" s="2">
        <f t="shared" si="99"/>
        <v>19</v>
      </c>
      <c r="I628" s="2">
        <v>1</v>
      </c>
      <c r="J628" s="44" t="s">
        <v>48</v>
      </c>
      <c r="K628" s="2" t="s">
        <v>49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1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/>
      <c r="AM628" s="2" t="s">
        <v>1566</v>
      </c>
      <c r="AN628" s="2">
        <f t="shared" si="91"/>
        <v>0</v>
      </c>
      <c r="AO628" s="2">
        <f t="shared" si="92"/>
        <v>0</v>
      </c>
      <c r="AP628" s="2">
        <f t="shared" si="93"/>
        <v>0</v>
      </c>
      <c r="AQ628" s="2">
        <f t="shared" si="94"/>
        <v>1</v>
      </c>
      <c r="AR628" s="2">
        <f t="shared" si="95"/>
        <v>0</v>
      </c>
      <c r="AS628" s="2">
        <f t="shared" si="96"/>
        <v>0</v>
      </c>
      <c r="AT628" s="25">
        <f t="shared" si="97"/>
        <v>0</v>
      </c>
    </row>
    <row r="629" spans="1:46">
      <c r="A629" s="24">
        <v>46129</v>
      </c>
      <c r="B629" s="23">
        <f t="shared" si="90"/>
        <v>46113</v>
      </c>
      <c r="C629" s="2" t="s">
        <v>46</v>
      </c>
      <c r="D629" s="2" t="s">
        <v>171</v>
      </c>
      <c r="E629" s="2">
        <v>6207</v>
      </c>
      <c r="F629" s="2">
        <v>101</v>
      </c>
      <c r="G629" s="2">
        <f t="shared" si="98"/>
        <v>20</v>
      </c>
      <c r="H629" s="2">
        <f t="shared" si="99"/>
        <v>20</v>
      </c>
      <c r="I629" s="2">
        <v>0</v>
      </c>
      <c r="J629" s="44" t="s">
        <v>48</v>
      </c>
      <c r="K629" s="2" t="s">
        <v>49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/>
      <c r="AM629" s="2" t="s">
        <v>1566</v>
      </c>
      <c r="AN629" s="2">
        <f t="shared" si="91"/>
        <v>0</v>
      </c>
      <c r="AO629" s="2">
        <f t="shared" si="92"/>
        <v>0</v>
      </c>
      <c r="AP629" s="2">
        <f t="shared" si="93"/>
        <v>0</v>
      </c>
      <c r="AQ629" s="2">
        <f t="shared" si="94"/>
        <v>0</v>
      </c>
      <c r="AR629" s="2">
        <f t="shared" si="95"/>
        <v>0</v>
      </c>
      <c r="AS629" s="2">
        <f t="shared" si="96"/>
        <v>0</v>
      </c>
      <c r="AT629" s="25">
        <f t="shared" si="97"/>
        <v>0</v>
      </c>
    </row>
    <row r="630" spans="1:46">
      <c r="A630" s="24">
        <v>46129</v>
      </c>
      <c r="B630" s="23">
        <f t="shared" si="90"/>
        <v>46113</v>
      </c>
      <c r="C630" s="2" t="s">
        <v>55</v>
      </c>
      <c r="D630" s="2" t="s">
        <v>233</v>
      </c>
      <c r="E630" s="2">
        <v>1773</v>
      </c>
      <c r="F630" s="2">
        <v>113</v>
      </c>
      <c r="G630" s="2">
        <f t="shared" si="98"/>
        <v>20</v>
      </c>
      <c r="H630" s="2">
        <f t="shared" si="99"/>
        <v>19</v>
      </c>
      <c r="I630" s="2">
        <v>1</v>
      </c>
      <c r="J630" s="44" t="s">
        <v>48</v>
      </c>
      <c r="K630" s="2" t="s">
        <v>49</v>
      </c>
      <c r="L630" s="2">
        <v>1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/>
      <c r="AM630" s="2" t="s">
        <v>1566</v>
      </c>
      <c r="AN630" s="2">
        <f t="shared" si="91"/>
        <v>1</v>
      </c>
      <c r="AO630" s="2">
        <f t="shared" si="92"/>
        <v>0</v>
      </c>
      <c r="AP630" s="2">
        <f t="shared" si="93"/>
        <v>0</v>
      </c>
      <c r="AQ630" s="2">
        <f t="shared" si="94"/>
        <v>0</v>
      </c>
      <c r="AR630" s="2">
        <f t="shared" si="95"/>
        <v>0</v>
      </c>
      <c r="AS630" s="2">
        <f t="shared" si="96"/>
        <v>0</v>
      </c>
      <c r="AT630" s="25">
        <f t="shared" si="97"/>
        <v>0</v>
      </c>
    </row>
    <row r="631" spans="1:46">
      <c r="A631" s="24">
        <v>46129</v>
      </c>
      <c r="B631" s="23">
        <f t="shared" si="90"/>
        <v>46113</v>
      </c>
      <c r="C631" s="2" t="s">
        <v>55</v>
      </c>
      <c r="D631" s="2" t="s">
        <v>329</v>
      </c>
      <c r="E631" s="2">
        <v>3305</v>
      </c>
      <c r="F631" s="2">
        <v>129</v>
      </c>
      <c r="G631" s="2">
        <f t="shared" si="98"/>
        <v>20</v>
      </c>
      <c r="H631" s="2">
        <f t="shared" si="99"/>
        <v>19</v>
      </c>
      <c r="I631" s="2">
        <v>1</v>
      </c>
      <c r="J631" s="44" t="s">
        <v>48</v>
      </c>
      <c r="K631" s="2" t="s">
        <v>49</v>
      </c>
      <c r="L631" s="2">
        <v>1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/>
      <c r="AM631" s="2" t="s">
        <v>1566</v>
      </c>
      <c r="AN631" s="2">
        <f t="shared" si="91"/>
        <v>1</v>
      </c>
      <c r="AO631" s="2">
        <f t="shared" si="92"/>
        <v>0</v>
      </c>
      <c r="AP631" s="2">
        <f t="shared" si="93"/>
        <v>0</v>
      </c>
      <c r="AQ631" s="2">
        <f t="shared" si="94"/>
        <v>0</v>
      </c>
      <c r="AR631" s="2">
        <f t="shared" si="95"/>
        <v>0</v>
      </c>
      <c r="AS631" s="2">
        <f t="shared" si="96"/>
        <v>0</v>
      </c>
      <c r="AT631" s="25">
        <f t="shared" si="97"/>
        <v>0</v>
      </c>
    </row>
    <row r="632" spans="1:46">
      <c r="A632" s="24">
        <v>46129</v>
      </c>
      <c r="B632" s="23">
        <f t="shared" si="90"/>
        <v>46113</v>
      </c>
      <c r="C632" s="2" t="s">
        <v>46</v>
      </c>
      <c r="D632" s="2" t="s">
        <v>269</v>
      </c>
      <c r="E632" s="2">
        <v>6207</v>
      </c>
      <c r="F632" s="2">
        <v>132</v>
      </c>
      <c r="G632" s="2">
        <f t="shared" si="98"/>
        <v>20</v>
      </c>
      <c r="H632" s="2">
        <f t="shared" si="99"/>
        <v>19</v>
      </c>
      <c r="I632" s="2">
        <v>1</v>
      </c>
      <c r="J632" s="44" t="s">
        <v>48</v>
      </c>
      <c r="K632" s="2" t="s">
        <v>49</v>
      </c>
      <c r="L632" s="2">
        <v>1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/>
      <c r="AM632" s="2" t="s">
        <v>1566</v>
      </c>
      <c r="AN632" s="2">
        <f t="shared" si="91"/>
        <v>1</v>
      </c>
      <c r="AO632" s="2">
        <f t="shared" si="92"/>
        <v>0</v>
      </c>
      <c r="AP632" s="2">
        <f t="shared" si="93"/>
        <v>0</v>
      </c>
      <c r="AQ632" s="2">
        <f t="shared" si="94"/>
        <v>0</v>
      </c>
      <c r="AR632" s="2">
        <f t="shared" si="95"/>
        <v>0</v>
      </c>
      <c r="AS632" s="2">
        <f t="shared" si="96"/>
        <v>0</v>
      </c>
      <c r="AT632" s="25">
        <f t="shared" si="97"/>
        <v>0</v>
      </c>
    </row>
    <row r="633" spans="1:46">
      <c r="A633" s="24">
        <v>46129</v>
      </c>
      <c r="B633" s="23">
        <f t="shared" si="90"/>
        <v>46113</v>
      </c>
      <c r="C633" s="2" t="s">
        <v>46</v>
      </c>
      <c r="D633" s="2" t="s">
        <v>171</v>
      </c>
      <c r="E633" s="2">
        <v>6207</v>
      </c>
      <c r="F633" s="2">
        <v>106</v>
      </c>
      <c r="G633" s="2">
        <f t="shared" si="98"/>
        <v>20</v>
      </c>
      <c r="H633" s="2">
        <f t="shared" si="99"/>
        <v>19</v>
      </c>
      <c r="I633" s="2">
        <v>1</v>
      </c>
      <c r="J633" s="44" t="s">
        <v>48</v>
      </c>
      <c r="K633" s="2" t="s">
        <v>49</v>
      </c>
      <c r="L633" s="2">
        <v>1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/>
      <c r="AM633" s="2" t="s">
        <v>1566</v>
      </c>
      <c r="AN633" s="2">
        <f t="shared" si="91"/>
        <v>1</v>
      </c>
      <c r="AO633" s="2">
        <f t="shared" si="92"/>
        <v>0</v>
      </c>
      <c r="AP633" s="2">
        <f t="shared" si="93"/>
        <v>0</v>
      </c>
      <c r="AQ633" s="2">
        <f t="shared" si="94"/>
        <v>0</v>
      </c>
      <c r="AR633" s="2">
        <f t="shared" si="95"/>
        <v>0</v>
      </c>
      <c r="AS633" s="2">
        <f t="shared" si="96"/>
        <v>0</v>
      </c>
      <c r="AT633" s="25">
        <f t="shared" si="97"/>
        <v>0</v>
      </c>
    </row>
    <row r="634" spans="1:46">
      <c r="A634" s="24">
        <v>46129</v>
      </c>
      <c r="B634" s="23">
        <f t="shared" si="90"/>
        <v>46113</v>
      </c>
      <c r="C634" s="2" t="s">
        <v>55</v>
      </c>
      <c r="D634" s="2" t="s">
        <v>170</v>
      </c>
      <c r="E634" s="2">
        <v>2593</v>
      </c>
      <c r="F634" s="2">
        <v>350</v>
      </c>
      <c r="G634" s="2">
        <f t="shared" si="98"/>
        <v>50</v>
      </c>
      <c r="H634" s="2">
        <f t="shared" si="99"/>
        <v>49</v>
      </c>
      <c r="I634" s="2">
        <v>1</v>
      </c>
      <c r="J634" s="44" t="s">
        <v>48</v>
      </c>
      <c r="K634" s="2" t="s">
        <v>49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1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/>
      <c r="AM634" s="2" t="s">
        <v>1566</v>
      </c>
      <c r="AN634" s="2">
        <f t="shared" si="91"/>
        <v>0</v>
      </c>
      <c r="AO634" s="2">
        <f t="shared" si="92"/>
        <v>0</v>
      </c>
      <c r="AP634" s="2">
        <f t="shared" si="93"/>
        <v>1</v>
      </c>
      <c r="AQ634" s="2">
        <f t="shared" si="94"/>
        <v>0</v>
      </c>
      <c r="AR634" s="2">
        <f t="shared" si="95"/>
        <v>0</v>
      </c>
      <c r="AS634" s="2">
        <f t="shared" si="96"/>
        <v>0</v>
      </c>
      <c r="AT634" s="25">
        <f t="shared" si="97"/>
        <v>0</v>
      </c>
    </row>
    <row r="635" spans="1:46">
      <c r="A635" s="24">
        <v>46129</v>
      </c>
      <c r="B635" s="23">
        <f t="shared" si="90"/>
        <v>46113</v>
      </c>
      <c r="C635" s="2" t="s">
        <v>55</v>
      </c>
      <c r="D635" s="2" t="s">
        <v>1310</v>
      </c>
      <c r="E635" s="2">
        <v>8190</v>
      </c>
      <c r="F635" s="2">
        <v>59</v>
      </c>
      <c r="G635" s="2">
        <f t="shared" si="98"/>
        <v>20</v>
      </c>
      <c r="H635" s="2">
        <f t="shared" si="99"/>
        <v>19</v>
      </c>
      <c r="I635" s="2">
        <v>1</v>
      </c>
      <c r="J635" s="44" t="s">
        <v>48</v>
      </c>
      <c r="K635" s="2" t="s">
        <v>49</v>
      </c>
      <c r="L635" s="2">
        <v>1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/>
      <c r="AM635" s="2" t="s">
        <v>1566</v>
      </c>
      <c r="AN635" s="2">
        <f t="shared" si="91"/>
        <v>1</v>
      </c>
      <c r="AO635" s="2">
        <f t="shared" si="92"/>
        <v>0</v>
      </c>
      <c r="AP635" s="2">
        <f t="shared" si="93"/>
        <v>0</v>
      </c>
      <c r="AQ635" s="2">
        <f t="shared" si="94"/>
        <v>0</v>
      </c>
      <c r="AR635" s="2">
        <f t="shared" si="95"/>
        <v>0</v>
      </c>
      <c r="AS635" s="2">
        <f t="shared" si="96"/>
        <v>0</v>
      </c>
      <c r="AT635" s="25">
        <f t="shared" si="97"/>
        <v>0</v>
      </c>
    </row>
    <row r="636" spans="1:46">
      <c r="A636" s="24">
        <v>46130</v>
      </c>
      <c r="B636" s="23">
        <f t="shared" si="90"/>
        <v>46113</v>
      </c>
      <c r="C636" s="2" t="s">
        <v>46</v>
      </c>
      <c r="D636" s="2" t="s">
        <v>269</v>
      </c>
      <c r="E636" s="2">
        <v>6207</v>
      </c>
      <c r="F636" s="2">
        <v>60</v>
      </c>
      <c r="G636" s="2">
        <f t="shared" si="98"/>
        <v>20</v>
      </c>
      <c r="H636" s="2">
        <f t="shared" si="99"/>
        <v>18</v>
      </c>
      <c r="I636" s="2">
        <v>2</v>
      </c>
      <c r="J636" s="44" t="s">
        <v>67</v>
      </c>
      <c r="K636" s="2" t="s">
        <v>49</v>
      </c>
      <c r="L636" s="2">
        <v>1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1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/>
      <c r="AM636" s="2" t="s">
        <v>77</v>
      </c>
      <c r="AN636" s="2">
        <f t="shared" si="91"/>
        <v>1</v>
      </c>
      <c r="AO636" s="2">
        <f t="shared" si="92"/>
        <v>1</v>
      </c>
      <c r="AP636" s="2">
        <f t="shared" si="93"/>
        <v>0</v>
      </c>
      <c r="AQ636" s="2">
        <f t="shared" si="94"/>
        <v>0</v>
      </c>
      <c r="AR636" s="2">
        <f t="shared" si="95"/>
        <v>0</v>
      </c>
      <c r="AS636" s="2">
        <f t="shared" si="96"/>
        <v>0</v>
      </c>
      <c r="AT636" s="25">
        <f t="shared" si="97"/>
        <v>0</v>
      </c>
    </row>
    <row r="637" spans="1:46">
      <c r="A637" s="24">
        <v>46130</v>
      </c>
      <c r="B637" s="23">
        <f t="shared" si="90"/>
        <v>46113</v>
      </c>
      <c r="C637" s="2" t="s">
        <v>46</v>
      </c>
      <c r="D637" s="2" t="s">
        <v>1542</v>
      </c>
      <c r="E637" s="2">
        <v>6285</v>
      </c>
      <c r="F637" s="2">
        <v>55</v>
      </c>
      <c r="G637" s="2">
        <f t="shared" si="98"/>
        <v>20</v>
      </c>
      <c r="H637" s="2">
        <f t="shared" si="99"/>
        <v>20</v>
      </c>
      <c r="I637" s="2">
        <v>0</v>
      </c>
      <c r="J637" s="44" t="s">
        <v>48</v>
      </c>
      <c r="K637" s="2" t="s">
        <v>49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/>
      <c r="AM637" s="2" t="s">
        <v>77</v>
      </c>
      <c r="AN637" s="2">
        <f t="shared" si="91"/>
        <v>0</v>
      </c>
      <c r="AO637" s="2">
        <f t="shared" si="92"/>
        <v>0</v>
      </c>
      <c r="AP637" s="2">
        <f t="shared" si="93"/>
        <v>0</v>
      </c>
      <c r="AQ637" s="2">
        <f t="shared" si="94"/>
        <v>0</v>
      </c>
      <c r="AR637" s="2">
        <f t="shared" si="95"/>
        <v>0</v>
      </c>
      <c r="AS637" s="2">
        <f t="shared" si="96"/>
        <v>0</v>
      </c>
      <c r="AT637" s="25">
        <f t="shared" si="97"/>
        <v>0</v>
      </c>
    </row>
    <row r="638" spans="1:46">
      <c r="A638" s="24">
        <v>46130</v>
      </c>
      <c r="B638" s="23">
        <f t="shared" si="90"/>
        <v>46113</v>
      </c>
      <c r="C638" s="2" t="s">
        <v>66</v>
      </c>
      <c r="D638" s="2" t="s">
        <v>221</v>
      </c>
      <c r="E638" s="2">
        <v>6258</v>
      </c>
      <c r="F638" s="2">
        <v>294</v>
      </c>
      <c r="G638" s="2">
        <f t="shared" si="98"/>
        <v>50</v>
      </c>
      <c r="H638" s="2">
        <f t="shared" si="99"/>
        <v>42</v>
      </c>
      <c r="I638" s="2">
        <v>8</v>
      </c>
      <c r="J638" s="44" t="s">
        <v>67</v>
      </c>
      <c r="K638" s="2" t="s">
        <v>49</v>
      </c>
      <c r="L638" s="2">
        <v>0</v>
      </c>
      <c r="M638" s="2">
        <v>0</v>
      </c>
      <c r="N638" s="2">
        <v>0</v>
      </c>
      <c r="O638" s="2">
        <v>0</v>
      </c>
      <c r="P638" s="2">
        <v>8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/>
      <c r="AM638" s="2" t="s">
        <v>80</v>
      </c>
      <c r="AN638" s="2">
        <f t="shared" si="91"/>
        <v>0</v>
      </c>
      <c r="AO638" s="2">
        <f t="shared" si="92"/>
        <v>8</v>
      </c>
      <c r="AP638" s="2">
        <f t="shared" si="93"/>
        <v>0</v>
      </c>
      <c r="AQ638" s="2">
        <f t="shared" si="94"/>
        <v>0</v>
      </c>
      <c r="AR638" s="2">
        <f t="shared" si="95"/>
        <v>0</v>
      </c>
      <c r="AS638" s="2">
        <f t="shared" si="96"/>
        <v>0</v>
      </c>
      <c r="AT638" s="25">
        <f t="shared" si="97"/>
        <v>0</v>
      </c>
    </row>
    <row r="639" spans="1:46">
      <c r="A639" s="24">
        <v>46130</v>
      </c>
      <c r="B639" s="23">
        <f t="shared" si="90"/>
        <v>46113</v>
      </c>
      <c r="C639" s="2" t="s">
        <v>66</v>
      </c>
      <c r="D639" s="2" t="s">
        <v>1300</v>
      </c>
      <c r="E639" s="2">
        <v>1899</v>
      </c>
      <c r="F639" s="2">
        <v>245</v>
      </c>
      <c r="G639" s="2">
        <f t="shared" si="98"/>
        <v>32</v>
      </c>
      <c r="H639" s="2">
        <f t="shared" si="99"/>
        <v>30</v>
      </c>
      <c r="I639" s="2">
        <v>2</v>
      </c>
      <c r="J639" s="44" t="s">
        <v>48</v>
      </c>
      <c r="K639" s="2" t="s">
        <v>49</v>
      </c>
      <c r="L639" s="2">
        <v>0</v>
      </c>
      <c r="M639" s="2">
        <v>0</v>
      </c>
      <c r="N639" s="2">
        <v>0</v>
      </c>
      <c r="O639" s="2">
        <v>0</v>
      </c>
      <c r="P639" s="2">
        <v>2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/>
      <c r="AM639" s="2" t="s">
        <v>80</v>
      </c>
      <c r="AN639" s="2">
        <f t="shared" si="91"/>
        <v>0</v>
      </c>
      <c r="AO639" s="2">
        <f t="shared" si="92"/>
        <v>2</v>
      </c>
      <c r="AP639" s="2">
        <f t="shared" si="93"/>
        <v>0</v>
      </c>
      <c r="AQ639" s="2">
        <f t="shared" si="94"/>
        <v>0</v>
      </c>
      <c r="AR639" s="2">
        <f t="shared" si="95"/>
        <v>0</v>
      </c>
      <c r="AS639" s="2">
        <f t="shared" si="96"/>
        <v>0</v>
      </c>
      <c r="AT639" s="25">
        <f t="shared" si="97"/>
        <v>0</v>
      </c>
    </row>
    <row r="640" spans="1:46">
      <c r="A640" s="24">
        <v>46130</v>
      </c>
      <c r="B640" s="23">
        <f t="shared" si="90"/>
        <v>46113</v>
      </c>
      <c r="C640" s="2" t="s">
        <v>66</v>
      </c>
      <c r="D640" s="2" t="s">
        <v>221</v>
      </c>
      <c r="E640" s="2">
        <v>6258</v>
      </c>
      <c r="F640" s="2">
        <v>244</v>
      </c>
      <c r="G640" s="2">
        <f t="shared" si="98"/>
        <v>32</v>
      </c>
      <c r="H640" s="2">
        <f t="shared" si="99"/>
        <v>32</v>
      </c>
      <c r="I640" s="2">
        <v>0</v>
      </c>
      <c r="J640" s="44" t="s">
        <v>48</v>
      </c>
      <c r="K640" s="2" t="s">
        <v>49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/>
      <c r="AM640" s="2" t="s">
        <v>80</v>
      </c>
      <c r="AN640" s="2">
        <f t="shared" si="91"/>
        <v>0</v>
      </c>
      <c r="AO640" s="2">
        <f t="shared" si="92"/>
        <v>0</v>
      </c>
      <c r="AP640" s="2">
        <f t="shared" si="93"/>
        <v>0</v>
      </c>
      <c r="AQ640" s="2">
        <f t="shared" si="94"/>
        <v>0</v>
      </c>
      <c r="AR640" s="2">
        <f t="shared" si="95"/>
        <v>0</v>
      </c>
      <c r="AS640" s="2">
        <f t="shared" si="96"/>
        <v>0</v>
      </c>
      <c r="AT640" s="25">
        <f t="shared" si="97"/>
        <v>0</v>
      </c>
    </row>
    <row r="641" spans="1:46">
      <c r="A641" s="24">
        <v>46130</v>
      </c>
      <c r="B641" s="23">
        <f t="shared" si="90"/>
        <v>46113</v>
      </c>
      <c r="C641" s="2" t="s">
        <v>72</v>
      </c>
      <c r="D641" s="2" t="s">
        <v>1204</v>
      </c>
      <c r="E641" s="2">
        <v>6265</v>
      </c>
      <c r="F641" s="2">
        <v>260</v>
      </c>
      <c r="G641" s="2">
        <f t="shared" si="98"/>
        <v>32</v>
      </c>
      <c r="H641" s="2">
        <f t="shared" si="99"/>
        <v>30</v>
      </c>
      <c r="I641" s="2">
        <v>2</v>
      </c>
      <c r="J641" s="44" t="s">
        <v>48</v>
      </c>
      <c r="K641" s="2" t="s">
        <v>49</v>
      </c>
      <c r="L641" s="2">
        <v>2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/>
      <c r="AM641" s="2" t="s">
        <v>103</v>
      </c>
      <c r="AN641" s="2">
        <f t="shared" si="91"/>
        <v>2</v>
      </c>
      <c r="AO641" s="2">
        <f t="shared" si="92"/>
        <v>0</v>
      </c>
      <c r="AP641" s="2">
        <f t="shared" si="93"/>
        <v>0</v>
      </c>
      <c r="AQ641" s="2">
        <f t="shared" si="94"/>
        <v>0</v>
      </c>
      <c r="AR641" s="2">
        <f t="shared" si="95"/>
        <v>0</v>
      </c>
      <c r="AS641" s="2">
        <f t="shared" si="96"/>
        <v>0</v>
      </c>
      <c r="AT641" s="25">
        <f t="shared" si="97"/>
        <v>0</v>
      </c>
    </row>
    <row r="642" spans="1:46">
      <c r="A642" s="24">
        <v>46130</v>
      </c>
      <c r="B642" s="23">
        <f t="shared" ref="B642:B705" si="100">EOMONTH(A642,-1)+1</f>
        <v>46113</v>
      </c>
      <c r="C642" s="2" t="s">
        <v>72</v>
      </c>
      <c r="D642" s="2" t="s">
        <v>211</v>
      </c>
      <c r="E642" s="2">
        <v>6265</v>
      </c>
      <c r="F642" s="2">
        <v>103</v>
      </c>
      <c r="G642" s="2">
        <f t="shared" si="98"/>
        <v>20</v>
      </c>
      <c r="H642" s="2">
        <f t="shared" si="99"/>
        <v>20</v>
      </c>
      <c r="I642" s="2">
        <v>0</v>
      </c>
      <c r="J642" s="44" t="s">
        <v>48</v>
      </c>
      <c r="K642" s="2" t="s">
        <v>49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/>
      <c r="AM642" s="2" t="s">
        <v>103</v>
      </c>
      <c r="AN642" s="2">
        <f t="shared" ref="AN642:AN705" si="101">+L642+AI642</f>
        <v>0</v>
      </c>
      <c r="AO642" s="2">
        <f t="shared" ref="AO642:AO705" si="102">+M642+N642+O642+P642+Q642+R642+S642+T642+U642+V642</f>
        <v>0</v>
      </c>
      <c r="AP642" s="2">
        <f t="shared" ref="AP642:AP705" si="103">+AE642+AF642</f>
        <v>0</v>
      </c>
      <c r="AQ642" s="2">
        <f t="shared" ref="AQ642:AQ705" si="104">+AK642+AD642+AC642+AJ642</f>
        <v>0</v>
      </c>
      <c r="AR642" s="2">
        <f t="shared" ref="AR642:AR705" si="105">+W642+X642+Y642+Z642+AA642+AB642</f>
        <v>0</v>
      </c>
      <c r="AS642" s="2">
        <f t="shared" ref="AS642:AS705" si="106">+AG642</f>
        <v>0</v>
      </c>
      <c r="AT642" s="25">
        <f t="shared" ref="AT642:AT705" si="107">+AH642</f>
        <v>0</v>
      </c>
    </row>
    <row r="643" spans="1:46">
      <c r="A643" s="24">
        <v>46130</v>
      </c>
      <c r="B643" s="23">
        <f t="shared" si="100"/>
        <v>46113</v>
      </c>
      <c r="C643" s="2" t="s">
        <v>114</v>
      </c>
      <c r="D643" s="2" t="s">
        <v>400</v>
      </c>
      <c r="E643" s="2">
        <v>3303</v>
      </c>
      <c r="F643" s="2">
        <v>100</v>
      </c>
      <c r="G643" s="2">
        <f t="shared" ref="G643:G706" si="108">IF(F643&lt;1001,IF(F643&gt;500,80,IF(F643&gt;280,50,IF(F643&gt;150,32,IF(F643&lt;51,F643,20)))),125)</f>
        <v>20</v>
      </c>
      <c r="H643" s="2">
        <f t="shared" ref="H643:H706" si="109">G643-I643</f>
        <v>20</v>
      </c>
      <c r="I643" s="2">
        <v>0</v>
      </c>
      <c r="J643" s="44" t="s">
        <v>48</v>
      </c>
      <c r="K643" s="2" t="s">
        <v>49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/>
      <c r="AM643" s="2" t="s">
        <v>103</v>
      </c>
      <c r="AN643" s="2">
        <f t="shared" si="101"/>
        <v>0</v>
      </c>
      <c r="AO643" s="2">
        <f t="shared" si="102"/>
        <v>0</v>
      </c>
      <c r="AP643" s="2">
        <f t="shared" si="103"/>
        <v>0</v>
      </c>
      <c r="AQ643" s="2">
        <f t="shared" si="104"/>
        <v>0</v>
      </c>
      <c r="AR643" s="2">
        <f t="shared" si="105"/>
        <v>0</v>
      </c>
      <c r="AS643" s="2">
        <f t="shared" si="106"/>
        <v>0</v>
      </c>
      <c r="AT643" s="25">
        <f t="shared" si="107"/>
        <v>0</v>
      </c>
    </row>
    <row r="644" spans="1:46">
      <c r="A644" s="24">
        <v>46130</v>
      </c>
      <c r="B644" s="23">
        <f t="shared" si="100"/>
        <v>46113</v>
      </c>
      <c r="C644" s="2" t="s">
        <v>72</v>
      </c>
      <c r="D644" s="2" t="s">
        <v>316</v>
      </c>
      <c r="E644" s="2">
        <v>3317</v>
      </c>
      <c r="F644" s="2">
        <v>65</v>
      </c>
      <c r="G644" s="2">
        <f t="shared" si="108"/>
        <v>20</v>
      </c>
      <c r="H644" s="2">
        <f t="shared" si="109"/>
        <v>19</v>
      </c>
      <c r="I644" s="2">
        <v>1</v>
      </c>
      <c r="J644" s="44" t="s">
        <v>48</v>
      </c>
      <c r="K644" s="2" t="s">
        <v>49</v>
      </c>
      <c r="L644" s="2">
        <v>1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/>
      <c r="AM644" s="2" t="s">
        <v>103</v>
      </c>
      <c r="AN644" s="2">
        <f t="shared" si="101"/>
        <v>1</v>
      </c>
      <c r="AO644" s="2">
        <f t="shared" si="102"/>
        <v>0</v>
      </c>
      <c r="AP644" s="2">
        <f t="shared" si="103"/>
        <v>0</v>
      </c>
      <c r="AQ644" s="2">
        <f t="shared" si="104"/>
        <v>0</v>
      </c>
      <c r="AR644" s="2">
        <f t="shared" si="105"/>
        <v>0</v>
      </c>
      <c r="AS644" s="2">
        <f t="shared" si="106"/>
        <v>0</v>
      </c>
      <c r="AT644" s="25">
        <f t="shared" si="107"/>
        <v>0</v>
      </c>
    </row>
    <row r="645" spans="1:46">
      <c r="A645" s="24">
        <v>46130</v>
      </c>
      <c r="B645" s="23">
        <f t="shared" si="100"/>
        <v>46113</v>
      </c>
      <c r="C645" s="2" t="s">
        <v>114</v>
      </c>
      <c r="D645" s="2" t="s">
        <v>387</v>
      </c>
      <c r="E645" s="2">
        <v>3084</v>
      </c>
      <c r="F645" s="2">
        <v>130</v>
      </c>
      <c r="G645" s="2">
        <f t="shared" si="108"/>
        <v>20</v>
      </c>
      <c r="H645" s="2">
        <f t="shared" si="109"/>
        <v>20</v>
      </c>
      <c r="I645" s="2">
        <v>0</v>
      </c>
      <c r="J645" s="44" t="s">
        <v>48</v>
      </c>
      <c r="K645" s="2" t="s">
        <v>49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/>
      <c r="AM645" s="2" t="s">
        <v>103</v>
      </c>
      <c r="AN645" s="2">
        <f t="shared" si="101"/>
        <v>0</v>
      </c>
      <c r="AO645" s="2">
        <f t="shared" si="102"/>
        <v>0</v>
      </c>
      <c r="AP645" s="2">
        <f t="shared" si="103"/>
        <v>0</v>
      </c>
      <c r="AQ645" s="2">
        <f t="shared" si="104"/>
        <v>0</v>
      </c>
      <c r="AR645" s="2">
        <f t="shared" si="105"/>
        <v>0</v>
      </c>
      <c r="AS645" s="2">
        <f t="shared" si="106"/>
        <v>0</v>
      </c>
      <c r="AT645" s="25">
        <f t="shared" si="107"/>
        <v>0</v>
      </c>
    </row>
    <row r="646" spans="1:46">
      <c r="A646" s="24">
        <v>46130</v>
      </c>
      <c r="B646" s="23">
        <f t="shared" si="100"/>
        <v>46113</v>
      </c>
      <c r="C646" s="2" t="s">
        <v>82</v>
      </c>
      <c r="D646" s="2" t="s">
        <v>404</v>
      </c>
      <c r="E646" s="2">
        <v>1771</v>
      </c>
      <c r="F646" s="2">
        <v>119</v>
      </c>
      <c r="G646" s="2">
        <f t="shared" si="108"/>
        <v>20</v>
      </c>
      <c r="H646" s="2">
        <f t="shared" si="109"/>
        <v>20</v>
      </c>
      <c r="I646" s="2">
        <v>0</v>
      </c>
      <c r="J646" s="44" t="s">
        <v>48</v>
      </c>
      <c r="K646" s="2" t="s">
        <v>49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/>
      <c r="AM646" s="2" t="s">
        <v>93</v>
      </c>
      <c r="AN646" s="2">
        <f t="shared" si="101"/>
        <v>0</v>
      </c>
      <c r="AO646" s="2">
        <f t="shared" si="102"/>
        <v>0</v>
      </c>
      <c r="AP646" s="2">
        <f t="shared" si="103"/>
        <v>0</v>
      </c>
      <c r="AQ646" s="2">
        <f t="shared" si="104"/>
        <v>0</v>
      </c>
      <c r="AR646" s="2">
        <f t="shared" si="105"/>
        <v>0</v>
      </c>
      <c r="AS646" s="2">
        <f t="shared" si="106"/>
        <v>0</v>
      </c>
      <c r="AT646" s="25">
        <f t="shared" si="107"/>
        <v>0</v>
      </c>
    </row>
    <row r="647" spans="1:46">
      <c r="A647" s="24">
        <v>46130</v>
      </c>
      <c r="B647" s="23">
        <f t="shared" si="100"/>
        <v>46113</v>
      </c>
      <c r="C647" s="2" t="s">
        <v>82</v>
      </c>
      <c r="D647" s="2" t="s">
        <v>379</v>
      </c>
      <c r="E647" s="2">
        <v>6306</v>
      </c>
      <c r="F647" s="2">
        <v>366</v>
      </c>
      <c r="G647" s="2">
        <f t="shared" si="108"/>
        <v>50</v>
      </c>
      <c r="H647" s="2">
        <f t="shared" si="109"/>
        <v>50</v>
      </c>
      <c r="I647" s="2">
        <v>0</v>
      </c>
      <c r="J647" s="44" t="s">
        <v>48</v>
      </c>
      <c r="K647" s="2" t="s">
        <v>49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/>
      <c r="AM647" s="2" t="s">
        <v>93</v>
      </c>
      <c r="AN647" s="2">
        <f t="shared" si="101"/>
        <v>0</v>
      </c>
      <c r="AO647" s="2">
        <f t="shared" si="102"/>
        <v>0</v>
      </c>
      <c r="AP647" s="2">
        <f t="shared" si="103"/>
        <v>0</v>
      </c>
      <c r="AQ647" s="2">
        <f t="shared" si="104"/>
        <v>0</v>
      </c>
      <c r="AR647" s="2">
        <f t="shared" si="105"/>
        <v>0</v>
      </c>
      <c r="AS647" s="2">
        <f t="shared" si="106"/>
        <v>0</v>
      </c>
      <c r="AT647" s="25">
        <f t="shared" si="107"/>
        <v>0</v>
      </c>
    </row>
    <row r="648" spans="1:46">
      <c r="A648" s="24">
        <v>46130</v>
      </c>
      <c r="B648" s="23">
        <f t="shared" si="100"/>
        <v>46113</v>
      </c>
      <c r="C648" s="2" t="s">
        <v>82</v>
      </c>
      <c r="D648" s="2" t="s">
        <v>1545</v>
      </c>
      <c r="E648" s="2">
        <v>6327</v>
      </c>
      <c r="F648" s="2">
        <v>243</v>
      </c>
      <c r="G648" s="2">
        <f t="shared" si="108"/>
        <v>32</v>
      </c>
      <c r="H648" s="2">
        <f t="shared" si="109"/>
        <v>32</v>
      </c>
      <c r="I648" s="2">
        <v>0</v>
      </c>
      <c r="J648" s="44" t="s">
        <v>48</v>
      </c>
      <c r="K648" s="2" t="s">
        <v>49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/>
      <c r="AM648" s="2" t="s">
        <v>93</v>
      </c>
      <c r="AN648" s="2">
        <f t="shared" si="101"/>
        <v>0</v>
      </c>
      <c r="AO648" s="2">
        <f t="shared" si="102"/>
        <v>0</v>
      </c>
      <c r="AP648" s="2">
        <f t="shared" si="103"/>
        <v>0</v>
      </c>
      <c r="AQ648" s="2">
        <f t="shared" si="104"/>
        <v>0</v>
      </c>
      <c r="AR648" s="2">
        <f t="shared" si="105"/>
        <v>0</v>
      </c>
      <c r="AS648" s="2">
        <f t="shared" si="106"/>
        <v>0</v>
      </c>
      <c r="AT648" s="25">
        <f t="shared" si="107"/>
        <v>0</v>
      </c>
    </row>
    <row r="649" spans="1:46">
      <c r="A649" s="24">
        <v>46130</v>
      </c>
      <c r="B649" s="23">
        <f t="shared" si="100"/>
        <v>46113</v>
      </c>
      <c r="C649" s="2" t="s">
        <v>82</v>
      </c>
      <c r="D649" s="3" t="s">
        <v>91</v>
      </c>
      <c r="E649" s="2">
        <v>6248</v>
      </c>
      <c r="F649" s="2">
        <v>296</v>
      </c>
      <c r="G649" s="2">
        <f t="shared" si="108"/>
        <v>50</v>
      </c>
      <c r="H649" s="2">
        <f t="shared" si="109"/>
        <v>50</v>
      </c>
      <c r="I649" s="2">
        <v>0</v>
      </c>
      <c r="J649" s="44" t="s">
        <v>48</v>
      </c>
      <c r="K649" s="2" t="s">
        <v>49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/>
      <c r="AM649" s="2" t="s">
        <v>93</v>
      </c>
      <c r="AN649" s="2">
        <f t="shared" si="101"/>
        <v>0</v>
      </c>
      <c r="AO649" s="2">
        <f t="shared" si="102"/>
        <v>0</v>
      </c>
      <c r="AP649" s="2">
        <f t="shared" si="103"/>
        <v>0</v>
      </c>
      <c r="AQ649" s="2">
        <f t="shared" si="104"/>
        <v>0</v>
      </c>
      <c r="AR649" s="2">
        <f t="shared" si="105"/>
        <v>0</v>
      </c>
      <c r="AS649" s="2">
        <f t="shared" si="106"/>
        <v>0</v>
      </c>
      <c r="AT649" s="25">
        <f t="shared" si="107"/>
        <v>0</v>
      </c>
    </row>
    <row r="650" spans="1:46">
      <c r="A650" s="24">
        <v>46130</v>
      </c>
      <c r="B650" s="23">
        <f t="shared" si="100"/>
        <v>46113</v>
      </c>
      <c r="C650" s="2" t="s">
        <v>66</v>
      </c>
      <c r="D650" s="2" t="s">
        <v>364</v>
      </c>
      <c r="E650" s="2">
        <v>6265</v>
      </c>
      <c r="F650" s="2">
        <v>144</v>
      </c>
      <c r="G650" s="2">
        <f t="shared" si="108"/>
        <v>20</v>
      </c>
      <c r="H650" s="2">
        <f t="shared" si="109"/>
        <v>20</v>
      </c>
      <c r="I650" s="2">
        <v>0</v>
      </c>
      <c r="J650" s="44" t="s">
        <v>48</v>
      </c>
      <c r="K650" s="2" t="s">
        <v>49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/>
      <c r="AM650" s="2" t="s">
        <v>110</v>
      </c>
      <c r="AN650" s="2">
        <f t="shared" si="101"/>
        <v>0</v>
      </c>
      <c r="AO650" s="2">
        <f t="shared" si="102"/>
        <v>0</v>
      </c>
      <c r="AP650" s="2">
        <f t="shared" si="103"/>
        <v>0</v>
      </c>
      <c r="AQ650" s="2">
        <f t="shared" si="104"/>
        <v>0</v>
      </c>
      <c r="AR650" s="2">
        <f t="shared" si="105"/>
        <v>0</v>
      </c>
      <c r="AS650" s="2">
        <f t="shared" si="106"/>
        <v>0</v>
      </c>
      <c r="AT650" s="25">
        <f t="shared" si="107"/>
        <v>0</v>
      </c>
    </row>
    <row r="651" spans="1:46">
      <c r="A651" s="24">
        <v>46130</v>
      </c>
      <c r="B651" s="23">
        <f t="shared" si="100"/>
        <v>46113</v>
      </c>
      <c r="C651" s="2" t="s">
        <v>66</v>
      </c>
      <c r="D651" s="2" t="s">
        <v>372</v>
      </c>
      <c r="E651" s="2">
        <v>6216</v>
      </c>
      <c r="F651" s="2">
        <v>150</v>
      </c>
      <c r="G651" s="2">
        <f t="shared" si="108"/>
        <v>20</v>
      </c>
      <c r="H651" s="2">
        <f t="shared" si="109"/>
        <v>20</v>
      </c>
      <c r="I651" s="2">
        <v>0</v>
      </c>
      <c r="J651" s="44" t="s">
        <v>48</v>
      </c>
      <c r="K651" s="2" t="s">
        <v>49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/>
      <c r="AM651" s="2" t="s">
        <v>110</v>
      </c>
      <c r="AN651" s="2">
        <f t="shared" si="101"/>
        <v>0</v>
      </c>
      <c r="AO651" s="2">
        <f t="shared" si="102"/>
        <v>0</v>
      </c>
      <c r="AP651" s="2">
        <f t="shared" si="103"/>
        <v>0</v>
      </c>
      <c r="AQ651" s="2">
        <f t="shared" si="104"/>
        <v>0</v>
      </c>
      <c r="AR651" s="2">
        <f t="shared" si="105"/>
        <v>0</v>
      </c>
      <c r="AS651" s="2">
        <f t="shared" si="106"/>
        <v>0</v>
      </c>
      <c r="AT651" s="25">
        <f t="shared" si="107"/>
        <v>0</v>
      </c>
    </row>
    <row r="652" spans="1:46">
      <c r="A652" s="24">
        <v>46130</v>
      </c>
      <c r="B652" s="23">
        <f t="shared" si="100"/>
        <v>46113</v>
      </c>
      <c r="C652" s="2" t="s">
        <v>95</v>
      </c>
      <c r="D652" s="2" t="s">
        <v>151</v>
      </c>
      <c r="E652" s="2">
        <v>3290</v>
      </c>
      <c r="F652" s="2">
        <v>1000</v>
      </c>
      <c r="G652" s="2">
        <f t="shared" si="108"/>
        <v>80</v>
      </c>
      <c r="H652" s="2">
        <f t="shared" si="109"/>
        <v>79</v>
      </c>
      <c r="I652" s="2">
        <v>1</v>
      </c>
      <c r="J652" s="44" t="s">
        <v>48</v>
      </c>
      <c r="K652" s="2" t="s">
        <v>49</v>
      </c>
      <c r="L652" s="2">
        <v>1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/>
      <c r="AM652" s="2" t="s">
        <v>1566</v>
      </c>
      <c r="AN652" s="2">
        <f t="shared" si="101"/>
        <v>1</v>
      </c>
      <c r="AO652" s="2">
        <f t="shared" si="102"/>
        <v>0</v>
      </c>
      <c r="AP652" s="2">
        <f t="shared" si="103"/>
        <v>0</v>
      </c>
      <c r="AQ652" s="2">
        <f t="shared" si="104"/>
        <v>0</v>
      </c>
      <c r="AR652" s="2">
        <f t="shared" si="105"/>
        <v>0</v>
      </c>
      <c r="AS652" s="2">
        <f t="shared" si="106"/>
        <v>0</v>
      </c>
      <c r="AT652" s="25">
        <f t="shared" si="107"/>
        <v>0</v>
      </c>
    </row>
    <row r="653" spans="1:46">
      <c r="A653" s="24">
        <v>46130</v>
      </c>
      <c r="B653" s="23">
        <f t="shared" si="100"/>
        <v>46113</v>
      </c>
      <c r="C653" s="2" t="s">
        <v>55</v>
      </c>
      <c r="D653" s="2" t="s">
        <v>169</v>
      </c>
      <c r="E653" s="2">
        <v>2593</v>
      </c>
      <c r="F653" s="2">
        <v>67</v>
      </c>
      <c r="G653" s="2">
        <f t="shared" si="108"/>
        <v>20</v>
      </c>
      <c r="H653" s="2">
        <f t="shared" si="109"/>
        <v>19</v>
      </c>
      <c r="I653" s="2">
        <v>1</v>
      </c>
      <c r="J653" s="44" t="s">
        <v>48</v>
      </c>
      <c r="K653" s="2" t="s">
        <v>49</v>
      </c>
      <c r="L653" s="2">
        <v>1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/>
      <c r="AM653" s="2" t="s">
        <v>1566</v>
      </c>
      <c r="AN653" s="2">
        <f t="shared" si="101"/>
        <v>1</v>
      </c>
      <c r="AO653" s="2">
        <f t="shared" si="102"/>
        <v>0</v>
      </c>
      <c r="AP653" s="2">
        <f t="shared" si="103"/>
        <v>0</v>
      </c>
      <c r="AQ653" s="2">
        <f t="shared" si="104"/>
        <v>0</v>
      </c>
      <c r="AR653" s="2">
        <f t="shared" si="105"/>
        <v>0</v>
      </c>
      <c r="AS653" s="2">
        <f t="shared" si="106"/>
        <v>0</v>
      </c>
      <c r="AT653" s="25">
        <f t="shared" si="107"/>
        <v>0</v>
      </c>
    </row>
    <row r="654" spans="1:46">
      <c r="A654" s="24">
        <v>46130</v>
      </c>
      <c r="B654" s="23">
        <f t="shared" si="100"/>
        <v>46113</v>
      </c>
      <c r="C654" s="2" t="s">
        <v>46</v>
      </c>
      <c r="D654" s="2" t="s">
        <v>243</v>
      </c>
      <c r="E654" s="2">
        <v>6221</v>
      </c>
      <c r="F654" s="2">
        <v>462</v>
      </c>
      <c r="G654" s="2">
        <f t="shared" si="108"/>
        <v>50</v>
      </c>
      <c r="H654" s="2">
        <f t="shared" si="109"/>
        <v>50</v>
      </c>
      <c r="I654" s="2">
        <v>0</v>
      </c>
      <c r="J654" s="44" t="s">
        <v>48</v>
      </c>
      <c r="K654" s="2" t="s">
        <v>49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/>
      <c r="AM654" s="2" t="s">
        <v>1566</v>
      </c>
      <c r="AN654" s="2">
        <f t="shared" si="101"/>
        <v>0</v>
      </c>
      <c r="AO654" s="2">
        <f t="shared" si="102"/>
        <v>0</v>
      </c>
      <c r="AP654" s="2">
        <f t="shared" si="103"/>
        <v>0</v>
      </c>
      <c r="AQ654" s="2">
        <f t="shared" si="104"/>
        <v>0</v>
      </c>
      <c r="AR654" s="2">
        <f t="shared" si="105"/>
        <v>0</v>
      </c>
      <c r="AS654" s="2">
        <f t="shared" si="106"/>
        <v>0</v>
      </c>
      <c r="AT654" s="25">
        <f t="shared" si="107"/>
        <v>0</v>
      </c>
    </row>
    <row r="655" spans="1:46">
      <c r="A655" s="24">
        <v>46130</v>
      </c>
      <c r="B655" s="23">
        <f t="shared" si="100"/>
        <v>46113</v>
      </c>
      <c r="C655" s="2" t="s">
        <v>46</v>
      </c>
      <c r="D655" s="2" t="s">
        <v>245</v>
      </c>
      <c r="E655" s="2">
        <v>6277</v>
      </c>
      <c r="F655" s="2">
        <v>303</v>
      </c>
      <c r="G655" s="2">
        <f t="shared" si="108"/>
        <v>50</v>
      </c>
      <c r="H655" s="2">
        <f t="shared" si="109"/>
        <v>48</v>
      </c>
      <c r="I655" s="2">
        <v>2</v>
      </c>
      <c r="J655" s="44" t="s">
        <v>48</v>
      </c>
      <c r="K655" s="2" t="s">
        <v>49</v>
      </c>
      <c r="L655" s="2">
        <v>1</v>
      </c>
      <c r="M655" s="2">
        <v>0</v>
      </c>
      <c r="N655" s="2">
        <v>0</v>
      </c>
      <c r="O655" s="2">
        <v>0</v>
      </c>
      <c r="P655" s="2">
        <v>1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/>
      <c r="AM655" s="2" t="s">
        <v>1566</v>
      </c>
      <c r="AN655" s="2">
        <f t="shared" si="101"/>
        <v>1</v>
      </c>
      <c r="AO655" s="2">
        <f t="shared" si="102"/>
        <v>1</v>
      </c>
      <c r="AP655" s="2">
        <f t="shared" si="103"/>
        <v>0</v>
      </c>
      <c r="AQ655" s="2">
        <f t="shared" si="104"/>
        <v>0</v>
      </c>
      <c r="AR655" s="2">
        <f t="shared" si="105"/>
        <v>0</v>
      </c>
      <c r="AS655" s="2">
        <f t="shared" si="106"/>
        <v>0</v>
      </c>
      <c r="AT655" s="25">
        <f t="shared" si="107"/>
        <v>0</v>
      </c>
    </row>
    <row r="656" spans="1:46">
      <c r="A656" s="24">
        <v>46130</v>
      </c>
      <c r="B656" s="23">
        <f t="shared" si="100"/>
        <v>46113</v>
      </c>
      <c r="C656" s="2" t="s">
        <v>55</v>
      </c>
      <c r="D656" s="2" t="s">
        <v>1297</v>
      </c>
      <c r="E656" s="2">
        <v>1773</v>
      </c>
      <c r="F656" s="2">
        <v>168</v>
      </c>
      <c r="G656" s="2">
        <f t="shared" si="108"/>
        <v>32</v>
      </c>
      <c r="H656" s="2">
        <f t="shared" si="109"/>
        <v>32</v>
      </c>
      <c r="I656" s="2">
        <v>0</v>
      </c>
      <c r="J656" s="44" t="s">
        <v>48</v>
      </c>
      <c r="K656" s="2" t="s">
        <v>49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/>
      <c r="AM656" s="2" t="s">
        <v>1566</v>
      </c>
      <c r="AN656" s="2">
        <f t="shared" si="101"/>
        <v>0</v>
      </c>
      <c r="AO656" s="2">
        <f t="shared" si="102"/>
        <v>0</v>
      </c>
      <c r="AP656" s="2">
        <f t="shared" si="103"/>
        <v>0</v>
      </c>
      <c r="AQ656" s="2">
        <f t="shared" si="104"/>
        <v>0</v>
      </c>
      <c r="AR656" s="2">
        <f t="shared" si="105"/>
        <v>0</v>
      </c>
      <c r="AS656" s="2">
        <f t="shared" si="106"/>
        <v>0</v>
      </c>
      <c r="AT656" s="25">
        <f t="shared" si="107"/>
        <v>0</v>
      </c>
    </row>
    <row r="657" spans="1:46">
      <c r="A657" s="24">
        <v>46130</v>
      </c>
      <c r="B657" s="23">
        <f t="shared" si="100"/>
        <v>46113</v>
      </c>
      <c r="C657" s="2" t="s">
        <v>55</v>
      </c>
      <c r="D657" s="2" t="s">
        <v>154</v>
      </c>
      <c r="E657" s="2">
        <v>1729</v>
      </c>
      <c r="F657" s="2">
        <v>257</v>
      </c>
      <c r="G657" s="2">
        <f t="shared" si="108"/>
        <v>32</v>
      </c>
      <c r="H657" s="2">
        <f t="shared" si="109"/>
        <v>31</v>
      </c>
      <c r="I657" s="2">
        <v>1</v>
      </c>
      <c r="J657" s="44" t="s">
        <v>48</v>
      </c>
      <c r="K657" s="2" t="s">
        <v>49</v>
      </c>
      <c r="L657" s="2">
        <v>1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/>
      <c r="AM657" s="2" t="s">
        <v>1566</v>
      </c>
      <c r="AN657" s="2">
        <f t="shared" si="101"/>
        <v>1</v>
      </c>
      <c r="AO657" s="2">
        <f t="shared" si="102"/>
        <v>0</v>
      </c>
      <c r="AP657" s="2">
        <f t="shared" si="103"/>
        <v>0</v>
      </c>
      <c r="AQ657" s="2">
        <f t="shared" si="104"/>
        <v>0</v>
      </c>
      <c r="AR657" s="2">
        <f t="shared" si="105"/>
        <v>0</v>
      </c>
      <c r="AS657" s="2">
        <f t="shared" si="106"/>
        <v>0</v>
      </c>
      <c r="AT657" s="25">
        <f t="shared" si="107"/>
        <v>0</v>
      </c>
    </row>
    <row r="658" spans="1:46">
      <c r="A658" s="24">
        <v>46130</v>
      </c>
      <c r="B658" s="23">
        <f t="shared" si="100"/>
        <v>46113</v>
      </c>
      <c r="C658" s="2" t="s">
        <v>55</v>
      </c>
      <c r="D658" s="2" t="s">
        <v>1213</v>
      </c>
      <c r="E658" s="2">
        <v>2760</v>
      </c>
      <c r="F658" s="2">
        <v>267</v>
      </c>
      <c r="G658" s="2">
        <f t="shared" si="108"/>
        <v>32</v>
      </c>
      <c r="H658" s="2">
        <f t="shared" si="109"/>
        <v>32</v>
      </c>
      <c r="I658" s="2">
        <v>0</v>
      </c>
      <c r="J658" s="44" t="s">
        <v>48</v>
      </c>
      <c r="K658" s="2" t="s">
        <v>49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/>
      <c r="AM658" s="2" t="s">
        <v>1566</v>
      </c>
      <c r="AN658" s="2">
        <f t="shared" si="101"/>
        <v>0</v>
      </c>
      <c r="AO658" s="2">
        <f t="shared" si="102"/>
        <v>0</v>
      </c>
      <c r="AP658" s="2">
        <f t="shared" si="103"/>
        <v>0</v>
      </c>
      <c r="AQ658" s="2">
        <f t="shared" si="104"/>
        <v>0</v>
      </c>
      <c r="AR658" s="2">
        <f t="shared" si="105"/>
        <v>0</v>
      </c>
      <c r="AS658" s="2">
        <f t="shared" si="106"/>
        <v>0</v>
      </c>
      <c r="AT658" s="25">
        <f t="shared" si="107"/>
        <v>0</v>
      </c>
    </row>
    <row r="659" spans="1:46">
      <c r="A659" s="24">
        <v>46130</v>
      </c>
      <c r="B659" s="23">
        <f t="shared" si="100"/>
        <v>46113</v>
      </c>
      <c r="C659" s="2" t="s">
        <v>55</v>
      </c>
      <c r="D659" s="2" t="s">
        <v>60</v>
      </c>
      <c r="E659" s="2">
        <v>2593</v>
      </c>
      <c r="F659" s="2">
        <v>216</v>
      </c>
      <c r="G659" s="2">
        <f t="shared" si="108"/>
        <v>32</v>
      </c>
      <c r="H659" s="2">
        <f t="shared" si="109"/>
        <v>32</v>
      </c>
      <c r="I659" s="2">
        <v>0</v>
      </c>
      <c r="J659" s="44" t="s">
        <v>48</v>
      </c>
      <c r="K659" s="2" t="s">
        <v>49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/>
      <c r="AM659" s="2" t="s">
        <v>1566</v>
      </c>
      <c r="AN659" s="2">
        <f t="shared" si="101"/>
        <v>0</v>
      </c>
      <c r="AO659" s="2">
        <f t="shared" si="102"/>
        <v>0</v>
      </c>
      <c r="AP659" s="2">
        <f t="shared" si="103"/>
        <v>0</v>
      </c>
      <c r="AQ659" s="2">
        <f t="shared" si="104"/>
        <v>0</v>
      </c>
      <c r="AR659" s="2">
        <f t="shared" si="105"/>
        <v>0</v>
      </c>
      <c r="AS659" s="2">
        <f t="shared" si="106"/>
        <v>0</v>
      </c>
      <c r="AT659" s="25">
        <f t="shared" si="107"/>
        <v>0</v>
      </c>
    </row>
    <row r="660" spans="1:46">
      <c r="A660" s="24">
        <v>46130</v>
      </c>
      <c r="B660" s="23">
        <f t="shared" si="100"/>
        <v>46113</v>
      </c>
      <c r="C660" s="2" t="s">
        <v>55</v>
      </c>
      <c r="D660" s="2" t="s">
        <v>1414</v>
      </c>
      <c r="E660" s="2">
        <v>1578</v>
      </c>
      <c r="F660" s="2">
        <v>120</v>
      </c>
      <c r="G660" s="2">
        <f t="shared" si="108"/>
        <v>20</v>
      </c>
      <c r="H660" s="2">
        <f t="shared" si="109"/>
        <v>18</v>
      </c>
      <c r="I660" s="2">
        <v>2</v>
      </c>
      <c r="J660" s="44" t="s">
        <v>67</v>
      </c>
      <c r="K660" s="2" t="s">
        <v>49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2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/>
      <c r="AM660" s="2" t="s">
        <v>1566</v>
      </c>
      <c r="AN660" s="2">
        <f t="shared" si="101"/>
        <v>0</v>
      </c>
      <c r="AO660" s="2">
        <f t="shared" si="102"/>
        <v>2</v>
      </c>
      <c r="AP660" s="2">
        <f t="shared" si="103"/>
        <v>0</v>
      </c>
      <c r="AQ660" s="2">
        <f t="shared" si="104"/>
        <v>0</v>
      </c>
      <c r="AR660" s="2">
        <f t="shared" si="105"/>
        <v>0</v>
      </c>
      <c r="AS660" s="2">
        <f t="shared" si="106"/>
        <v>0</v>
      </c>
      <c r="AT660" s="25">
        <f t="shared" si="107"/>
        <v>0</v>
      </c>
    </row>
    <row r="661" spans="1:46">
      <c r="A661" s="24">
        <v>46130</v>
      </c>
      <c r="B661" s="23">
        <f t="shared" si="100"/>
        <v>46113</v>
      </c>
      <c r="C661" s="2" t="s">
        <v>46</v>
      </c>
      <c r="D661" s="2" t="s">
        <v>1208</v>
      </c>
      <c r="E661" s="2">
        <v>6274</v>
      </c>
      <c r="F661" s="2">
        <v>75</v>
      </c>
      <c r="G661" s="2">
        <f t="shared" si="108"/>
        <v>20</v>
      </c>
      <c r="H661" s="2">
        <f t="shared" si="109"/>
        <v>20</v>
      </c>
      <c r="I661" s="2">
        <v>0</v>
      </c>
      <c r="J661" s="44" t="s">
        <v>48</v>
      </c>
      <c r="K661" s="2" t="s">
        <v>49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/>
      <c r="AM661" s="2" t="s">
        <v>1566</v>
      </c>
      <c r="AN661" s="2">
        <f t="shared" si="101"/>
        <v>0</v>
      </c>
      <c r="AO661" s="2">
        <f t="shared" si="102"/>
        <v>0</v>
      </c>
      <c r="AP661" s="2">
        <f t="shared" si="103"/>
        <v>0</v>
      </c>
      <c r="AQ661" s="2">
        <f t="shared" si="104"/>
        <v>0</v>
      </c>
      <c r="AR661" s="2">
        <f t="shared" si="105"/>
        <v>0</v>
      </c>
      <c r="AS661" s="2">
        <f t="shared" si="106"/>
        <v>0</v>
      </c>
      <c r="AT661" s="25">
        <f t="shared" si="107"/>
        <v>0</v>
      </c>
    </row>
    <row r="662" spans="1:46">
      <c r="A662" s="24">
        <v>46130</v>
      </c>
      <c r="B662" s="23">
        <f t="shared" si="100"/>
        <v>46113</v>
      </c>
      <c r="C662" s="2" t="s">
        <v>46</v>
      </c>
      <c r="D662" s="2" t="s">
        <v>283</v>
      </c>
      <c r="E662" s="2">
        <v>6274</v>
      </c>
      <c r="F662" s="2">
        <v>154</v>
      </c>
      <c r="G662" s="2">
        <f t="shared" si="108"/>
        <v>32</v>
      </c>
      <c r="H662" s="2">
        <f t="shared" si="109"/>
        <v>26</v>
      </c>
      <c r="I662" s="2">
        <v>6</v>
      </c>
      <c r="J662" s="44" t="s">
        <v>67</v>
      </c>
      <c r="K662" s="2" t="s">
        <v>49</v>
      </c>
      <c r="L662" s="2">
        <v>0</v>
      </c>
      <c r="M662" s="2">
        <v>0</v>
      </c>
      <c r="N662" s="2">
        <v>0</v>
      </c>
      <c r="O662" s="2">
        <v>0</v>
      </c>
      <c r="P662" s="2">
        <v>6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/>
      <c r="AM662" s="2" t="s">
        <v>1566</v>
      </c>
      <c r="AN662" s="2">
        <f t="shared" si="101"/>
        <v>0</v>
      </c>
      <c r="AO662" s="2">
        <f t="shared" si="102"/>
        <v>6</v>
      </c>
      <c r="AP662" s="2">
        <f t="shared" si="103"/>
        <v>0</v>
      </c>
      <c r="AQ662" s="2">
        <f t="shared" si="104"/>
        <v>0</v>
      </c>
      <c r="AR662" s="2">
        <f t="shared" si="105"/>
        <v>0</v>
      </c>
      <c r="AS662" s="2">
        <f t="shared" si="106"/>
        <v>0</v>
      </c>
      <c r="AT662" s="25">
        <f t="shared" si="107"/>
        <v>0</v>
      </c>
    </row>
    <row r="663" spans="1:46">
      <c r="A663" s="24">
        <v>46130</v>
      </c>
      <c r="B663" s="23">
        <f t="shared" si="100"/>
        <v>46113</v>
      </c>
      <c r="C663" s="2" t="s">
        <v>55</v>
      </c>
      <c r="D663" s="2" t="s">
        <v>153</v>
      </c>
      <c r="E663" s="2">
        <v>1730</v>
      </c>
      <c r="F663" s="2">
        <v>176</v>
      </c>
      <c r="G663" s="2">
        <f t="shared" si="108"/>
        <v>32</v>
      </c>
      <c r="H663" s="2">
        <f t="shared" si="109"/>
        <v>31</v>
      </c>
      <c r="I663" s="2">
        <v>1</v>
      </c>
      <c r="J663" s="44" t="s">
        <v>48</v>
      </c>
      <c r="K663" s="2" t="s">
        <v>49</v>
      </c>
      <c r="L663" s="2">
        <v>1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/>
      <c r="AM663" s="2" t="s">
        <v>1566</v>
      </c>
      <c r="AN663" s="2">
        <f t="shared" si="101"/>
        <v>1</v>
      </c>
      <c r="AO663" s="2">
        <f t="shared" si="102"/>
        <v>0</v>
      </c>
      <c r="AP663" s="2">
        <f t="shared" si="103"/>
        <v>0</v>
      </c>
      <c r="AQ663" s="2">
        <f t="shared" si="104"/>
        <v>0</v>
      </c>
      <c r="AR663" s="2">
        <f t="shared" si="105"/>
        <v>0</v>
      </c>
      <c r="AS663" s="2">
        <f t="shared" si="106"/>
        <v>0</v>
      </c>
      <c r="AT663" s="25">
        <f t="shared" si="107"/>
        <v>0</v>
      </c>
    </row>
    <row r="664" spans="1:46">
      <c r="A664" s="24">
        <v>46130</v>
      </c>
      <c r="B664" s="23">
        <f t="shared" si="100"/>
        <v>46113</v>
      </c>
      <c r="C664" s="2" t="s">
        <v>63</v>
      </c>
      <c r="D664" s="2" t="s">
        <v>216</v>
      </c>
      <c r="E664" s="2">
        <v>2679</v>
      </c>
      <c r="F664" s="2">
        <v>413</v>
      </c>
      <c r="G664" s="2">
        <f t="shared" si="108"/>
        <v>50</v>
      </c>
      <c r="H664" s="2">
        <f t="shared" si="109"/>
        <v>50</v>
      </c>
      <c r="I664" s="2">
        <v>0</v>
      </c>
      <c r="J664" s="44" t="s">
        <v>48</v>
      </c>
      <c r="K664" s="2" t="s">
        <v>49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/>
      <c r="AM664" s="2" t="s">
        <v>1568</v>
      </c>
      <c r="AN664" s="2">
        <f t="shared" si="101"/>
        <v>0</v>
      </c>
      <c r="AO664" s="2">
        <f t="shared" si="102"/>
        <v>0</v>
      </c>
      <c r="AP664" s="2">
        <f t="shared" si="103"/>
        <v>0</v>
      </c>
      <c r="AQ664" s="2">
        <f t="shared" si="104"/>
        <v>0</v>
      </c>
      <c r="AR664" s="2">
        <f t="shared" si="105"/>
        <v>0</v>
      </c>
      <c r="AS664" s="2">
        <f t="shared" si="106"/>
        <v>0</v>
      </c>
      <c r="AT664" s="25">
        <f t="shared" si="107"/>
        <v>0</v>
      </c>
    </row>
    <row r="665" spans="1:46">
      <c r="A665" s="24">
        <v>46130</v>
      </c>
      <c r="B665" s="23">
        <f t="shared" si="100"/>
        <v>46113</v>
      </c>
      <c r="C665" s="2" t="s">
        <v>62</v>
      </c>
      <c r="D665" s="2" t="s">
        <v>144</v>
      </c>
      <c r="E665" s="2">
        <v>3305</v>
      </c>
      <c r="F665" s="2">
        <v>85</v>
      </c>
      <c r="G665" s="2">
        <f t="shared" si="108"/>
        <v>20</v>
      </c>
      <c r="H665" s="2">
        <f t="shared" si="109"/>
        <v>19</v>
      </c>
      <c r="I665" s="2">
        <v>1</v>
      </c>
      <c r="J665" s="44" t="s">
        <v>48</v>
      </c>
      <c r="K665" s="2" t="s">
        <v>49</v>
      </c>
      <c r="L665" s="2">
        <v>1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/>
      <c r="AM665" s="2" t="s">
        <v>1568</v>
      </c>
      <c r="AN665" s="2">
        <f t="shared" si="101"/>
        <v>1</v>
      </c>
      <c r="AO665" s="2">
        <f t="shared" si="102"/>
        <v>0</v>
      </c>
      <c r="AP665" s="2">
        <f t="shared" si="103"/>
        <v>0</v>
      </c>
      <c r="AQ665" s="2">
        <f t="shared" si="104"/>
        <v>0</v>
      </c>
      <c r="AR665" s="2">
        <f t="shared" si="105"/>
        <v>0</v>
      </c>
      <c r="AS665" s="2">
        <f t="shared" si="106"/>
        <v>0</v>
      </c>
      <c r="AT665" s="25">
        <f t="shared" si="107"/>
        <v>0</v>
      </c>
    </row>
    <row r="666" spans="1:46">
      <c r="A666" s="24">
        <v>46130</v>
      </c>
      <c r="B666" s="23">
        <f t="shared" si="100"/>
        <v>46113</v>
      </c>
      <c r="C666" s="2" t="s">
        <v>63</v>
      </c>
      <c r="D666" s="2" t="s">
        <v>307</v>
      </c>
      <c r="E666" s="2">
        <v>8164</v>
      </c>
      <c r="F666" s="2">
        <v>97</v>
      </c>
      <c r="G666" s="2">
        <f t="shared" si="108"/>
        <v>20</v>
      </c>
      <c r="H666" s="2">
        <f t="shared" si="109"/>
        <v>19</v>
      </c>
      <c r="I666" s="2">
        <v>1</v>
      </c>
      <c r="J666" s="44" t="s">
        <v>48</v>
      </c>
      <c r="K666" s="2" t="s">
        <v>49</v>
      </c>
      <c r="L666" s="2">
        <v>1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/>
      <c r="AM666" s="2" t="s">
        <v>1568</v>
      </c>
      <c r="AN666" s="2">
        <f t="shared" si="101"/>
        <v>1</v>
      </c>
      <c r="AO666" s="2">
        <f t="shared" si="102"/>
        <v>0</v>
      </c>
      <c r="AP666" s="2">
        <f t="shared" si="103"/>
        <v>0</v>
      </c>
      <c r="AQ666" s="2">
        <f t="shared" si="104"/>
        <v>0</v>
      </c>
      <c r="AR666" s="2">
        <f t="shared" si="105"/>
        <v>0</v>
      </c>
      <c r="AS666" s="2">
        <f t="shared" si="106"/>
        <v>0</v>
      </c>
      <c r="AT666" s="25">
        <f t="shared" si="107"/>
        <v>0</v>
      </c>
    </row>
    <row r="667" spans="1:46">
      <c r="A667" s="24">
        <v>46130</v>
      </c>
      <c r="B667" s="23">
        <f t="shared" si="100"/>
        <v>46113</v>
      </c>
      <c r="C667" s="2" t="s">
        <v>62</v>
      </c>
      <c r="D667" s="2" t="s">
        <v>124</v>
      </c>
      <c r="E667" s="2">
        <v>3245</v>
      </c>
      <c r="F667" s="2">
        <v>89</v>
      </c>
      <c r="G667" s="2">
        <f t="shared" si="108"/>
        <v>20</v>
      </c>
      <c r="H667" s="2">
        <f t="shared" si="109"/>
        <v>20</v>
      </c>
      <c r="I667" s="2">
        <v>0</v>
      </c>
      <c r="J667" s="44" t="s">
        <v>48</v>
      </c>
      <c r="K667" s="2" t="s">
        <v>49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/>
      <c r="AM667" s="2" t="s">
        <v>1568</v>
      </c>
      <c r="AN667" s="2">
        <f t="shared" si="101"/>
        <v>0</v>
      </c>
      <c r="AO667" s="2">
        <f t="shared" si="102"/>
        <v>0</v>
      </c>
      <c r="AP667" s="2">
        <f t="shared" si="103"/>
        <v>0</v>
      </c>
      <c r="AQ667" s="2">
        <f t="shared" si="104"/>
        <v>0</v>
      </c>
      <c r="AR667" s="2">
        <f t="shared" si="105"/>
        <v>0</v>
      </c>
      <c r="AS667" s="2">
        <f t="shared" si="106"/>
        <v>0</v>
      </c>
      <c r="AT667" s="25">
        <f t="shared" si="107"/>
        <v>0</v>
      </c>
    </row>
    <row r="668" spans="1:46">
      <c r="A668" s="24">
        <v>46130</v>
      </c>
      <c r="B668" s="23">
        <f t="shared" si="100"/>
        <v>46113</v>
      </c>
      <c r="C668" s="2" t="s">
        <v>62</v>
      </c>
      <c r="D668" s="2" t="s">
        <v>1406</v>
      </c>
      <c r="E668" s="2">
        <v>3330</v>
      </c>
      <c r="F668" s="2">
        <v>183</v>
      </c>
      <c r="G668" s="2">
        <f t="shared" si="108"/>
        <v>32</v>
      </c>
      <c r="H668" s="2">
        <f t="shared" si="109"/>
        <v>32</v>
      </c>
      <c r="I668" s="2">
        <v>0</v>
      </c>
      <c r="J668" s="44" t="s">
        <v>48</v>
      </c>
      <c r="K668" s="2" t="s">
        <v>49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/>
      <c r="AM668" s="2" t="s">
        <v>1568</v>
      </c>
      <c r="AN668" s="2">
        <f t="shared" si="101"/>
        <v>0</v>
      </c>
      <c r="AO668" s="2">
        <f t="shared" si="102"/>
        <v>0</v>
      </c>
      <c r="AP668" s="2">
        <f t="shared" si="103"/>
        <v>0</v>
      </c>
      <c r="AQ668" s="2">
        <f t="shared" si="104"/>
        <v>0</v>
      </c>
      <c r="AR668" s="2">
        <f t="shared" si="105"/>
        <v>0</v>
      </c>
      <c r="AS668" s="2">
        <f t="shared" si="106"/>
        <v>0</v>
      </c>
      <c r="AT668" s="25">
        <f t="shared" si="107"/>
        <v>0</v>
      </c>
    </row>
    <row r="669" spans="1:46">
      <c r="A669" s="24">
        <v>46130</v>
      </c>
      <c r="B669" s="23">
        <f t="shared" si="100"/>
        <v>46113</v>
      </c>
      <c r="C669" s="2" t="s">
        <v>63</v>
      </c>
      <c r="D669" s="2" t="s">
        <v>96</v>
      </c>
      <c r="E669" s="2">
        <v>1802</v>
      </c>
      <c r="F669" s="2">
        <v>114</v>
      </c>
      <c r="G669" s="2">
        <f t="shared" si="108"/>
        <v>20</v>
      </c>
      <c r="H669" s="2">
        <f t="shared" si="109"/>
        <v>20</v>
      </c>
      <c r="I669" s="2">
        <v>0</v>
      </c>
      <c r="J669" s="44" t="s">
        <v>48</v>
      </c>
      <c r="K669" s="2" t="s">
        <v>49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/>
      <c r="AM669" s="2" t="s">
        <v>1568</v>
      </c>
      <c r="AN669" s="2">
        <f t="shared" si="101"/>
        <v>0</v>
      </c>
      <c r="AO669" s="2">
        <f t="shared" si="102"/>
        <v>0</v>
      </c>
      <c r="AP669" s="2">
        <f t="shared" si="103"/>
        <v>0</v>
      </c>
      <c r="AQ669" s="2">
        <f t="shared" si="104"/>
        <v>0</v>
      </c>
      <c r="AR669" s="2">
        <f t="shared" si="105"/>
        <v>0</v>
      </c>
      <c r="AS669" s="2">
        <f t="shared" si="106"/>
        <v>0</v>
      </c>
      <c r="AT669" s="25">
        <f t="shared" si="107"/>
        <v>0</v>
      </c>
    </row>
    <row r="670" spans="1:46">
      <c r="A670" s="24">
        <v>46130</v>
      </c>
      <c r="B670" s="23">
        <f t="shared" si="100"/>
        <v>46113</v>
      </c>
      <c r="C670" s="2" t="s">
        <v>63</v>
      </c>
      <c r="D670" s="3" t="s">
        <v>142</v>
      </c>
      <c r="E670" s="2">
        <v>8060</v>
      </c>
      <c r="F670" s="2">
        <v>370</v>
      </c>
      <c r="G670" s="2">
        <f t="shared" si="108"/>
        <v>50</v>
      </c>
      <c r="H670" s="2">
        <f t="shared" si="109"/>
        <v>48</v>
      </c>
      <c r="I670" s="2">
        <v>2</v>
      </c>
      <c r="J670" s="44" t="s">
        <v>48</v>
      </c>
      <c r="K670" s="2" t="s">
        <v>49</v>
      </c>
      <c r="L670" s="2">
        <v>1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1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/>
      <c r="AM670" s="2" t="s">
        <v>1568</v>
      </c>
      <c r="AN670" s="2">
        <f t="shared" si="101"/>
        <v>1</v>
      </c>
      <c r="AO670" s="2">
        <f t="shared" si="102"/>
        <v>1</v>
      </c>
      <c r="AP670" s="2">
        <f t="shared" si="103"/>
        <v>0</v>
      </c>
      <c r="AQ670" s="2">
        <f t="shared" si="104"/>
        <v>0</v>
      </c>
      <c r="AR670" s="2">
        <f t="shared" si="105"/>
        <v>0</v>
      </c>
      <c r="AS670" s="2">
        <f t="shared" si="106"/>
        <v>0</v>
      </c>
      <c r="AT670" s="25">
        <f t="shared" si="107"/>
        <v>0</v>
      </c>
    </row>
    <row r="671" spans="1:46">
      <c r="A671" s="24">
        <v>46130</v>
      </c>
      <c r="B671" s="23">
        <f t="shared" si="100"/>
        <v>46113</v>
      </c>
      <c r="C671" s="2" t="s">
        <v>62</v>
      </c>
      <c r="D671" s="2" t="s">
        <v>106</v>
      </c>
      <c r="E671" s="2">
        <v>3305</v>
      </c>
      <c r="F671" s="2">
        <v>222</v>
      </c>
      <c r="G671" s="2">
        <f t="shared" si="108"/>
        <v>32</v>
      </c>
      <c r="H671" s="2">
        <f t="shared" si="109"/>
        <v>32</v>
      </c>
      <c r="I671" s="2">
        <v>0</v>
      </c>
      <c r="J671" s="44" t="s">
        <v>48</v>
      </c>
      <c r="K671" s="2" t="s">
        <v>49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/>
      <c r="AM671" s="2" t="s">
        <v>1568</v>
      </c>
      <c r="AN671" s="2">
        <f t="shared" si="101"/>
        <v>0</v>
      </c>
      <c r="AO671" s="2">
        <f t="shared" si="102"/>
        <v>0</v>
      </c>
      <c r="AP671" s="2">
        <f t="shared" si="103"/>
        <v>0</v>
      </c>
      <c r="AQ671" s="2">
        <f t="shared" si="104"/>
        <v>0</v>
      </c>
      <c r="AR671" s="2">
        <f t="shared" si="105"/>
        <v>0</v>
      </c>
      <c r="AS671" s="2">
        <f t="shared" si="106"/>
        <v>0</v>
      </c>
      <c r="AT671" s="25">
        <f t="shared" si="107"/>
        <v>0</v>
      </c>
    </row>
    <row r="672" spans="1:46">
      <c r="A672" s="24">
        <v>46130</v>
      </c>
      <c r="B672" s="23">
        <f t="shared" si="100"/>
        <v>46113</v>
      </c>
      <c r="C672" s="2" t="s">
        <v>95</v>
      </c>
      <c r="D672" s="2" t="s">
        <v>414</v>
      </c>
      <c r="E672" s="2">
        <v>2679</v>
      </c>
      <c r="F672" s="2">
        <v>98</v>
      </c>
      <c r="G672" s="2">
        <f t="shared" si="108"/>
        <v>20</v>
      </c>
      <c r="H672" s="2">
        <f t="shared" si="109"/>
        <v>20</v>
      </c>
      <c r="I672" s="2">
        <v>0</v>
      </c>
      <c r="J672" s="44" t="s">
        <v>48</v>
      </c>
      <c r="K672" s="2" t="s">
        <v>49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/>
      <c r="AM672" s="2" t="s">
        <v>396</v>
      </c>
      <c r="AN672" s="2">
        <f t="shared" si="101"/>
        <v>0</v>
      </c>
      <c r="AO672" s="2">
        <f t="shared" si="102"/>
        <v>0</v>
      </c>
      <c r="AP672" s="2">
        <f t="shared" si="103"/>
        <v>0</v>
      </c>
      <c r="AQ672" s="2">
        <f t="shared" si="104"/>
        <v>0</v>
      </c>
      <c r="AR672" s="2">
        <f t="shared" si="105"/>
        <v>0</v>
      </c>
      <c r="AS672" s="2">
        <f t="shared" si="106"/>
        <v>0</v>
      </c>
      <c r="AT672" s="25">
        <f t="shared" si="107"/>
        <v>0</v>
      </c>
    </row>
    <row r="673" spans="1:46">
      <c r="A673" s="24">
        <v>46132</v>
      </c>
      <c r="B673" s="23">
        <f t="shared" si="100"/>
        <v>46113</v>
      </c>
      <c r="C673" s="2" t="s">
        <v>72</v>
      </c>
      <c r="D673" s="2" t="s">
        <v>1447</v>
      </c>
      <c r="E673" s="2">
        <v>3273</v>
      </c>
      <c r="F673" s="2">
        <v>411</v>
      </c>
      <c r="G673" s="2">
        <f t="shared" si="108"/>
        <v>50</v>
      </c>
      <c r="H673" s="2">
        <f t="shared" si="109"/>
        <v>49</v>
      </c>
      <c r="I673" s="2">
        <v>1</v>
      </c>
      <c r="J673" s="44" t="s">
        <v>48</v>
      </c>
      <c r="K673" s="2" t="s">
        <v>49</v>
      </c>
      <c r="L673" s="2">
        <v>1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/>
      <c r="AM673" s="2" t="s">
        <v>99</v>
      </c>
      <c r="AN673" s="2">
        <f t="shared" si="101"/>
        <v>1</v>
      </c>
      <c r="AO673" s="2">
        <f t="shared" si="102"/>
        <v>0</v>
      </c>
      <c r="AP673" s="2">
        <f t="shared" si="103"/>
        <v>0</v>
      </c>
      <c r="AQ673" s="2">
        <f t="shared" si="104"/>
        <v>0</v>
      </c>
      <c r="AR673" s="2">
        <f t="shared" si="105"/>
        <v>0</v>
      </c>
      <c r="AS673" s="2">
        <f t="shared" si="106"/>
        <v>0</v>
      </c>
      <c r="AT673" s="25">
        <f t="shared" si="107"/>
        <v>0</v>
      </c>
    </row>
    <row r="674" spans="1:46">
      <c r="A674" s="24">
        <v>46132</v>
      </c>
      <c r="B674" s="23">
        <f t="shared" si="100"/>
        <v>46113</v>
      </c>
      <c r="C674" s="2" t="s">
        <v>95</v>
      </c>
      <c r="D674" s="2" t="s">
        <v>291</v>
      </c>
      <c r="E674" s="2">
        <v>6222</v>
      </c>
      <c r="F674" s="2">
        <v>64</v>
      </c>
      <c r="G674" s="2">
        <f t="shared" si="108"/>
        <v>20</v>
      </c>
      <c r="H674" s="2">
        <f t="shared" si="109"/>
        <v>20</v>
      </c>
      <c r="I674" s="2">
        <v>0</v>
      </c>
      <c r="J674" s="44" t="s">
        <v>48</v>
      </c>
      <c r="K674" s="2" t="s">
        <v>49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/>
      <c r="AM674" s="2" t="s">
        <v>80</v>
      </c>
      <c r="AN674" s="2">
        <f t="shared" si="101"/>
        <v>0</v>
      </c>
      <c r="AO674" s="2">
        <f t="shared" si="102"/>
        <v>0</v>
      </c>
      <c r="AP674" s="2">
        <f t="shared" si="103"/>
        <v>0</v>
      </c>
      <c r="AQ674" s="2">
        <f t="shared" si="104"/>
        <v>0</v>
      </c>
      <c r="AR674" s="2">
        <f t="shared" si="105"/>
        <v>0</v>
      </c>
      <c r="AS674" s="2">
        <f t="shared" si="106"/>
        <v>0</v>
      </c>
      <c r="AT674" s="25">
        <f t="shared" si="107"/>
        <v>0</v>
      </c>
    </row>
    <row r="675" spans="1:46">
      <c r="A675" s="24">
        <v>46132</v>
      </c>
      <c r="B675" s="23">
        <f t="shared" si="100"/>
        <v>46113</v>
      </c>
      <c r="C675" s="2" t="s">
        <v>95</v>
      </c>
      <c r="D675" s="2" t="s">
        <v>315</v>
      </c>
      <c r="E675" s="2">
        <v>6291</v>
      </c>
      <c r="F675" s="2">
        <v>240</v>
      </c>
      <c r="G675" s="2">
        <f t="shared" si="108"/>
        <v>32</v>
      </c>
      <c r="H675" s="2">
        <f t="shared" si="109"/>
        <v>32</v>
      </c>
      <c r="I675" s="2">
        <v>0</v>
      </c>
      <c r="J675" s="44" t="s">
        <v>48</v>
      </c>
      <c r="K675" s="2" t="s">
        <v>49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/>
      <c r="AM675" s="2" t="s">
        <v>80</v>
      </c>
      <c r="AN675" s="2">
        <f t="shared" si="101"/>
        <v>0</v>
      </c>
      <c r="AO675" s="2">
        <f t="shared" si="102"/>
        <v>0</v>
      </c>
      <c r="AP675" s="2">
        <f t="shared" si="103"/>
        <v>0</v>
      </c>
      <c r="AQ675" s="2">
        <f t="shared" si="104"/>
        <v>0</v>
      </c>
      <c r="AR675" s="2">
        <f t="shared" si="105"/>
        <v>0</v>
      </c>
      <c r="AS675" s="2">
        <f t="shared" si="106"/>
        <v>0</v>
      </c>
      <c r="AT675" s="25">
        <f t="shared" si="107"/>
        <v>0</v>
      </c>
    </row>
    <row r="676" spans="1:46">
      <c r="A676" s="24">
        <v>46132</v>
      </c>
      <c r="B676" s="23">
        <f t="shared" si="100"/>
        <v>46113</v>
      </c>
      <c r="C676" s="2" t="s">
        <v>95</v>
      </c>
      <c r="D676" s="2" t="s">
        <v>212</v>
      </c>
      <c r="E676" s="2">
        <v>2679</v>
      </c>
      <c r="F676" s="2">
        <v>74</v>
      </c>
      <c r="G676" s="2">
        <f t="shared" si="108"/>
        <v>20</v>
      </c>
      <c r="H676" s="2">
        <f t="shared" si="109"/>
        <v>19</v>
      </c>
      <c r="I676" s="2">
        <v>1</v>
      </c>
      <c r="J676" s="44" t="s">
        <v>48</v>
      </c>
      <c r="K676" s="2" t="s">
        <v>49</v>
      </c>
      <c r="L676" s="2">
        <v>1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/>
      <c r="AM676" s="2" t="s">
        <v>80</v>
      </c>
      <c r="AN676" s="2">
        <f t="shared" si="101"/>
        <v>1</v>
      </c>
      <c r="AO676" s="2">
        <f t="shared" si="102"/>
        <v>0</v>
      </c>
      <c r="AP676" s="2">
        <f t="shared" si="103"/>
        <v>0</v>
      </c>
      <c r="AQ676" s="2">
        <f t="shared" si="104"/>
        <v>0</v>
      </c>
      <c r="AR676" s="2">
        <f t="shared" si="105"/>
        <v>0</v>
      </c>
      <c r="AS676" s="2">
        <f t="shared" si="106"/>
        <v>0</v>
      </c>
      <c r="AT676" s="25">
        <f t="shared" si="107"/>
        <v>0</v>
      </c>
    </row>
    <row r="677" spans="1:46">
      <c r="A677" s="24">
        <v>46132</v>
      </c>
      <c r="B677" s="23">
        <f t="shared" si="100"/>
        <v>46113</v>
      </c>
      <c r="C677" s="2" t="s">
        <v>72</v>
      </c>
      <c r="D677" s="2" t="s">
        <v>364</v>
      </c>
      <c r="E677" s="2">
        <v>6265</v>
      </c>
      <c r="F677" s="2">
        <v>71</v>
      </c>
      <c r="G677" s="2">
        <f t="shared" si="108"/>
        <v>20</v>
      </c>
      <c r="H677" s="2">
        <f t="shared" si="109"/>
        <v>20</v>
      </c>
      <c r="I677" s="2">
        <v>0</v>
      </c>
      <c r="J677" s="44" t="s">
        <v>48</v>
      </c>
      <c r="K677" s="2" t="s">
        <v>49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/>
      <c r="AM677" s="2" t="s">
        <v>80</v>
      </c>
      <c r="AN677" s="2">
        <f t="shared" si="101"/>
        <v>0</v>
      </c>
      <c r="AO677" s="2">
        <f t="shared" si="102"/>
        <v>0</v>
      </c>
      <c r="AP677" s="2">
        <f t="shared" si="103"/>
        <v>0</v>
      </c>
      <c r="AQ677" s="2">
        <f t="shared" si="104"/>
        <v>0</v>
      </c>
      <c r="AR677" s="2">
        <f t="shared" si="105"/>
        <v>0</v>
      </c>
      <c r="AS677" s="2">
        <f t="shared" si="106"/>
        <v>0</v>
      </c>
      <c r="AT677" s="25">
        <f t="shared" si="107"/>
        <v>0</v>
      </c>
    </row>
    <row r="678" spans="1:46">
      <c r="A678" s="24">
        <v>46132</v>
      </c>
      <c r="B678" s="23">
        <f t="shared" si="100"/>
        <v>46113</v>
      </c>
      <c r="C678" s="2" t="s">
        <v>72</v>
      </c>
      <c r="D678" s="2" t="s">
        <v>81</v>
      </c>
      <c r="E678" s="2">
        <v>1825</v>
      </c>
      <c r="F678" s="2">
        <v>244</v>
      </c>
      <c r="G678" s="2">
        <f t="shared" si="108"/>
        <v>32</v>
      </c>
      <c r="H678" s="2">
        <f t="shared" si="109"/>
        <v>31</v>
      </c>
      <c r="I678" s="2">
        <v>1</v>
      </c>
      <c r="J678" s="44" t="s">
        <v>48</v>
      </c>
      <c r="K678" s="2" t="s">
        <v>49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1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/>
      <c r="AM678" s="2" t="s">
        <v>80</v>
      </c>
      <c r="AN678" s="2">
        <f t="shared" si="101"/>
        <v>0</v>
      </c>
      <c r="AO678" s="2">
        <f t="shared" si="102"/>
        <v>1</v>
      </c>
      <c r="AP678" s="2">
        <f t="shared" si="103"/>
        <v>0</v>
      </c>
      <c r="AQ678" s="2">
        <f t="shared" si="104"/>
        <v>0</v>
      </c>
      <c r="AR678" s="2">
        <f t="shared" si="105"/>
        <v>0</v>
      </c>
      <c r="AS678" s="2">
        <f t="shared" si="106"/>
        <v>0</v>
      </c>
      <c r="AT678" s="25">
        <f t="shared" si="107"/>
        <v>0</v>
      </c>
    </row>
    <row r="679" spans="1:46">
      <c r="A679" s="24">
        <v>46132</v>
      </c>
      <c r="B679" s="23">
        <f t="shared" si="100"/>
        <v>46113</v>
      </c>
      <c r="C679" s="2" t="s">
        <v>95</v>
      </c>
      <c r="D679" s="2" t="s">
        <v>1306</v>
      </c>
      <c r="E679" s="2">
        <v>3322</v>
      </c>
      <c r="F679" s="2">
        <v>260</v>
      </c>
      <c r="G679" s="2">
        <f t="shared" si="108"/>
        <v>32</v>
      </c>
      <c r="H679" s="2">
        <f t="shared" si="109"/>
        <v>31</v>
      </c>
      <c r="I679" s="2">
        <v>1</v>
      </c>
      <c r="J679" s="44" t="s">
        <v>48</v>
      </c>
      <c r="K679" s="2" t="s">
        <v>49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1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/>
      <c r="AM679" s="2" t="s">
        <v>80</v>
      </c>
      <c r="AN679" s="2">
        <f t="shared" si="101"/>
        <v>0</v>
      </c>
      <c r="AO679" s="2">
        <f t="shared" si="102"/>
        <v>1</v>
      </c>
      <c r="AP679" s="2">
        <f t="shared" si="103"/>
        <v>0</v>
      </c>
      <c r="AQ679" s="2">
        <f t="shared" si="104"/>
        <v>0</v>
      </c>
      <c r="AR679" s="2">
        <f t="shared" si="105"/>
        <v>0</v>
      </c>
      <c r="AS679" s="2">
        <f t="shared" si="106"/>
        <v>0</v>
      </c>
      <c r="AT679" s="25">
        <f t="shared" si="107"/>
        <v>0</v>
      </c>
    </row>
    <row r="680" spans="1:46">
      <c r="A680" s="24">
        <v>46132</v>
      </c>
      <c r="B680" s="23">
        <f t="shared" si="100"/>
        <v>46113</v>
      </c>
      <c r="C680" s="2" t="s">
        <v>46</v>
      </c>
      <c r="D680" s="2" t="s">
        <v>1302</v>
      </c>
      <c r="E680" s="2">
        <v>6309</v>
      </c>
      <c r="F680" s="2">
        <v>68</v>
      </c>
      <c r="G680" s="2">
        <f t="shared" si="108"/>
        <v>20</v>
      </c>
      <c r="H680" s="2">
        <f t="shared" si="109"/>
        <v>20</v>
      </c>
      <c r="I680" s="2">
        <v>0</v>
      </c>
      <c r="J680" s="44" t="s">
        <v>48</v>
      </c>
      <c r="K680" s="2" t="s">
        <v>49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/>
      <c r="AM680" s="2" t="s">
        <v>80</v>
      </c>
      <c r="AN680" s="2">
        <f t="shared" si="101"/>
        <v>0</v>
      </c>
      <c r="AO680" s="2">
        <f t="shared" si="102"/>
        <v>0</v>
      </c>
      <c r="AP680" s="2">
        <f t="shared" si="103"/>
        <v>0</v>
      </c>
      <c r="AQ680" s="2">
        <f t="shared" si="104"/>
        <v>0</v>
      </c>
      <c r="AR680" s="2">
        <f t="shared" si="105"/>
        <v>0</v>
      </c>
      <c r="AS680" s="2">
        <f t="shared" si="106"/>
        <v>0</v>
      </c>
      <c r="AT680" s="25">
        <f t="shared" si="107"/>
        <v>0</v>
      </c>
    </row>
    <row r="681" spans="1:46">
      <c r="A681" s="24">
        <v>46132</v>
      </c>
      <c r="B681" s="23">
        <f t="shared" si="100"/>
        <v>46113</v>
      </c>
      <c r="C681" s="2" t="s">
        <v>46</v>
      </c>
      <c r="D681" s="2" t="s">
        <v>1215</v>
      </c>
      <c r="E681" s="2">
        <v>6309</v>
      </c>
      <c r="F681" s="2">
        <v>100</v>
      </c>
      <c r="G681" s="2">
        <f t="shared" si="108"/>
        <v>20</v>
      </c>
      <c r="H681" s="2">
        <f t="shared" si="109"/>
        <v>20</v>
      </c>
      <c r="I681" s="2">
        <v>0</v>
      </c>
      <c r="J681" s="44" t="s">
        <v>48</v>
      </c>
      <c r="K681" s="2" t="s">
        <v>49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/>
      <c r="AM681" s="2" t="s">
        <v>80</v>
      </c>
      <c r="AN681" s="2">
        <f t="shared" si="101"/>
        <v>0</v>
      </c>
      <c r="AO681" s="2">
        <f t="shared" si="102"/>
        <v>0</v>
      </c>
      <c r="AP681" s="2">
        <f t="shared" si="103"/>
        <v>0</v>
      </c>
      <c r="AQ681" s="2">
        <f t="shared" si="104"/>
        <v>0</v>
      </c>
      <c r="AR681" s="2">
        <f t="shared" si="105"/>
        <v>0</v>
      </c>
      <c r="AS681" s="2">
        <f t="shared" si="106"/>
        <v>0</v>
      </c>
      <c r="AT681" s="25">
        <f t="shared" si="107"/>
        <v>0</v>
      </c>
    </row>
    <row r="682" spans="1:46">
      <c r="A682" s="24">
        <v>46132</v>
      </c>
      <c r="B682" s="23">
        <f t="shared" si="100"/>
        <v>46113</v>
      </c>
      <c r="C682" s="2" t="s">
        <v>46</v>
      </c>
      <c r="D682" s="2" t="s">
        <v>242</v>
      </c>
      <c r="E682" s="2">
        <v>6296</v>
      </c>
      <c r="F682" s="2">
        <v>214</v>
      </c>
      <c r="G682" s="2">
        <f t="shared" si="108"/>
        <v>32</v>
      </c>
      <c r="H682" s="2">
        <f t="shared" si="109"/>
        <v>30</v>
      </c>
      <c r="I682" s="2">
        <v>2</v>
      </c>
      <c r="J682" s="44" t="s">
        <v>48</v>
      </c>
      <c r="K682" s="2" t="s">
        <v>49</v>
      </c>
      <c r="L682" s="2">
        <v>2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/>
      <c r="AM682" s="2" t="s">
        <v>80</v>
      </c>
      <c r="AN682" s="2">
        <f t="shared" si="101"/>
        <v>2</v>
      </c>
      <c r="AO682" s="2">
        <f t="shared" si="102"/>
        <v>0</v>
      </c>
      <c r="AP682" s="2">
        <f t="shared" si="103"/>
        <v>0</v>
      </c>
      <c r="AQ682" s="2">
        <f t="shared" si="104"/>
        <v>0</v>
      </c>
      <c r="AR682" s="2">
        <f t="shared" si="105"/>
        <v>0</v>
      </c>
      <c r="AS682" s="2">
        <f t="shared" si="106"/>
        <v>0</v>
      </c>
      <c r="AT682" s="25">
        <f t="shared" si="107"/>
        <v>0</v>
      </c>
    </row>
    <row r="683" spans="1:46">
      <c r="A683" s="24">
        <v>46132</v>
      </c>
      <c r="B683" s="23">
        <f t="shared" si="100"/>
        <v>46113</v>
      </c>
      <c r="C683" s="2" t="s">
        <v>95</v>
      </c>
      <c r="D683" s="2" t="s">
        <v>168</v>
      </c>
      <c r="E683" s="2">
        <v>6222</v>
      </c>
      <c r="F683" s="2">
        <v>160</v>
      </c>
      <c r="G683" s="2">
        <f t="shared" si="108"/>
        <v>32</v>
      </c>
      <c r="H683" s="2">
        <f t="shared" si="109"/>
        <v>32</v>
      </c>
      <c r="I683" s="2">
        <v>0</v>
      </c>
      <c r="J683" s="44" t="s">
        <v>48</v>
      </c>
      <c r="K683" s="2" t="s">
        <v>49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/>
      <c r="AM683" s="2" t="s">
        <v>80</v>
      </c>
      <c r="AN683" s="2">
        <f t="shared" si="101"/>
        <v>0</v>
      </c>
      <c r="AO683" s="2">
        <f t="shared" si="102"/>
        <v>0</v>
      </c>
      <c r="AP683" s="2">
        <f t="shared" si="103"/>
        <v>0</v>
      </c>
      <c r="AQ683" s="2">
        <f t="shared" si="104"/>
        <v>0</v>
      </c>
      <c r="AR683" s="2">
        <f t="shared" si="105"/>
        <v>0</v>
      </c>
      <c r="AS683" s="2">
        <f t="shared" si="106"/>
        <v>0</v>
      </c>
      <c r="AT683" s="25">
        <f t="shared" si="107"/>
        <v>0</v>
      </c>
    </row>
    <row r="684" spans="1:46">
      <c r="A684" s="24">
        <v>46132</v>
      </c>
      <c r="B684" s="23">
        <f t="shared" si="100"/>
        <v>46113</v>
      </c>
      <c r="C684" s="2" t="s">
        <v>46</v>
      </c>
      <c r="D684" s="2" t="s">
        <v>1222</v>
      </c>
      <c r="E684" s="2">
        <v>6307</v>
      </c>
      <c r="F684" s="2">
        <v>82</v>
      </c>
      <c r="G684" s="2">
        <f t="shared" si="108"/>
        <v>20</v>
      </c>
      <c r="H684" s="2">
        <f t="shared" si="109"/>
        <v>19</v>
      </c>
      <c r="I684" s="2">
        <v>1</v>
      </c>
      <c r="J684" s="44" t="s">
        <v>48</v>
      </c>
      <c r="K684" s="2" t="s">
        <v>49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1</v>
      </c>
      <c r="AH684" s="2">
        <v>0</v>
      </c>
      <c r="AI684" s="2">
        <v>0</v>
      </c>
      <c r="AJ684" s="2">
        <v>0</v>
      </c>
      <c r="AK684" s="2">
        <v>0</v>
      </c>
      <c r="AL684" s="2"/>
      <c r="AM684" s="2" t="s">
        <v>80</v>
      </c>
      <c r="AN684" s="2">
        <f t="shared" si="101"/>
        <v>0</v>
      </c>
      <c r="AO684" s="2">
        <f t="shared" si="102"/>
        <v>0</v>
      </c>
      <c r="AP684" s="2">
        <f t="shared" si="103"/>
        <v>0</v>
      </c>
      <c r="AQ684" s="2">
        <f t="shared" si="104"/>
        <v>0</v>
      </c>
      <c r="AR684" s="2">
        <f t="shared" si="105"/>
        <v>0</v>
      </c>
      <c r="AS684" s="2">
        <f t="shared" si="106"/>
        <v>1</v>
      </c>
      <c r="AT684" s="25">
        <f t="shared" si="107"/>
        <v>0</v>
      </c>
    </row>
    <row r="685" spans="1:46">
      <c r="A685" s="24">
        <v>46132</v>
      </c>
      <c r="B685" s="23">
        <f t="shared" si="100"/>
        <v>46113</v>
      </c>
      <c r="C685" s="2" t="s">
        <v>46</v>
      </c>
      <c r="D685" s="2" t="s">
        <v>174</v>
      </c>
      <c r="E685" s="2">
        <v>2702</v>
      </c>
      <c r="F685" s="2">
        <v>326</v>
      </c>
      <c r="G685" s="2">
        <f t="shared" si="108"/>
        <v>50</v>
      </c>
      <c r="H685" s="2">
        <f t="shared" si="109"/>
        <v>50</v>
      </c>
      <c r="I685" s="2">
        <v>0</v>
      </c>
      <c r="J685" s="44" t="s">
        <v>48</v>
      </c>
      <c r="K685" s="2" t="s">
        <v>49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/>
      <c r="AM685" s="2" t="s">
        <v>80</v>
      </c>
      <c r="AN685" s="2">
        <f t="shared" si="101"/>
        <v>0</v>
      </c>
      <c r="AO685" s="2">
        <f t="shared" si="102"/>
        <v>0</v>
      </c>
      <c r="AP685" s="2">
        <f t="shared" si="103"/>
        <v>0</v>
      </c>
      <c r="AQ685" s="2">
        <f t="shared" si="104"/>
        <v>0</v>
      </c>
      <c r="AR685" s="2">
        <f t="shared" si="105"/>
        <v>0</v>
      </c>
      <c r="AS685" s="2">
        <f t="shared" si="106"/>
        <v>0</v>
      </c>
      <c r="AT685" s="25">
        <f t="shared" si="107"/>
        <v>0</v>
      </c>
    </row>
    <row r="686" spans="1:46">
      <c r="A686" s="24">
        <v>46132</v>
      </c>
      <c r="B686" s="23">
        <f t="shared" si="100"/>
        <v>46113</v>
      </c>
      <c r="C686" s="2" t="s">
        <v>46</v>
      </c>
      <c r="D686" s="2" t="s">
        <v>47</v>
      </c>
      <c r="E686" s="2">
        <v>6296</v>
      </c>
      <c r="F686" s="2">
        <v>77</v>
      </c>
      <c r="G686" s="2">
        <f t="shared" si="108"/>
        <v>20</v>
      </c>
      <c r="H686" s="2">
        <f t="shared" si="109"/>
        <v>19</v>
      </c>
      <c r="I686" s="2">
        <v>1</v>
      </c>
      <c r="J686" s="44" t="s">
        <v>48</v>
      </c>
      <c r="K686" s="2" t="s">
        <v>49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1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/>
      <c r="AM686" s="2" t="s">
        <v>80</v>
      </c>
      <c r="AN686" s="2">
        <f t="shared" si="101"/>
        <v>0</v>
      </c>
      <c r="AO686" s="2">
        <f t="shared" si="102"/>
        <v>0</v>
      </c>
      <c r="AP686" s="2">
        <f t="shared" si="103"/>
        <v>1</v>
      </c>
      <c r="AQ686" s="2">
        <f t="shared" si="104"/>
        <v>0</v>
      </c>
      <c r="AR686" s="2">
        <f t="shared" si="105"/>
        <v>0</v>
      </c>
      <c r="AS686" s="2">
        <f t="shared" si="106"/>
        <v>0</v>
      </c>
      <c r="AT686" s="25">
        <f t="shared" si="107"/>
        <v>0</v>
      </c>
    </row>
    <row r="687" spans="1:46">
      <c r="A687" s="24">
        <v>46132</v>
      </c>
      <c r="B687" s="23">
        <f t="shared" si="100"/>
        <v>46113</v>
      </c>
      <c r="C687" s="2" t="s">
        <v>46</v>
      </c>
      <c r="D687" s="2" t="s">
        <v>127</v>
      </c>
      <c r="E687" s="2">
        <v>6296</v>
      </c>
      <c r="F687" s="2">
        <v>123</v>
      </c>
      <c r="G687" s="2">
        <f t="shared" si="108"/>
        <v>20</v>
      </c>
      <c r="H687" s="2">
        <f t="shared" si="109"/>
        <v>18</v>
      </c>
      <c r="I687" s="2">
        <v>2</v>
      </c>
      <c r="J687" s="44" t="s">
        <v>67</v>
      </c>
      <c r="K687" s="2" t="s">
        <v>49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2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/>
      <c r="AM687" s="2" t="s">
        <v>80</v>
      </c>
      <c r="AN687" s="2">
        <f t="shared" si="101"/>
        <v>0</v>
      </c>
      <c r="AO687" s="2">
        <f t="shared" si="102"/>
        <v>0</v>
      </c>
      <c r="AP687" s="2">
        <f t="shared" si="103"/>
        <v>2</v>
      </c>
      <c r="AQ687" s="2">
        <f t="shared" si="104"/>
        <v>0</v>
      </c>
      <c r="AR687" s="2">
        <f t="shared" si="105"/>
        <v>0</v>
      </c>
      <c r="AS687" s="2">
        <f t="shared" si="106"/>
        <v>0</v>
      </c>
      <c r="AT687" s="25">
        <f t="shared" si="107"/>
        <v>0</v>
      </c>
    </row>
    <row r="688" spans="1:46">
      <c r="A688" s="24">
        <v>46132</v>
      </c>
      <c r="B688" s="23">
        <f t="shared" si="100"/>
        <v>46113</v>
      </c>
      <c r="C688" s="2" t="s">
        <v>72</v>
      </c>
      <c r="D688" s="2" t="s">
        <v>385</v>
      </c>
      <c r="E688" s="2">
        <v>3273</v>
      </c>
      <c r="F688" s="2">
        <v>241</v>
      </c>
      <c r="G688" s="2">
        <f t="shared" si="108"/>
        <v>32</v>
      </c>
      <c r="H688" s="2">
        <f t="shared" si="109"/>
        <v>27</v>
      </c>
      <c r="I688" s="2">
        <v>5</v>
      </c>
      <c r="J688" s="44" t="s">
        <v>67</v>
      </c>
      <c r="K688" s="2" t="s">
        <v>49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4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1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/>
      <c r="AM688" s="2" t="s">
        <v>99</v>
      </c>
      <c r="AN688" s="2">
        <f t="shared" si="101"/>
        <v>0</v>
      </c>
      <c r="AO688" s="2">
        <f t="shared" si="102"/>
        <v>4</v>
      </c>
      <c r="AP688" s="2">
        <f t="shared" si="103"/>
        <v>1</v>
      </c>
      <c r="AQ688" s="2">
        <f t="shared" si="104"/>
        <v>0</v>
      </c>
      <c r="AR688" s="2">
        <f t="shared" si="105"/>
        <v>0</v>
      </c>
      <c r="AS688" s="2">
        <f t="shared" si="106"/>
        <v>0</v>
      </c>
      <c r="AT688" s="25">
        <f t="shared" si="107"/>
        <v>0</v>
      </c>
    </row>
    <row r="689" spans="1:46">
      <c r="A689" s="24">
        <v>46132</v>
      </c>
      <c r="B689" s="23">
        <f t="shared" si="100"/>
        <v>46113</v>
      </c>
      <c r="C689" s="2" t="s">
        <v>72</v>
      </c>
      <c r="D689" s="2" t="s">
        <v>184</v>
      </c>
      <c r="E689" s="2">
        <v>3317</v>
      </c>
      <c r="F689" s="2">
        <v>196</v>
      </c>
      <c r="G689" s="2">
        <f t="shared" si="108"/>
        <v>32</v>
      </c>
      <c r="H689" s="2">
        <f t="shared" si="109"/>
        <v>32</v>
      </c>
      <c r="I689" s="2">
        <v>0</v>
      </c>
      <c r="J689" s="44" t="s">
        <v>48</v>
      </c>
      <c r="K689" s="2" t="s">
        <v>49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/>
      <c r="AM689" s="2" t="s">
        <v>99</v>
      </c>
      <c r="AN689" s="2">
        <f t="shared" si="101"/>
        <v>0</v>
      </c>
      <c r="AO689" s="2">
        <f t="shared" si="102"/>
        <v>0</v>
      </c>
      <c r="AP689" s="2">
        <f t="shared" si="103"/>
        <v>0</v>
      </c>
      <c r="AQ689" s="2">
        <f t="shared" si="104"/>
        <v>0</v>
      </c>
      <c r="AR689" s="2">
        <f t="shared" si="105"/>
        <v>0</v>
      </c>
      <c r="AS689" s="2">
        <f t="shared" si="106"/>
        <v>0</v>
      </c>
      <c r="AT689" s="25">
        <f t="shared" si="107"/>
        <v>0</v>
      </c>
    </row>
    <row r="690" spans="1:46">
      <c r="A690" s="24">
        <v>46132</v>
      </c>
      <c r="B690" s="23">
        <f t="shared" si="100"/>
        <v>46113</v>
      </c>
      <c r="C690" s="2" t="s">
        <v>114</v>
      </c>
      <c r="D690" s="2" t="s">
        <v>1387</v>
      </c>
      <c r="E690" s="2">
        <v>3327</v>
      </c>
      <c r="F690" s="2">
        <v>175</v>
      </c>
      <c r="G690" s="2">
        <f t="shared" si="108"/>
        <v>32</v>
      </c>
      <c r="H690" s="2">
        <f t="shared" si="109"/>
        <v>12</v>
      </c>
      <c r="I690" s="2">
        <v>20</v>
      </c>
      <c r="J690" s="44" t="s">
        <v>67</v>
      </c>
      <c r="K690" s="2" t="s">
        <v>49</v>
      </c>
      <c r="L690" s="2">
        <v>1</v>
      </c>
      <c r="M690" s="2">
        <v>0</v>
      </c>
      <c r="N690" s="2">
        <v>19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/>
      <c r="AM690" s="2" t="s">
        <v>99</v>
      </c>
      <c r="AN690" s="2">
        <f t="shared" si="101"/>
        <v>1</v>
      </c>
      <c r="AO690" s="2">
        <f t="shared" si="102"/>
        <v>19</v>
      </c>
      <c r="AP690" s="2">
        <f t="shared" si="103"/>
        <v>0</v>
      </c>
      <c r="AQ690" s="2">
        <f t="shared" si="104"/>
        <v>0</v>
      </c>
      <c r="AR690" s="2">
        <f t="shared" si="105"/>
        <v>0</v>
      </c>
      <c r="AS690" s="2">
        <f t="shared" si="106"/>
        <v>0</v>
      </c>
      <c r="AT690" s="25">
        <f t="shared" si="107"/>
        <v>0</v>
      </c>
    </row>
    <row r="691" spans="1:46">
      <c r="A691" s="24">
        <v>46132</v>
      </c>
      <c r="B691" s="23">
        <f t="shared" si="100"/>
        <v>46113</v>
      </c>
      <c r="C691" s="2" t="s">
        <v>46</v>
      </c>
      <c r="D691" s="3" t="s">
        <v>1574</v>
      </c>
      <c r="E691" s="2">
        <v>6207</v>
      </c>
      <c r="F691" s="2">
        <v>169</v>
      </c>
      <c r="G691" s="2">
        <f t="shared" si="108"/>
        <v>32</v>
      </c>
      <c r="H691" s="2">
        <f t="shared" si="109"/>
        <v>32</v>
      </c>
      <c r="I691" s="2">
        <v>0</v>
      </c>
      <c r="J691" s="44" t="s">
        <v>48</v>
      </c>
      <c r="K691" s="2" t="s">
        <v>49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/>
      <c r="AM691" s="2" t="s">
        <v>99</v>
      </c>
      <c r="AN691" s="2">
        <f t="shared" si="101"/>
        <v>0</v>
      </c>
      <c r="AO691" s="2">
        <f t="shared" si="102"/>
        <v>0</v>
      </c>
      <c r="AP691" s="2">
        <f t="shared" si="103"/>
        <v>0</v>
      </c>
      <c r="AQ691" s="2">
        <f t="shared" si="104"/>
        <v>0</v>
      </c>
      <c r="AR691" s="2">
        <f t="shared" si="105"/>
        <v>0</v>
      </c>
      <c r="AS691" s="2">
        <f t="shared" si="106"/>
        <v>0</v>
      </c>
      <c r="AT691" s="25">
        <f t="shared" si="107"/>
        <v>0</v>
      </c>
    </row>
    <row r="692" spans="1:46">
      <c r="A692" s="24">
        <v>46132</v>
      </c>
      <c r="B692" s="23">
        <f t="shared" si="100"/>
        <v>46113</v>
      </c>
      <c r="C692" s="2" t="s">
        <v>114</v>
      </c>
      <c r="D692" s="2" t="s">
        <v>115</v>
      </c>
      <c r="E692" s="2">
        <v>6208</v>
      </c>
      <c r="F692" s="2">
        <v>89</v>
      </c>
      <c r="G692" s="2">
        <f t="shared" si="108"/>
        <v>20</v>
      </c>
      <c r="H692" s="2">
        <f t="shared" si="109"/>
        <v>15</v>
      </c>
      <c r="I692" s="2">
        <v>5</v>
      </c>
      <c r="J692" s="44" t="s">
        <v>67</v>
      </c>
      <c r="K692" s="2" t="s">
        <v>49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1</v>
      </c>
      <c r="Z692" s="2">
        <v>0</v>
      </c>
      <c r="AA692" s="2">
        <v>0</v>
      </c>
      <c r="AB692" s="2">
        <v>2</v>
      </c>
      <c r="AC692" s="2">
        <v>1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1</v>
      </c>
      <c r="AL692" s="2"/>
      <c r="AM692" s="2" t="s">
        <v>99</v>
      </c>
      <c r="AN692" s="2">
        <f t="shared" si="101"/>
        <v>0</v>
      </c>
      <c r="AO692" s="2">
        <f t="shared" si="102"/>
        <v>0</v>
      </c>
      <c r="AP692" s="2">
        <f t="shared" si="103"/>
        <v>0</v>
      </c>
      <c r="AQ692" s="2">
        <f t="shared" si="104"/>
        <v>2</v>
      </c>
      <c r="AR692" s="2">
        <f t="shared" si="105"/>
        <v>3</v>
      </c>
      <c r="AS692" s="2">
        <f t="shared" si="106"/>
        <v>0</v>
      </c>
      <c r="AT692" s="25">
        <f t="shared" si="107"/>
        <v>0</v>
      </c>
    </row>
    <row r="693" spans="1:46">
      <c r="A693" s="24">
        <v>46132</v>
      </c>
      <c r="B693" s="23">
        <f t="shared" si="100"/>
        <v>46113</v>
      </c>
      <c r="C693" s="2" t="s">
        <v>63</v>
      </c>
      <c r="D693" s="2" t="s">
        <v>277</v>
      </c>
      <c r="E693" s="2">
        <v>3250</v>
      </c>
      <c r="F693" s="2">
        <v>65</v>
      </c>
      <c r="G693" s="2">
        <f t="shared" si="108"/>
        <v>20</v>
      </c>
      <c r="H693" s="2">
        <f t="shared" si="109"/>
        <v>19</v>
      </c>
      <c r="I693" s="2">
        <v>1</v>
      </c>
      <c r="J693" s="44" t="s">
        <v>48</v>
      </c>
      <c r="K693" s="2" t="s">
        <v>49</v>
      </c>
      <c r="L693" s="2">
        <v>1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/>
      <c r="AM693" s="2" t="s">
        <v>99</v>
      </c>
      <c r="AN693" s="2">
        <f t="shared" si="101"/>
        <v>1</v>
      </c>
      <c r="AO693" s="2">
        <f t="shared" si="102"/>
        <v>0</v>
      </c>
      <c r="AP693" s="2">
        <f t="shared" si="103"/>
        <v>0</v>
      </c>
      <c r="AQ693" s="2">
        <f t="shared" si="104"/>
        <v>0</v>
      </c>
      <c r="AR693" s="2">
        <f t="shared" si="105"/>
        <v>0</v>
      </c>
      <c r="AS693" s="2">
        <f t="shared" si="106"/>
        <v>0</v>
      </c>
      <c r="AT693" s="25">
        <f t="shared" si="107"/>
        <v>0</v>
      </c>
    </row>
    <row r="694" spans="1:46">
      <c r="A694" s="24">
        <v>46132</v>
      </c>
      <c r="B694" s="23">
        <f t="shared" si="100"/>
        <v>46113</v>
      </c>
      <c r="C694" s="2" t="s">
        <v>63</v>
      </c>
      <c r="D694" s="2" t="s">
        <v>148</v>
      </c>
      <c r="E694" s="2">
        <v>77031</v>
      </c>
      <c r="F694" s="2">
        <v>135</v>
      </c>
      <c r="G694" s="2">
        <f t="shared" si="108"/>
        <v>20</v>
      </c>
      <c r="H694" s="2">
        <f t="shared" si="109"/>
        <v>20</v>
      </c>
      <c r="I694" s="2">
        <v>0</v>
      </c>
      <c r="J694" s="44" t="s">
        <v>48</v>
      </c>
      <c r="K694" s="2" t="s">
        <v>49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/>
      <c r="AM694" s="2" t="s">
        <v>99</v>
      </c>
      <c r="AN694" s="2">
        <f t="shared" si="101"/>
        <v>0</v>
      </c>
      <c r="AO694" s="2">
        <f t="shared" si="102"/>
        <v>0</v>
      </c>
      <c r="AP694" s="2">
        <f t="shared" si="103"/>
        <v>0</v>
      </c>
      <c r="AQ694" s="2">
        <f t="shared" si="104"/>
        <v>0</v>
      </c>
      <c r="AR694" s="2">
        <f t="shared" si="105"/>
        <v>0</v>
      </c>
      <c r="AS694" s="2">
        <f t="shared" si="106"/>
        <v>0</v>
      </c>
      <c r="AT694" s="25">
        <f t="shared" si="107"/>
        <v>0</v>
      </c>
    </row>
    <row r="695" spans="1:46">
      <c r="A695" s="24">
        <v>46132</v>
      </c>
      <c r="B695" s="23">
        <f t="shared" si="100"/>
        <v>46113</v>
      </c>
      <c r="C695" s="2" t="s">
        <v>63</v>
      </c>
      <c r="D695" s="2" t="s">
        <v>113</v>
      </c>
      <c r="E695" s="2">
        <v>2598</v>
      </c>
      <c r="F695" s="2">
        <v>76</v>
      </c>
      <c r="G695" s="2">
        <f t="shared" si="108"/>
        <v>20</v>
      </c>
      <c r="H695" s="2">
        <f t="shared" si="109"/>
        <v>20</v>
      </c>
      <c r="I695" s="2">
        <v>0</v>
      </c>
      <c r="J695" s="44" t="s">
        <v>48</v>
      </c>
      <c r="K695" s="2" t="s">
        <v>49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/>
      <c r="AM695" s="2" t="s">
        <v>99</v>
      </c>
      <c r="AN695" s="2">
        <f t="shared" si="101"/>
        <v>0</v>
      </c>
      <c r="AO695" s="2">
        <f t="shared" si="102"/>
        <v>0</v>
      </c>
      <c r="AP695" s="2">
        <f t="shared" si="103"/>
        <v>0</v>
      </c>
      <c r="AQ695" s="2">
        <f t="shared" si="104"/>
        <v>0</v>
      </c>
      <c r="AR695" s="2">
        <f t="shared" si="105"/>
        <v>0</v>
      </c>
      <c r="AS695" s="2">
        <f t="shared" si="106"/>
        <v>0</v>
      </c>
      <c r="AT695" s="25">
        <f t="shared" si="107"/>
        <v>0</v>
      </c>
    </row>
    <row r="696" spans="1:46">
      <c r="A696" s="24">
        <v>46132</v>
      </c>
      <c r="B696" s="23">
        <f t="shared" si="100"/>
        <v>46113</v>
      </c>
      <c r="C696" s="2" t="s">
        <v>63</v>
      </c>
      <c r="D696" s="2" t="s">
        <v>105</v>
      </c>
      <c r="E696" s="2">
        <v>3291</v>
      </c>
      <c r="F696" s="2">
        <v>108</v>
      </c>
      <c r="G696" s="2">
        <f t="shared" si="108"/>
        <v>20</v>
      </c>
      <c r="H696" s="2">
        <f t="shared" si="109"/>
        <v>18</v>
      </c>
      <c r="I696" s="2">
        <v>2</v>
      </c>
      <c r="J696" s="44" t="s">
        <v>67</v>
      </c>
      <c r="K696" s="2" t="s">
        <v>49</v>
      </c>
      <c r="L696" s="2">
        <v>1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1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/>
      <c r="AM696" s="2" t="s">
        <v>99</v>
      </c>
      <c r="AN696" s="2">
        <f t="shared" si="101"/>
        <v>1</v>
      </c>
      <c r="AO696" s="2">
        <f t="shared" si="102"/>
        <v>0</v>
      </c>
      <c r="AP696" s="2">
        <f t="shared" si="103"/>
        <v>1</v>
      </c>
      <c r="AQ696" s="2">
        <f t="shared" si="104"/>
        <v>0</v>
      </c>
      <c r="AR696" s="2">
        <f t="shared" si="105"/>
        <v>0</v>
      </c>
      <c r="AS696" s="2">
        <f t="shared" si="106"/>
        <v>0</v>
      </c>
      <c r="AT696" s="25">
        <f t="shared" si="107"/>
        <v>0</v>
      </c>
    </row>
    <row r="697" spans="1:46">
      <c r="A697" s="24">
        <v>46132</v>
      </c>
      <c r="B697" s="23">
        <f t="shared" si="100"/>
        <v>46113</v>
      </c>
      <c r="C697" s="2" t="s">
        <v>62</v>
      </c>
      <c r="D697" s="2" t="s">
        <v>194</v>
      </c>
      <c r="E697" s="2">
        <v>3305</v>
      </c>
      <c r="F697" s="2">
        <v>84</v>
      </c>
      <c r="G697" s="2">
        <f t="shared" si="108"/>
        <v>20</v>
      </c>
      <c r="H697" s="2">
        <f t="shared" si="109"/>
        <v>19</v>
      </c>
      <c r="I697" s="2">
        <v>1</v>
      </c>
      <c r="J697" s="44" t="s">
        <v>48</v>
      </c>
      <c r="K697" s="2" t="s">
        <v>49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1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/>
      <c r="AM697" s="2" t="s">
        <v>99</v>
      </c>
      <c r="AN697" s="2">
        <f t="shared" si="101"/>
        <v>0</v>
      </c>
      <c r="AO697" s="2">
        <f t="shared" si="102"/>
        <v>1</v>
      </c>
      <c r="AP697" s="2">
        <f t="shared" si="103"/>
        <v>0</v>
      </c>
      <c r="AQ697" s="2">
        <f t="shared" si="104"/>
        <v>0</v>
      </c>
      <c r="AR697" s="2">
        <f t="shared" si="105"/>
        <v>0</v>
      </c>
      <c r="AS697" s="2">
        <f t="shared" si="106"/>
        <v>0</v>
      </c>
      <c r="AT697" s="25">
        <f t="shared" si="107"/>
        <v>0</v>
      </c>
    </row>
    <row r="698" spans="1:46">
      <c r="A698" s="24">
        <v>46132</v>
      </c>
      <c r="B698" s="23">
        <f t="shared" si="100"/>
        <v>46113</v>
      </c>
      <c r="C698" s="2" t="s">
        <v>62</v>
      </c>
      <c r="D698" s="2" t="s">
        <v>130</v>
      </c>
      <c r="E698" s="2">
        <v>2656</v>
      </c>
      <c r="F698" s="2">
        <v>90</v>
      </c>
      <c r="G698" s="2">
        <f t="shared" si="108"/>
        <v>20</v>
      </c>
      <c r="H698" s="2">
        <f t="shared" si="109"/>
        <v>20</v>
      </c>
      <c r="I698" s="2">
        <v>0</v>
      </c>
      <c r="J698" s="44" t="s">
        <v>48</v>
      </c>
      <c r="K698" s="2" t="s">
        <v>49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/>
      <c r="AM698" s="2" t="s">
        <v>99</v>
      </c>
      <c r="AN698" s="2">
        <f t="shared" si="101"/>
        <v>0</v>
      </c>
      <c r="AO698" s="2">
        <f t="shared" si="102"/>
        <v>0</v>
      </c>
      <c r="AP698" s="2">
        <f t="shared" si="103"/>
        <v>0</v>
      </c>
      <c r="AQ698" s="2">
        <f t="shared" si="104"/>
        <v>0</v>
      </c>
      <c r="AR698" s="2">
        <f t="shared" si="105"/>
        <v>0</v>
      </c>
      <c r="AS698" s="2">
        <f t="shared" si="106"/>
        <v>0</v>
      </c>
      <c r="AT698" s="25">
        <f t="shared" si="107"/>
        <v>0</v>
      </c>
    </row>
    <row r="699" spans="1:46">
      <c r="A699" s="24">
        <v>46132</v>
      </c>
      <c r="B699" s="23">
        <f t="shared" si="100"/>
        <v>46113</v>
      </c>
      <c r="C699" s="2" t="s">
        <v>62</v>
      </c>
      <c r="D699" s="2" t="s">
        <v>276</v>
      </c>
      <c r="E699" s="2">
        <v>6284</v>
      </c>
      <c r="F699" s="2">
        <v>70</v>
      </c>
      <c r="G699" s="2">
        <f t="shared" si="108"/>
        <v>20</v>
      </c>
      <c r="H699" s="2">
        <f t="shared" si="109"/>
        <v>20</v>
      </c>
      <c r="I699" s="2">
        <v>0</v>
      </c>
      <c r="J699" s="44" t="s">
        <v>48</v>
      </c>
      <c r="K699" s="2" t="s">
        <v>49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/>
      <c r="AM699" s="2" t="s">
        <v>99</v>
      </c>
      <c r="AN699" s="2">
        <f t="shared" si="101"/>
        <v>0</v>
      </c>
      <c r="AO699" s="2">
        <f t="shared" si="102"/>
        <v>0</v>
      </c>
      <c r="AP699" s="2">
        <f t="shared" si="103"/>
        <v>0</v>
      </c>
      <c r="AQ699" s="2">
        <f t="shared" si="104"/>
        <v>0</v>
      </c>
      <c r="AR699" s="2">
        <f t="shared" si="105"/>
        <v>0</v>
      </c>
      <c r="AS699" s="2">
        <f t="shared" si="106"/>
        <v>0</v>
      </c>
      <c r="AT699" s="25">
        <f t="shared" si="107"/>
        <v>0</v>
      </c>
    </row>
    <row r="700" spans="1:46">
      <c r="A700" s="24">
        <v>46132</v>
      </c>
      <c r="B700" s="23">
        <f t="shared" si="100"/>
        <v>46113</v>
      </c>
      <c r="C700" s="2" t="s">
        <v>62</v>
      </c>
      <c r="D700" s="2" t="s">
        <v>410</v>
      </c>
      <c r="E700" s="2">
        <v>6284</v>
      </c>
      <c r="F700" s="2">
        <v>163</v>
      </c>
      <c r="G700" s="2">
        <f t="shared" si="108"/>
        <v>32</v>
      </c>
      <c r="H700" s="2">
        <f t="shared" si="109"/>
        <v>32</v>
      </c>
      <c r="I700" s="2">
        <v>0</v>
      </c>
      <c r="J700" s="44" t="s">
        <v>48</v>
      </c>
      <c r="K700" s="2" t="s">
        <v>49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/>
      <c r="AM700" s="2" t="s">
        <v>99</v>
      </c>
      <c r="AN700" s="2">
        <f t="shared" si="101"/>
        <v>0</v>
      </c>
      <c r="AO700" s="2">
        <f t="shared" si="102"/>
        <v>0</v>
      </c>
      <c r="AP700" s="2">
        <f t="shared" si="103"/>
        <v>0</v>
      </c>
      <c r="AQ700" s="2">
        <f t="shared" si="104"/>
        <v>0</v>
      </c>
      <c r="AR700" s="2">
        <f t="shared" si="105"/>
        <v>0</v>
      </c>
      <c r="AS700" s="2">
        <f t="shared" si="106"/>
        <v>0</v>
      </c>
      <c r="AT700" s="25">
        <f t="shared" si="107"/>
        <v>0</v>
      </c>
    </row>
    <row r="701" spans="1:46">
      <c r="A701" s="24">
        <v>46132</v>
      </c>
      <c r="B701" s="23">
        <f t="shared" si="100"/>
        <v>46113</v>
      </c>
      <c r="C701" s="2" t="s">
        <v>62</v>
      </c>
      <c r="D701" s="2" t="s">
        <v>145</v>
      </c>
      <c r="E701" s="2">
        <v>2656</v>
      </c>
      <c r="F701" s="2">
        <v>200</v>
      </c>
      <c r="G701" s="2">
        <f t="shared" si="108"/>
        <v>32</v>
      </c>
      <c r="H701" s="2">
        <f t="shared" si="109"/>
        <v>32</v>
      </c>
      <c r="I701" s="2">
        <v>0</v>
      </c>
      <c r="J701" s="44" t="s">
        <v>48</v>
      </c>
      <c r="K701" s="2" t="s">
        <v>49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/>
      <c r="AM701" s="2" t="s">
        <v>99</v>
      </c>
      <c r="AN701" s="2">
        <f t="shared" si="101"/>
        <v>0</v>
      </c>
      <c r="AO701" s="2">
        <f t="shared" si="102"/>
        <v>0</v>
      </c>
      <c r="AP701" s="2">
        <f t="shared" si="103"/>
        <v>0</v>
      </c>
      <c r="AQ701" s="2">
        <f t="shared" si="104"/>
        <v>0</v>
      </c>
      <c r="AR701" s="2">
        <f t="shared" si="105"/>
        <v>0</v>
      </c>
      <c r="AS701" s="2">
        <f t="shared" si="106"/>
        <v>0</v>
      </c>
      <c r="AT701" s="25">
        <f t="shared" si="107"/>
        <v>0</v>
      </c>
    </row>
    <row r="702" spans="1:46">
      <c r="A702" s="24">
        <v>46132</v>
      </c>
      <c r="B702" s="23">
        <f t="shared" si="100"/>
        <v>46113</v>
      </c>
      <c r="C702" s="2" t="s">
        <v>63</v>
      </c>
      <c r="D702" s="2" t="s">
        <v>105</v>
      </c>
      <c r="E702" s="2">
        <v>3291</v>
      </c>
      <c r="F702" s="2">
        <v>106</v>
      </c>
      <c r="G702" s="2">
        <f t="shared" si="108"/>
        <v>20</v>
      </c>
      <c r="H702" s="2">
        <f t="shared" si="109"/>
        <v>19</v>
      </c>
      <c r="I702" s="2">
        <v>1</v>
      </c>
      <c r="J702" s="44" t="s">
        <v>48</v>
      </c>
      <c r="K702" s="2" t="s">
        <v>49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1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/>
      <c r="AM702" s="2" t="s">
        <v>99</v>
      </c>
      <c r="AN702" s="2">
        <f t="shared" si="101"/>
        <v>0</v>
      </c>
      <c r="AO702" s="2">
        <f t="shared" si="102"/>
        <v>0</v>
      </c>
      <c r="AP702" s="2">
        <f t="shared" si="103"/>
        <v>1</v>
      </c>
      <c r="AQ702" s="2">
        <f t="shared" si="104"/>
        <v>0</v>
      </c>
      <c r="AR702" s="2">
        <f t="shared" si="105"/>
        <v>0</v>
      </c>
      <c r="AS702" s="2">
        <f t="shared" si="106"/>
        <v>0</v>
      </c>
      <c r="AT702" s="25">
        <f t="shared" si="107"/>
        <v>0</v>
      </c>
    </row>
    <row r="703" spans="1:46">
      <c r="A703" s="24">
        <v>46132</v>
      </c>
      <c r="B703" s="23">
        <f t="shared" si="100"/>
        <v>46113</v>
      </c>
      <c r="C703" s="2" t="s">
        <v>72</v>
      </c>
      <c r="D703" s="2" t="s">
        <v>211</v>
      </c>
      <c r="E703" s="2">
        <v>6265</v>
      </c>
      <c r="F703" s="2">
        <v>52</v>
      </c>
      <c r="G703" s="2">
        <f t="shared" si="108"/>
        <v>20</v>
      </c>
      <c r="H703" s="2">
        <f t="shared" si="109"/>
        <v>20</v>
      </c>
      <c r="I703" s="2">
        <v>0</v>
      </c>
      <c r="J703" s="44" t="s">
        <v>48</v>
      </c>
      <c r="K703" s="2" t="s">
        <v>49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/>
      <c r="AM703" s="2" t="s">
        <v>99</v>
      </c>
      <c r="AN703" s="2">
        <f t="shared" si="101"/>
        <v>0</v>
      </c>
      <c r="AO703" s="2">
        <f t="shared" si="102"/>
        <v>0</v>
      </c>
      <c r="AP703" s="2">
        <f t="shared" si="103"/>
        <v>0</v>
      </c>
      <c r="AQ703" s="2">
        <f t="shared" si="104"/>
        <v>0</v>
      </c>
      <c r="AR703" s="2">
        <f t="shared" si="105"/>
        <v>0</v>
      </c>
      <c r="AS703" s="2">
        <f t="shared" si="106"/>
        <v>0</v>
      </c>
      <c r="AT703" s="25">
        <f t="shared" si="107"/>
        <v>0</v>
      </c>
    </row>
    <row r="704" spans="1:46">
      <c r="A704" s="24">
        <v>46132</v>
      </c>
      <c r="B704" s="23">
        <f t="shared" si="100"/>
        <v>46113</v>
      </c>
      <c r="C704" s="2" t="s">
        <v>72</v>
      </c>
      <c r="D704" s="2" t="s">
        <v>211</v>
      </c>
      <c r="E704" s="2">
        <v>6265</v>
      </c>
      <c r="F704" s="2">
        <v>71</v>
      </c>
      <c r="G704" s="2">
        <f t="shared" si="108"/>
        <v>20</v>
      </c>
      <c r="H704" s="2">
        <f t="shared" si="109"/>
        <v>20</v>
      </c>
      <c r="I704" s="2">
        <v>0</v>
      </c>
      <c r="J704" s="44" t="s">
        <v>48</v>
      </c>
      <c r="K704" s="2" t="s">
        <v>49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/>
      <c r="AM704" s="2" t="s">
        <v>99</v>
      </c>
      <c r="AN704" s="2">
        <f t="shared" si="101"/>
        <v>0</v>
      </c>
      <c r="AO704" s="2">
        <f t="shared" si="102"/>
        <v>0</v>
      </c>
      <c r="AP704" s="2">
        <f t="shared" si="103"/>
        <v>0</v>
      </c>
      <c r="AQ704" s="2">
        <f t="shared" si="104"/>
        <v>0</v>
      </c>
      <c r="AR704" s="2">
        <f t="shared" si="105"/>
        <v>0</v>
      </c>
      <c r="AS704" s="2">
        <f t="shared" si="106"/>
        <v>0</v>
      </c>
      <c r="AT704" s="25">
        <f t="shared" si="107"/>
        <v>0</v>
      </c>
    </row>
    <row r="705" spans="1:46">
      <c r="A705" s="24">
        <v>46132</v>
      </c>
      <c r="B705" s="23">
        <f t="shared" si="100"/>
        <v>46113</v>
      </c>
      <c r="C705" s="2" t="s">
        <v>82</v>
      </c>
      <c r="D705" s="2" t="s">
        <v>206</v>
      </c>
      <c r="E705" s="2">
        <v>8141</v>
      </c>
      <c r="F705" s="2">
        <v>273</v>
      </c>
      <c r="G705" s="2">
        <f t="shared" si="108"/>
        <v>32</v>
      </c>
      <c r="H705" s="2">
        <f t="shared" si="109"/>
        <v>31</v>
      </c>
      <c r="I705" s="2">
        <v>1</v>
      </c>
      <c r="J705" s="44" t="s">
        <v>48</v>
      </c>
      <c r="K705" s="2" t="s">
        <v>49</v>
      </c>
      <c r="L705" s="2">
        <v>1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/>
      <c r="AM705" s="2" t="s">
        <v>93</v>
      </c>
      <c r="AN705" s="2">
        <f t="shared" si="101"/>
        <v>1</v>
      </c>
      <c r="AO705" s="2">
        <f t="shared" si="102"/>
        <v>0</v>
      </c>
      <c r="AP705" s="2">
        <f t="shared" si="103"/>
        <v>0</v>
      </c>
      <c r="AQ705" s="2">
        <f t="shared" si="104"/>
        <v>0</v>
      </c>
      <c r="AR705" s="2">
        <f t="shared" si="105"/>
        <v>0</v>
      </c>
      <c r="AS705" s="2">
        <f t="shared" si="106"/>
        <v>0</v>
      </c>
      <c r="AT705" s="25">
        <f t="shared" si="107"/>
        <v>0</v>
      </c>
    </row>
    <row r="706" spans="1:46">
      <c r="A706" s="24">
        <v>46132</v>
      </c>
      <c r="B706" s="23">
        <f t="shared" ref="B706:B769" si="110">EOMONTH(A706,-1)+1</f>
        <v>46113</v>
      </c>
      <c r="C706" s="2" t="s">
        <v>82</v>
      </c>
      <c r="D706" s="2" t="s">
        <v>116</v>
      </c>
      <c r="E706" s="2">
        <v>2678</v>
      </c>
      <c r="F706" s="2">
        <v>415</v>
      </c>
      <c r="G706" s="2">
        <f t="shared" si="108"/>
        <v>50</v>
      </c>
      <c r="H706" s="2">
        <f t="shared" si="109"/>
        <v>49</v>
      </c>
      <c r="I706" s="2">
        <v>1</v>
      </c>
      <c r="J706" s="44" t="s">
        <v>48</v>
      </c>
      <c r="K706" s="2" t="s">
        <v>49</v>
      </c>
      <c r="L706" s="2">
        <v>1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/>
      <c r="AM706" s="2" t="s">
        <v>93</v>
      </c>
      <c r="AN706" s="2">
        <f t="shared" ref="AN706:AN769" si="111">+L706+AI706</f>
        <v>1</v>
      </c>
      <c r="AO706" s="2">
        <f t="shared" ref="AO706:AO769" si="112">+M706+N706+O706+P706+Q706+R706+S706+T706+U706+V706</f>
        <v>0</v>
      </c>
      <c r="AP706" s="2">
        <f t="shared" ref="AP706:AP769" si="113">+AE706+AF706</f>
        <v>0</v>
      </c>
      <c r="AQ706" s="2">
        <f t="shared" ref="AQ706:AQ769" si="114">+AK706+AD706+AC706+AJ706</f>
        <v>0</v>
      </c>
      <c r="AR706" s="2">
        <f t="shared" ref="AR706:AR769" si="115">+W706+X706+Y706+Z706+AA706+AB706</f>
        <v>0</v>
      </c>
      <c r="AS706" s="2">
        <f t="shared" ref="AS706:AS769" si="116">+AG706</f>
        <v>0</v>
      </c>
      <c r="AT706" s="25">
        <f t="shared" ref="AT706:AT769" si="117">+AH706</f>
        <v>0</v>
      </c>
    </row>
    <row r="707" spans="1:46">
      <c r="A707" s="24">
        <v>46132</v>
      </c>
      <c r="B707" s="23">
        <f t="shared" si="110"/>
        <v>46113</v>
      </c>
      <c r="C707" s="2" t="s">
        <v>82</v>
      </c>
      <c r="D707" s="2" t="s">
        <v>1544</v>
      </c>
      <c r="E707" s="2">
        <v>6327</v>
      </c>
      <c r="F707" s="2">
        <v>59</v>
      </c>
      <c r="G707" s="2">
        <f t="shared" ref="G707:G770" si="118">IF(F707&lt;1001,IF(F707&gt;500,80,IF(F707&gt;280,50,IF(F707&gt;150,32,IF(F707&lt;51,F707,20)))),125)</f>
        <v>20</v>
      </c>
      <c r="H707" s="2">
        <f t="shared" ref="H707:H770" si="119">G707-I707</f>
        <v>19</v>
      </c>
      <c r="I707" s="2">
        <v>1</v>
      </c>
      <c r="J707" s="44" t="s">
        <v>48</v>
      </c>
      <c r="K707" s="2" t="s">
        <v>49</v>
      </c>
      <c r="L707" s="2">
        <v>1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/>
      <c r="AM707" s="2" t="s">
        <v>93</v>
      </c>
      <c r="AN707" s="2">
        <f t="shared" si="111"/>
        <v>1</v>
      </c>
      <c r="AO707" s="2">
        <f t="shared" si="112"/>
        <v>0</v>
      </c>
      <c r="AP707" s="2">
        <f t="shared" si="113"/>
        <v>0</v>
      </c>
      <c r="AQ707" s="2">
        <f t="shared" si="114"/>
        <v>0</v>
      </c>
      <c r="AR707" s="2">
        <f t="shared" si="115"/>
        <v>0</v>
      </c>
      <c r="AS707" s="2">
        <f t="shared" si="116"/>
        <v>0</v>
      </c>
      <c r="AT707" s="25">
        <f t="shared" si="117"/>
        <v>0</v>
      </c>
    </row>
    <row r="708" spans="1:46">
      <c r="A708" s="24">
        <v>46132</v>
      </c>
      <c r="B708" s="23">
        <f t="shared" si="110"/>
        <v>46113</v>
      </c>
      <c r="C708" s="2" t="s">
        <v>160</v>
      </c>
      <c r="D708" s="2" t="s">
        <v>162</v>
      </c>
      <c r="E708" s="2">
        <v>3227</v>
      </c>
      <c r="F708" s="2">
        <v>480</v>
      </c>
      <c r="G708" s="2">
        <f t="shared" si="118"/>
        <v>50</v>
      </c>
      <c r="H708" s="2">
        <f t="shared" si="119"/>
        <v>50</v>
      </c>
      <c r="I708" s="2">
        <v>0</v>
      </c>
      <c r="J708" s="44" t="s">
        <v>48</v>
      </c>
      <c r="K708" s="2" t="s">
        <v>49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/>
      <c r="AM708" s="2" t="s">
        <v>93</v>
      </c>
      <c r="AN708" s="2">
        <f t="shared" si="111"/>
        <v>0</v>
      </c>
      <c r="AO708" s="2">
        <f t="shared" si="112"/>
        <v>0</v>
      </c>
      <c r="AP708" s="2">
        <f t="shared" si="113"/>
        <v>0</v>
      </c>
      <c r="AQ708" s="2">
        <f t="shared" si="114"/>
        <v>0</v>
      </c>
      <c r="AR708" s="2">
        <f t="shared" si="115"/>
        <v>0</v>
      </c>
      <c r="AS708" s="2">
        <f t="shared" si="116"/>
        <v>0</v>
      </c>
      <c r="AT708" s="25">
        <f t="shared" si="117"/>
        <v>0</v>
      </c>
    </row>
    <row r="709" spans="1:46">
      <c r="A709" s="24">
        <v>46132</v>
      </c>
      <c r="B709" s="23">
        <f t="shared" si="110"/>
        <v>46113</v>
      </c>
      <c r="C709" s="2" t="s">
        <v>160</v>
      </c>
      <c r="D709" s="2" t="s">
        <v>98</v>
      </c>
      <c r="E709" s="2">
        <v>6172</v>
      </c>
      <c r="F709" s="2">
        <v>97</v>
      </c>
      <c r="G709" s="2">
        <f t="shared" si="118"/>
        <v>20</v>
      </c>
      <c r="H709" s="2">
        <f t="shared" si="119"/>
        <v>20</v>
      </c>
      <c r="I709" s="2">
        <v>0</v>
      </c>
      <c r="J709" s="44" t="s">
        <v>48</v>
      </c>
      <c r="K709" s="2" t="s">
        <v>49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/>
      <c r="AM709" s="2" t="s">
        <v>93</v>
      </c>
      <c r="AN709" s="2">
        <f t="shared" si="111"/>
        <v>0</v>
      </c>
      <c r="AO709" s="2">
        <f t="shared" si="112"/>
        <v>0</v>
      </c>
      <c r="AP709" s="2">
        <f t="shared" si="113"/>
        <v>0</v>
      </c>
      <c r="AQ709" s="2">
        <f t="shared" si="114"/>
        <v>0</v>
      </c>
      <c r="AR709" s="2">
        <f t="shared" si="115"/>
        <v>0</v>
      </c>
      <c r="AS709" s="2">
        <f t="shared" si="116"/>
        <v>0</v>
      </c>
      <c r="AT709" s="25">
        <f t="shared" si="117"/>
        <v>0</v>
      </c>
    </row>
    <row r="710" spans="1:46">
      <c r="A710" s="24">
        <v>46132</v>
      </c>
      <c r="B710" s="23">
        <f t="shared" si="110"/>
        <v>46113</v>
      </c>
      <c r="C710" s="2" t="s">
        <v>82</v>
      </c>
      <c r="D710" s="2" t="s">
        <v>90</v>
      </c>
      <c r="E710" s="2">
        <v>8141</v>
      </c>
      <c r="F710" s="2">
        <v>175</v>
      </c>
      <c r="G710" s="2">
        <f t="shared" si="118"/>
        <v>32</v>
      </c>
      <c r="H710" s="2">
        <f t="shared" si="119"/>
        <v>32</v>
      </c>
      <c r="I710" s="2">
        <v>0</v>
      </c>
      <c r="J710" s="44" t="s">
        <v>48</v>
      </c>
      <c r="K710" s="2" t="s">
        <v>49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/>
      <c r="AM710" s="2" t="s">
        <v>93</v>
      </c>
      <c r="AN710" s="2">
        <f t="shared" si="111"/>
        <v>0</v>
      </c>
      <c r="AO710" s="2">
        <f t="shared" si="112"/>
        <v>0</v>
      </c>
      <c r="AP710" s="2">
        <f t="shared" si="113"/>
        <v>0</v>
      </c>
      <c r="AQ710" s="2">
        <f t="shared" si="114"/>
        <v>0</v>
      </c>
      <c r="AR710" s="2">
        <f t="shared" si="115"/>
        <v>0</v>
      </c>
      <c r="AS710" s="2">
        <f t="shared" si="116"/>
        <v>0</v>
      </c>
      <c r="AT710" s="25">
        <f t="shared" si="117"/>
        <v>0</v>
      </c>
    </row>
    <row r="711" spans="1:46">
      <c r="A711" s="24">
        <v>46132</v>
      </c>
      <c r="B711" s="23">
        <f t="shared" si="110"/>
        <v>46113</v>
      </c>
      <c r="C711" s="2" t="s">
        <v>82</v>
      </c>
      <c r="D711" s="2" t="s">
        <v>1544</v>
      </c>
      <c r="E711" s="2">
        <v>6327</v>
      </c>
      <c r="F711" s="2">
        <v>410</v>
      </c>
      <c r="G711" s="2">
        <f t="shared" si="118"/>
        <v>50</v>
      </c>
      <c r="H711" s="2">
        <f t="shared" si="119"/>
        <v>50</v>
      </c>
      <c r="I711" s="2">
        <v>0</v>
      </c>
      <c r="J711" s="44" t="s">
        <v>48</v>
      </c>
      <c r="K711" s="2" t="s">
        <v>49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/>
      <c r="AM711" s="2" t="s">
        <v>93</v>
      </c>
      <c r="AN711" s="2">
        <f t="shared" si="111"/>
        <v>0</v>
      </c>
      <c r="AO711" s="2">
        <f t="shared" si="112"/>
        <v>0</v>
      </c>
      <c r="AP711" s="2">
        <f t="shared" si="113"/>
        <v>0</v>
      </c>
      <c r="AQ711" s="2">
        <f t="shared" si="114"/>
        <v>0</v>
      </c>
      <c r="AR711" s="2">
        <f t="shared" si="115"/>
        <v>0</v>
      </c>
      <c r="AS711" s="2">
        <f t="shared" si="116"/>
        <v>0</v>
      </c>
      <c r="AT711" s="25">
        <f t="shared" si="117"/>
        <v>0</v>
      </c>
    </row>
    <row r="712" spans="1:46">
      <c r="A712" s="24">
        <v>46132</v>
      </c>
      <c r="B712" s="23">
        <f t="shared" si="110"/>
        <v>46113</v>
      </c>
      <c r="C712" s="2" t="s">
        <v>160</v>
      </c>
      <c r="D712" s="2" t="s">
        <v>380</v>
      </c>
      <c r="E712" s="2">
        <v>6306</v>
      </c>
      <c r="F712" s="2">
        <v>75</v>
      </c>
      <c r="G712" s="2">
        <f t="shared" si="118"/>
        <v>20</v>
      </c>
      <c r="H712" s="2">
        <f t="shared" si="119"/>
        <v>19</v>
      </c>
      <c r="I712" s="2">
        <v>1</v>
      </c>
      <c r="J712" s="44" t="s">
        <v>48</v>
      </c>
      <c r="K712" s="2" t="s">
        <v>49</v>
      </c>
      <c r="L712" s="2">
        <v>1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/>
      <c r="AM712" s="2" t="s">
        <v>93</v>
      </c>
      <c r="AN712" s="2">
        <f t="shared" si="111"/>
        <v>1</v>
      </c>
      <c r="AO712" s="2">
        <f t="shared" si="112"/>
        <v>0</v>
      </c>
      <c r="AP712" s="2">
        <f t="shared" si="113"/>
        <v>0</v>
      </c>
      <c r="AQ712" s="2">
        <f t="shared" si="114"/>
        <v>0</v>
      </c>
      <c r="AR712" s="2">
        <f t="shared" si="115"/>
        <v>0</v>
      </c>
      <c r="AS712" s="2">
        <f t="shared" si="116"/>
        <v>0</v>
      </c>
      <c r="AT712" s="25">
        <f t="shared" si="117"/>
        <v>0</v>
      </c>
    </row>
    <row r="713" spans="1:46">
      <c r="A713" s="24">
        <v>46132</v>
      </c>
      <c r="B713" s="23">
        <f t="shared" si="110"/>
        <v>46113</v>
      </c>
      <c r="C713" s="2" t="s">
        <v>160</v>
      </c>
      <c r="D713" s="2" t="s">
        <v>308</v>
      </c>
      <c r="E713" s="2">
        <v>6117</v>
      </c>
      <c r="F713" s="2">
        <v>112</v>
      </c>
      <c r="G713" s="2">
        <f t="shared" si="118"/>
        <v>20</v>
      </c>
      <c r="H713" s="2">
        <f t="shared" si="119"/>
        <v>20</v>
      </c>
      <c r="I713" s="2">
        <v>0</v>
      </c>
      <c r="J713" s="44" t="s">
        <v>48</v>
      </c>
      <c r="K713" s="2" t="s">
        <v>49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/>
      <c r="AM713" s="2" t="s">
        <v>93</v>
      </c>
      <c r="AN713" s="2">
        <f t="shared" si="111"/>
        <v>0</v>
      </c>
      <c r="AO713" s="2">
        <f t="shared" si="112"/>
        <v>0</v>
      </c>
      <c r="AP713" s="2">
        <f t="shared" si="113"/>
        <v>0</v>
      </c>
      <c r="AQ713" s="2">
        <f t="shared" si="114"/>
        <v>0</v>
      </c>
      <c r="AR713" s="2">
        <f t="shared" si="115"/>
        <v>0</v>
      </c>
      <c r="AS713" s="2">
        <f t="shared" si="116"/>
        <v>0</v>
      </c>
      <c r="AT713" s="25">
        <f t="shared" si="117"/>
        <v>0</v>
      </c>
    </row>
    <row r="714" spans="1:46">
      <c r="A714" s="24">
        <v>46132</v>
      </c>
      <c r="B714" s="23">
        <f t="shared" si="110"/>
        <v>46113</v>
      </c>
      <c r="C714" s="2" t="s">
        <v>66</v>
      </c>
      <c r="D714" s="2" t="s">
        <v>167</v>
      </c>
      <c r="E714" s="2">
        <v>2638</v>
      </c>
      <c r="F714" s="2">
        <v>146</v>
      </c>
      <c r="G714" s="2">
        <f t="shared" si="118"/>
        <v>20</v>
      </c>
      <c r="H714" s="2">
        <f t="shared" si="119"/>
        <v>20</v>
      </c>
      <c r="I714" s="2">
        <v>0</v>
      </c>
      <c r="J714" s="44" t="s">
        <v>48</v>
      </c>
      <c r="K714" s="2" t="s">
        <v>49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/>
      <c r="AM714" s="2" t="s">
        <v>110</v>
      </c>
      <c r="AN714" s="2">
        <f t="shared" si="111"/>
        <v>0</v>
      </c>
      <c r="AO714" s="2">
        <f t="shared" si="112"/>
        <v>0</v>
      </c>
      <c r="AP714" s="2">
        <f t="shared" si="113"/>
        <v>0</v>
      </c>
      <c r="AQ714" s="2">
        <f t="shared" si="114"/>
        <v>0</v>
      </c>
      <c r="AR714" s="2">
        <f t="shared" si="115"/>
        <v>0</v>
      </c>
      <c r="AS714" s="2">
        <f t="shared" si="116"/>
        <v>0</v>
      </c>
      <c r="AT714" s="25">
        <f t="shared" si="117"/>
        <v>0</v>
      </c>
    </row>
    <row r="715" spans="1:46">
      <c r="A715" s="24">
        <v>46132</v>
      </c>
      <c r="B715" s="23">
        <f t="shared" si="110"/>
        <v>46113</v>
      </c>
      <c r="C715" s="2" t="s">
        <v>66</v>
      </c>
      <c r="D715" s="2" t="s">
        <v>312</v>
      </c>
      <c r="E715" s="2">
        <v>2345</v>
      </c>
      <c r="F715" s="2">
        <v>115</v>
      </c>
      <c r="G715" s="2">
        <f t="shared" si="118"/>
        <v>20</v>
      </c>
      <c r="H715" s="2">
        <f t="shared" si="119"/>
        <v>20</v>
      </c>
      <c r="I715" s="2">
        <v>0</v>
      </c>
      <c r="J715" s="44" t="s">
        <v>48</v>
      </c>
      <c r="K715" s="2" t="s">
        <v>49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/>
      <c r="AM715" s="2" t="s">
        <v>110</v>
      </c>
      <c r="AN715" s="2">
        <f t="shared" si="111"/>
        <v>0</v>
      </c>
      <c r="AO715" s="2">
        <f t="shared" si="112"/>
        <v>0</v>
      </c>
      <c r="AP715" s="2">
        <f t="shared" si="113"/>
        <v>0</v>
      </c>
      <c r="AQ715" s="2">
        <f t="shared" si="114"/>
        <v>0</v>
      </c>
      <c r="AR715" s="2">
        <f t="shared" si="115"/>
        <v>0</v>
      </c>
      <c r="AS715" s="2">
        <f t="shared" si="116"/>
        <v>0</v>
      </c>
      <c r="AT715" s="25">
        <f t="shared" si="117"/>
        <v>0</v>
      </c>
    </row>
    <row r="716" spans="1:46">
      <c r="A716" s="24">
        <v>46132</v>
      </c>
      <c r="B716" s="23">
        <f t="shared" si="110"/>
        <v>46113</v>
      </c>
      <c r="C716" s="2" t="s">
        <v>66</v>
      </c>
      <c r="D716" s="2" t="s">
        <v>415</v>
      </c>
      <c r="E716" s="2">
        <v>9264</v>
      </c>
      <c r="F716" s="2">
        <v>411</v>
      </c>
      <c r="G716" s="2">
        <f t="shared" si="118"/>
        <v>50</v>
      </c>
      <c r="H716" s="2">
        <f t="shared" si="119"/>
        <v>50</v>
      </c>
      <c r="I716" s="2">
        <v>0</v>
      </c>
      <c r="J716" s="44" t="s">
        <v>48</v>
      </c>
      <c r="K716" s="2" t="s">
        <v>49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/>
      <c r="AM716" s="2" t="s">
        <v>110</v>
      </c>
      <c r="AN716" s="2">
        <f t="shared" si="111"/>
        <v>0</v>
      </c>
      <c r="AO716" s="2">
        <f t="shared" si="112"/>
        <v>0</v>
      </c>
      <c r="AP716" s="2">
        <f t="shared" si="113"/>
        <v>0</v>
      </c>
      <c r="AQ716" s="2">
        <f t="shared" si="114"/>
        <v>0</v>
      </c>
      <c r="AR716" s="2">
        <f t="shared" si="115"/>
        <v>0</v>
      </c>
      <c r="AS716" s="2">
        <f t="shared" si="116"/>
        <v>0</v>
      </c>
      <c r="AT716" s="25">
        <f t="shared" si="117"/>
        <v>0</v>
      </c>
    </row>
    <row r="717" spans="1:46">
      <c r="A717" s="24">
        <v>46132</v>
      </c>
      <c r="B717" s="23">
        <f t="shared" si="110"/>
        <v>46113</v>
      </c>
      <c r="C717" s="2" t="s">
        <v>66</v>
      </c>
      <c r="D717" s="2" t="s">
        <v>69</v>
      </c>
      <c r="E717" s="2">
        <v>6210</v>
      </c>
      <c r="F717" s="2">
        <v>72</v>
      </c>
      <c r="G717" s="2">
        <f t="shared" si="118"/>
        <v>20</v>
      </c>
      <c r="H717" s="2">
        <f t="shared" si="119"/>
        <v>19</v>
      </c>
      <c r="I717" s="2">
        <v>1</v>
      </c>
      <c r="J717" s="44" t="s">
        <v>48</v>
      </c>
      <c r="K717" s="2" t="s">
        <v>49</v>
      </c>
      <c r="L717" s="2">
        <v>1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/>
      <c r="AM717" s="2" t="s">
        <v>110</v>
      </c>
      <c r="AN717" s="2">
        <f t="shared" si="111"/>
        <v>1</v>
      </c>
      <c r="AO717" s="2">
        <f t="shared" si="112"/>
        <v>0</v>
      </c>
      <c r="AP717" s="2">
        <f t="shared" si="113"/>
        <v>0</v>
      </c>
      <c r="AQ717" s="2">
        <f t="shared" si="114"/>
        <v>0</v>
      </c>
      <c r="AR717" s="2">
        <f t="shared" si="115"/>
        <v>0</v>
      </c>
      <c r="AS717" s="2">
        <f t="shared" si="116"/>
        <v>0</v>
      </c>
      <c r="AT717" s="25">
        <f t="shared" si="117"/>
        <v>0</v>
      </c>
    </row>
    <row r="718" spans="1:46">
      <c r="A718" s="24">
        <v>46132</v>
      </c>
      <c r="B718" s="23">
        <f t="shared" si="110"/>
        <v>46113</v>
      </c>
      <c r="C718" s="2" t="s">
        <v>66</v>
      </c>
      <c r="D718" s="2" t="s">
        <v>230</v>
      </c>
      <c r="E718" s="2">
        <v>2131</v>
      </c>
      <c r="F718" s="2">
        <v>88</v>
      </c>
      <c r="G718" s="2">
        <f t="shared" si="118"/>
        <v>20</v>
      </c>
      <c r="H718" s="2">
        <f t="shared" si="119"/>
        <v>20</v>
      </c>
      <c r="I718" s="2">
        <v>0</v>
      </c>
      <c r="J718" s="44" t="s">
        <v>48</v>
      </c>
      <c r="K718" s="2" t="s">
        <v>49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/>
      <c r="AM718" s="2" t="s">
        <v>110</v>
      </c>
      <c r="AN718" s="2">
        <f t="shared" si="111"/>
        <v>0</v>
      </c>
      <c r="AO718" s="2">
        <f t="shared" si="112"/>
        <v>0</v>
      </c>
      <c r="AP718" s="2">
        <f t="shared" si="113"/>
        <v>0</v>
      </c>
      <c r="AQ718" s="2">
        <f t="shared" si="114"/>
        <v>0</v>
      </c>
      <c r="AR718" s="2">
        <f t="shared" si="115"/>
        <v>0</v>
      </c>
      <c r="AS718" s="2">
        <f t="shared" si="116"/>
        <v>0</v>
      </c>
      <c r="AT718" s="25">
        <f t="shared" si="117"/>
        <v>0</v>
      </c>
    </row>
    <row r="719" spans="1:46">
      <c r="A719" s="24">
        <v>46132</v>
      </c>
      <c r="B719" s="23">
        <f t="shared" si="110"/>
        <v>46113</v>
      </c>
      <c r="C719" s="2" t="s">
        <v>66</v>
      </c>
      <c r="D719" s="2" t="s">
        <v>401</v>
      </c>
      <c r="E719" s="2">
        <v>1650</v>
      </c>
      <c r="F719" s="2">
        <v>204</v>
      </c>
      <c r="G719" s="2">
        <f t="shared" si="118"/>
        <v>32</v>
      </c>
      <c r="H719" s="2">
        <f t="shared" si="119"/>
        <v>31</v>
      </c>
      <c r="I719" s="2">
        <v>1</v>
      </c>
      <c r="J719" s="44" t="s">
        <v>48</v>
      </c>
      <c r="K719" s="2" t="s">
        <v>49</v>
      </c>
      <c r="L719" s="2">
        <v>1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/>
      <c r="AM719" s="2" t="s">
        <v>110</v>
      </c>
      <c r="AN719" s="2">
        <f t="shared" si="111"/>
        <v>1</v>
      </c>
      <c r="AO719" s="2">
        <f t="shared" si="112"/>
        <v>0</v>
      </c>
      <c r="AP719" s="2">
        <f t="shared" si="113"/>
        <v>0</v>
      </c>
      <c r="AQ719" s="2">
        <f t="shared" si="114"/>
        <v>0</v>
      </c>
      <c r="AR719" s="2">
        <f t="shared" si="115"/>
        <v>0</v>
      </c>
      <c r="AS719" s="2">
        <f t="shared" si="116"/>
        <v>0</v>
      </c>
      <c r="AT719" s="25">
        <f t="shared" si="117"/>
        <v>0</v>
      </c>
    </row>
    <row r="720" spans="1:46">
      <c r="A720" s="24">
        <v>46132</v>
      </c>
      <c r="B720" s="23">
        <f t="shared" si="110"/>
        <v>46113</v>
      </c>
      <c r="C720" s="2" t="s">
        <v>66</v>
      </c>
      <c r="D720" s="2" t="s">
        <v>420</v>
      </c>
      <c r="E720" s="2">
        <v>3247</v>
      </c>
      <c r="F720" s="2">
        <v>500</v>
      </c>
      <c r="G720" s="2">
        <f t="shared" si="118"/>
        <v>50</v>
      </c>
      <c r="H720" s="2">
        <f t="shared" si="119"/>
        <v>50</v>
      </c>
      <c r="I720" s="2">
        <v>0</v>
      </c>
      <c r="J720" s="44" t="s">
        <v>48</v>
      </c>
      <c r="K720" s="2" t="s">
        <v>49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/>
      <c r="AM720" s="2" t="s">
        <v>110</v>
      </c>
      <c r="AN720" s="2">
        <f t="shared" si="111"/>
        <v>0</v>
      </c>
      <c r="AO720" s="2">
        <f t="shared" si="112"/>
        <v>0</v>
      </c>
      <c r="AP720" s="2">
        <f t="shared" si="113"/>
        <v>0</v>
      </c>
      <c r="AQ720" s="2">
        <f t="shared" si="114"/>
        <v>0</v>
      </c>
      <c r="AR720" s="2">
        <f t="shared" si="115"/>
        <v>0</v>
      </c>
      <c r="AS720" s="2">
        <f t="shared" si="116"/>
        <v>0</v>
      </c>
      <c r="AT720" s="25">
        <f t="shared" si="117"/>
        <v>0</v>
      </c>
    </row>
    <row r="721" spans="1:46">
      <c r="A721" s="24">
        <v>46132</v>
      </c>
      <c r="B721" s="23">
        <f t="shared" si="110"/>
        <v>46113</v>
      </c>
      <c r="C721" s="2" t="s">
        <v>66</v>
      </c>
      <c r="D721" s="2" t="s">
        <v>184</v>
      </c>
      <c r="E721" s="2">
        <v>3317</v>
      </c>
      <c r="F721" s="2">
        <v>195</v>
      </c>
      <c r="G721" s="2">
        <f t="shared" si="118"/>
        <v>32</v>
      </c>
      <c r="H721" s="2">
        <f t="shared" si="119"/>
        <v>29</v>
      </c>
      <c r="I721" s="2">
        <v>3</v>
      </c>
      <c r="J721" s="44" t="s">
        <v>67</v>
      </c>
      <c r="K721" s="2" t="s">
        <v>49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3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/>
      <c r="AM721" s="2" t="s">
        <v>110</v>
      </c>
      <c r="AN721" s="2">
        <f t="shared" si="111"/>
        <v>0</v>
      </c>
      <c r="AO721" s="2">
        <f t="shared" si="112"/>
        <v>3</v>
      </c>
      <c r="AP721" s="2">
        <f t="shared" si="113"/>
        <v>0</v>
      </c>
      <c r="AQ721" s="2">
        <f t="shared" si="114"/>
        <v>0</v>
      </c>
      <c r="AR721" s="2">
        <f t="shared" si="115"/>
        <v>0</v>
      </c>
      <c r="AS721" s="2">
        <f t="shared" si="116"/>
        <v>0</v>
      </c>
      <c r="AT721" s="25">
        <f t="shared" si="117"/>
        <v>0</v>
      </c>
    </row>
    <row r="722" spans="1:46">
      <c r="A722" s="24">
        <v>46132</v>
      </c>
      <c r="B722" s="23">
        <f t="shared" si="110"/>
        <v>46113</v>
      </c>
      <c r="C722" s="2" t="s">
        <v>66</v>
      </c>
      <c r="D722" s="2" t="s">
        <v>184</v>
      </c>
      <c r="E722" s="2">
        <v>3317</v>
      </c>
      <c r="F722" s="2">
        <v>150</v>
      </c>
      <c r="G722" s="2">
        <f t="shared" si="118"/>
        <v>20</v>
      </c>
      <c r="H722" s="2">
        <f t="shared" si="119"/>
        <v>18</v>
      </c>
      <c r="I722" s="2">
        <v>2</v>
      </c>
      <c r="J722" s="44" t="s">
        <v>67</v>
      </c>
      <c r="K722" s="2" t="s">
        <v>49</v>
      </c>
      <c r="L722" s="2">
        <v>1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1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/>
      <c r="AM722" s="2" t="s">
        <v>110</v>
      </c>
      <c r="AN722" s="2">
        <f t="shared" si="111"/>
        <v>1</v>
      </c>
      <c r="AO722" s="2">
        <f t="shared" si="112"/>
        <v>1</v>
      </c>
      <c r="AP722" s="2">
        <f t="shared" si="113"/>
        <v>0</v>
      </c>
      <c r="AQ722" s="2">
        <f t="shared" si="114"/>
        <v>0</v>
      </c>
      <c r="AR722" s="2">
        <f t="shared" si="115"/>
        <v>0</v>
      </c>
      <c r="AS722" s="2">
        <f t="shared" si="116"/>
        <v>0</v>
      </c>
      <c r="AT722" s="25">
        <f t="shared" si="117"/>
        <v>0</v>
      </c>
    </row>
    <row r="723" spans="1:46">
      <c r="A723" s="24">
        <v>46132</v>
      </c>
      <c r="B723" s="23">
        <f t="shared" si="110"/>
        <v>46113</v>
      </c>
      <c r="C723" s="2" t="s">
        <v>46</v>
      </c>
      <c r="D723" s="2" t="s">
        <v>283</v>
      </c>
      <c r="E723" s="2">
        <v>6274</v>
      </c>
      <c r="F723" s="2">
        <v>152</v>
      </c>
      <c r="G723" s="2">
        <f t="shared" si="118"/>
        <v>32</v>
      </c>
      <c r="H723" s="2">
        <f t="shared" si="119"/>
        <v>32</v>
      </c>
      <c r="I723" s="2">
        <v>0</v>
      </c>
      <c r="J723" s="44" t="s">
        <v>48</v>
      </c>
      <c r="K723" s="2" t="s">
        <v>49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/>
      <c r="AM723" s="2" t="s">
        <v>1566</v>
      </c>
      <c r="AN723" s="2">
        <f t="shared" si="111"/>
        <v>0</v>
      </c>
      <c r="AO723" s="2">
        <f t="shared" si="112"/>
        <v>0</v>
      </c>
      <c r="AP723" s="2">
        <f t="shared" si="113"/>
        <v>0</v>
      </c>
      <c r="AQ723" s="2">
        <f t="shared" si="114"/>
        <v>0</v>
      </c>
      <c r="AR723" s="2">
        <f t="shared" si="115"/>
        <v>0</v>
      </c>
      <c r="AS723" s="2">
        <f t="shared" si="116"/>
        <v>0</v>
      </c>
      <c r="AT723" s="25">
        <f t="shared" si="117"/>
        <v>0</v>
      </c>
    </row>
    <row r="724" spans="1:46">
      <c r="A724" s="24">
        <v>46132</v>
      </c>
      <c r="B724" s="23">
        <f t="shared" si="110"/>
        <v>46113</v>
      </c>
      <c r="C724" s="2" t="s">
        <v>55</v>
      </c>
      <c r="D724" s="2" t="s">
        <v>154</v>
      </c>
      <c r="E724" s="2">
        <v>1729</v>
      </c>
      <c r="F724" s="2">
        <v>54</v>
      </c>
      <c r="G724" s="2">
        <f t="shared" si="118"/>
        <v>20</v>
      </c>
      <c r="H724" s="2">
        <f t="shared" si="119"/>
        <v>19</v>
      </c>
      <c r="I724" s="2">
        <v>1</v>
      </c>
      <c r="J724" s="44" t="s">
        <v>48</v>
      </c>
      <c r="K724" s="2" t="s">
        <v>49</v>
      </c>
      <c r="L724" s="2">
        <v>1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/>
      <c r="AM724" s="2" t="s">
        <v>1566</v>
      </c>
      <c r="AN724" s="2">
        <f t="shared" si="111"/>
        <v>1</v>
      </c>
      <c r="AO724" s="2">
        <f t="shared" si="112"/>
        <v>0</v>
      </c>
      <c r="AP724" s="2">
        <f t="shared" si="113"/>
        <v>0</v>
      </c>
      <c r="AQ724" s="2">
        <f t="shared" si="114"/>
        <v>0</v>
      </c>
      <c r="AR724" s="2">
        <f t="shared" si="115"/>
        <v>0</v>
      </c>
      <c r="AS724" s="2">
        <f t="shared" si="116"/>
        <v>0</v>
      </c>
      <c r="AT724" s="25">
        <f t="shared" si="117"/>
        <v>0</v>
      </c>
    </row>
    <row r="725" spans="1:46">
      <c r="A725" s="24">
        <v>46132</v>
      </c>
      <c r="B725" s="23">
        <f t="shared" si="110"/>
        <v>46113</v>
      </c>
      <c r="C725" s="2" t="s">
        <v>55</v>
      </c>
      <c r="D725" s="2" t="s">
        <v>233</v>
      </c>
      <c r="E725" s="2">
        <v>1773</v>
      </c>
      <c r="F725" s="2">
        <v>67</v>
      </c>
      <c r="G725" s="2">
        <f t="shared" si="118"/>
        <v>20</v>
      </c>
      <c r="H725" s="2">
        <f t="shared" si="119"/>
        <v>19</v>
      </c>
      <c r="I725" s="2">
        <v>1</v>
      </c>
      <c r="J725" s="44" t="s">
        <v>48</v>
      </c>
      <c r="K725" s="2" t="s">
        <v>49</v>
      </c>
      <c r="L725" s="2">
        <v>1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/>
      <c r="AM725" s="2" t="s">
        <v>1566</v>
      </c>
      <c r="AN725" s="2">
        <f t="shared" si="111"/>
        <v>1</v>
      </c>
      <c r="AO725" s="2">
        <f t="shared" si="112"/>
        <v>0</v>
      </c>
      <c r="AP725" s="2">
        <f t="shared" si="113"/>
        <v>0</v>
      </c>
      <c r="AQ725" s="2">
        <f t="shared" si="114"/>
        <v>0</v>
      </c>
      <c r="AR725" s="2">
        <f t="shared" si="115"/>
        <v>0</v>
      </c>
      <c r="AS725" s="2">
        <f t="shared" si="116"/>
        <v>0</v>
      </c>
      <c r="AT725" s="25">
        <f t="shared" si="117"/>
        <v>0</v>
      </c>
    </row>
    <row r="726" spans="1:46">
      <c r="A726" s="24">
        <v>46132</v>
      </c>
      <c r="B726" s="23">
        <f t="shared" si="110"/>
        <v>46113</v>
      </c>
      <c r="C726" s="2" t="s">
        <v>55</v>
      </c>
      <c r="D726" s="2" t="s">
        <v>1575</v>
      </c>
      <c r="E726" s="2">
        <v>1578</v>
      </c>
      <c r="F726" s="2">
        <v>120</v>
      </c>
      <c r="G726" s="2">
        <f t="shared" si="118"/>
        <v>20</v>
      </c>
      <c r="H726" s="2">
        <f t="shared" si="119"/>
        <v>20</v>
      </c>
      <c r="I726" s="2">
        <v>0</v>
      </c>
      <c r="J726" s="44" t="s">
        <v>48</v>
      </c>
      <c r="K726" s="2" t="s">
        <v>49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/>
      <c r="AM726" s="2" t="s">
        <v>1566</v>
      </c>
      <c r="AN726" s="2">
        <f t="shared" si="111"/>
        <v>0</v>
      </c>
      <c r="AO726" s="2">
        <f t="shared" si="112"/>
        <v>0</v>
      </c>
      <c r="AP726" s="2">
        <f t="shared" si="113"/>
        <v>0</v>
      </c>
      <c r="AQ726" s="2">
        <f t="shared" si="114"/>
        <v>0</v>
      </c>
      <c r="AR726" s="2">
        <f t="shared" si="115"/>
        <v>0</v>
      </c>
      <c r="AS726" s="2">
        <f t="shared" si="116"/>
        <v>0</v>
      </c>
      <c r="AT726" s="25">
        <f t="shared" si="117"/>
        <v>0</v>
      </c>
    </row>
    <row r="727" spans="1:46">
      <c r="A727" s="24">
        <v>46132</v>
      </c>
      <c r="B727" s="23">
        <f t="shared" si="110"/>
        <v>46113</v>
      </c>
      <c r="C727" s="2" t="s">
        <v>63</v>
      </c>
      <c r="D727" s="2" t="s">
        <v>1223</v>
      </c>
      <c r="E727" s="2">
        <v>3255</v>
      </c>
      <c r="F727" s="2">
        <v>178</v>
      </c>
      <c r="G727" s="2">
        <f t="shared" si="118"/>
        <v>32</v>
      </c>
      <c r="H727" s="2">
        <f t="shared" si="119"/>
        <v>31</v>
      </c>
      <c r="I727" s="2">
        <v>1</v>
      </c>
      <c r="J727" s="44" t="s">
        <v>48</v>
      </c>
      <c r="K727" s="2" t="s">
        <v>49</v>
      </c>
      <c r="L727" s="2">
        <v>1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/>
      <c r="AM727" s="2" t="s">
        <v>1568</v>
      </c>
      <c r="AN727" s="2">
        <f t="shared" si="111"/>
        <v>1</v>
      </c>
      <c r="AO727" s="2">
        <f t="shared" si="112"/>
        <v>0</v>
      </c>
      <c r="AP727" s="2">
        <f t="shared" si="113"/>
        <v>0</v>
      </c>
      <c r="AQ727" s="2">
        <f t="shared" si="114"/>
        <v>0</v>
      </c>
      <c r="AR727" s="2">
        <f t="shared" si="115"/>
        <v>0</v>
      </c>
      <c r="AS727" s="2">
        <f t="shared" si="116"/>
        <v>0</v>
      </c>
      <c r="AT727" s="25">
        <f t="shared" si="117"/>
        <v>0</v>
      </c>
    </row>
    <row r="728" spans="1:46">
      <c r="A728" s="24">
        <v>46132</v>
      </c>
      <c r="B728" s="23">
        <f t="shared" si="110"/>
        <v>46113</v>
      </c>
      <c r="C728" s="2" t="s">
        <v>62</v>
      </c>
      <c r="D728" s="2" t="s">
        <v>76</v>
      </c>
      <c r="E728" s="2">
        <v>1739</v>
      </c>
      <c r="F728" s="2">
        <v>250</v>
      </c>
      <c r="G728" s="2">
        <f t="shared" si="118"/>
        <v>32</v>
      </c>
      <c r="H728" s="2">
        <f t="shared" si="119"/>
        <v>31</v>
      </c>
      <c r="I728" s="2">
        <v>1</v>
      </c>
      <c r="J728" s="44" t="s">
        <v>48</v>
      </c>
      <c r="K728" s="2" t="s">
        <v>49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1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/>
      <c r="AM728" s="2" t="s">
        <v>1568</v>
      </c>
      <c r="AN728" s="2">
        <f t="shared" si="111"/>
        <v>0</v>
      </c>
      <c r="AO728" s="2">
        <f t="shared" si="112"/>
        <v>0</v>
      </c>
      <c r="AP728" s="2">
        <f t="shared" si="113"/>
        <v>1</v>
      </c>
      <c r="AQ728" s="2">
        <f t="shared" si="114"/>
        <v>0</v>
      </c>
      <c r="AR728" s="2">
        <f t="shared" si="115"/>
        <v>0</v>
      </c>
      <c r="AS728" s="2">
        <f t="shared" si="116"/>
        <v>0</v>
      </c>
      <c r="AT728" s="25">
        <f t="shared" si="117"/>
        <v>0</v>
      </c>
    </row>
    <row r="729" spans="1:46">
      <c r="A729" s="24">
        <v>46132</v>
      </c>
      <c r="B729" s="23">
        <f t="shared" si="110"/>
        <v>46113</v>
      </c>
      <c r="C729" s="2" t="s">
        <v>62</v>
      </c>
      <c r="D729" s="2" t="s">
        <v>253</v>
      </c>
      <c r="E729" s="2">
        <v>3305</v>
      </c>
      <c r="F729" s="2">
        <v>63</v>
      </c>
      <c r="G729" s="2">
        <f t="shared" si="118"/>
        <v>20</v>
      </c>
      <c r="H729" s="2">
        <f t="shared" si="119"/>
        <v>20</v>
      </c>
      <c r="I729" s="2">
        <v>0</v>
      </c>
      <c r="J729" s="44" t="s">
        <v>48</v>
      </c>
      <c r="K729" s="2" t="s">
        <v>49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/>
      <c r="AM729" s="2" t="s">
        <v>1568</v>
      </c>
      <c r="AN729" s="2">
        <f t="shared" si="111"/>
        <v>0</v>
      </c>
      <c r="AO729" s="2">
        <f t="shared" si="112"/>
        <v>0</v>
      </c>
      <c r="AP729" s="2">
        <f t="shared" si="113"/>
        <v>0</v>
      </c>
      <c r="AQ729" s="2">
        <f t="shared" si="114"/>
        <v>0</v>
      </c>
      <c r="AR729" s="2">
        <f t="shared" si="115"/>
        <v>0</v>
      </c>
      <c r="AS729" s="2">
        <f t="shared" si="116"/>
        <v>0</v>
      </c>
      <c r="AT729" s="25">
        <f t="shared" si="117"/>
        <v>0</v>
      </c>
    </row>
    <row r="730" spans="1:46">
      <c r="A730" s="24">
        <v>46132</v>
      </c>
      <c r="B730" s="23">
        <f t="shared" si="110"/>
        <v>46113</v>
      </c>
      <c r="C730" s="2" t="s">
        <v>62</v>
      </c>
      <c r="D730" s="2" t="s">
        <v>105</v>
      </c>
      <c r="E730" s="2">
        <v>3291</v>
      </c>
      <c r="F730" s="2">
        <v>52</v>
      </c>
      <c r="G730" s="2">
        <f t="shared" si="118"/>
        <v>20</v>
      </c>
      <c r="H730" s="2">
        <f t="shared" si="119"/>
        <v>20</v>
      </c>
      <c r="I730" s="2">
        <v>0</v>
      </c>
      <c r="J730" s="44" t="s">
        <v>48</v>
      </c>
      <c r="K730" s="2" t="s">
        <v>49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/>
      <c r="AM730" s="2" t="s">
        <v>1568</v>
      </c>
      <c r="AN730" s="2">
        <f t="shared" si="111"/>
        <v>0</v>
      </c>
      <c r="AO730" s="2">
        <f t="shared" si="112"/>
        <v>0</v>
      </c>
      <c r="AP730" s="2">
        <f t="shared" si="113"/>
        <v>0</v>
      </c>
      <c r="AQ730" s="2">
        <f t="shared" si="114"/>
        <v>0</v>
      </c>
      <c r="AR730" s="2">
        <f t="shared" si="115"/>
        <v>0</v>
      </c>
      <c r="AS730" s="2">
        <f t="shared" si="116"/>
        <v>0</v>
      </c>
      <c r="AT730" s="25">
        <f t="shared" si="117"/>
        <v>0</v>
      </c>
    </row>
    <row r="731" spans="1:46">
      <c r="A731" s="24">
        <v>46132</v>
      </c>
      <c r="B731" s="23">
        <f t="shared" si="110"/>
        <v>46113</v>
      </c>
      <c r="C731" s="2" t="s">
        <v>63</v>
      </c>
      <c r="D731" s="2" t="s">
        <v>420</v>
      </c>
      <c r="E731" s="2">
        <v>3247</v>
      </c>
      <c r="F731" s="2">
        <v>500</v>
      </c>
      <c r="G731" s="2">
        <f t="shared" si="118"/>
        <v>50</v>
      </c>
      <c r="H731" s="2">
        <f t="shared" si="119"/>
        <v>49</v>
      </c>
      <c r="I731" s="2">
        <v>1</v>
      </c>
      <c r="J731" s="44" t="s">
        <v>48</v>
      </c>
      <c r="K731" s="2" t="s">
        <v>49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1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/>
      <c r="AM731" s="2" t="s">
        <v>1568</v>
      </c>
      <c r="AN731" s="2">
        <f t="shared" si="111"/>
        <v>0</v>
      </c>
      <c r="AO731" s="2">
        <f t="shared" si="112"/>
        <v>1</v>
      </c>
      <c r="AP731" s="2">
        <f t="shared" si="113"/>
        <v>0</v>
      </c>
      <c r="AQ731" s="2">
        <f t="shared" si="114"/>
        <v>0</v>
      </c>
      <c r="AR731" s="2">
        <f t="shared" si="115"/>
        <v>0</v>
      </c>
      <c r="AS731" s="2">
        <f t="shared" si="116"/>
        <v>0</v>
      </c>
      <c r="AT731" s="25">
        <f t="shared" si="117"/>
        <v>0</v>
      </c>
    </row>
    <row r="732" spans="1:46">
      <c r="A732" s="24">
        <v>46133</v>
      </c>
      <c r="B732" s="23">
        <f t="shared" si="110"/>
        <v>46113</v>
      </c>
      <c r="C732" s="2" t="s">
        <v>63</v>
      </c>
      <c r="D732" s="2" t="s">
        <v>279</v>
      </c>
      <c r="E732" s="2">
        <v>8164</v>
      </c>
      <c r="F732" s="2">
        <v>51</v>
      </c>
      <c r="G732" s="2">
        <f t="shared" si="118"/>
        <v>20</v>
      </c>
      <c r="H732" s="2">
        <f t="shared" si="119"/>
        <v>20</v>
      </c>
      <c r="I732" s="2">
        <v>0</v>
      </c>
      <c r="J732" s="44" t="s">
        <v>48</v>
      </c>
      <c r="K732" s="2" t="s">
        <v>49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/>
      <c r="AM732" s="2" t="s">
        <v>1568</v>
      </c>
      <c r="AN732" s="2">
        <f t="shared" si="111"/>
        <v>0</v>
      </c>
      <c r="AO732" s="2">
        <f t="shared" si="112"/>
        <v>0</v>
      </c>
      <c r="AP732" s="2">
        <f t="shared" si="113"/>
        <v>0</v>
      </c>
      <c r="AQ732" s="2">
        <f t="shared" si="114"/>
        <v>0</v>
      </c>
      <c r="AR732" s="2">
        <f t="shared" si="115"/>
        <v>0</v>
      </c>
      <c r="AS732" s="2">
        <f t="shared" si="116"/>
        <v>0</v>
      </c>
      <c r="AT732" s="25">
        <f t="shared" si="117"/>
        <v>0</v>
      </c>
    </row>
    <row r="733" spans="1:46">
      <c r="A733" s="24">
        <v>46133</v>
      </c>
      <c r="B733" s="23">
        <f t="shared" si="110"/>
        <v>46113</v>
      </c>
      <c r="C733" s="2" t="s">
        <v>62</v>
      </c>
      <c r="D733" s="2" t="s">
        <v>106</v>
      </c>
      <c r="E733" s="2">
        <v>3305</v>
      </c>
      <c r="F733" s="2">
        <v>137</v>
      </c>
      <c r="G733" s="2">
        <f t="shared" si="118"/>
        <v>20</v>
      </c>
      <c r="H733" s="2">
        <f t="shared" si="119"/>
        <v>20</v>
      </c>
      <c r="I733" s="2">
        <v>0</v>
      </c>
      <c r="J733" s="44" t="s">
        <v>48</v>
      </c>
      <c r="K733" s="2" t="s">
        <v>49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/>
      <c r="AM733" s="2" t="s">
        <v>1568</v>
      </c>
      <c r="AN733" s="2">
        <f t="shared" si="111"/>
        <v>0</v>
      </c>
      <c r="AO733" s="2">
        <f t="shared" si="112"/>
        <v>0</v>
      </c>
      <c r="AP733" s="2">
        <f t="shared" si="113"/>
        <v>0</v>
      </c>
      <c r="AQ733" s="2">
        <f t="shared" si="114"/>
        <v>0</v>
      </c>
      <c r="AR733" s="2">
        <f t="shared" si="115"/>
        <v>0</v>
      </c>
      <c r="AS733" s="2">
        <f t="shared" si="116"/>
        <v>0</v>
      </c>
      <c r="AT733" s="25">
        <f t="shared" si="117"/>
        <v>0</v>
      </c>
    </row>
    <row r="734" spans="1:46">
      <c r="A734" s="24">
        <v>46133</v>
      </c>
      <c r="B734" s="23">
        <f t="shared" si="110"/>
        <v>46113</v>
      </c>
      <c r="C734" s="2" t="s">
        <v>63</v>
      </c>
      <c r="D734" s="2" t="s">
        <v>1223</v>
      </c>
      <c r="E734" s="2">
        <v>3255</v>
      </c>
      <c r="F734" s="2">
        <v>69</v>
      </c>
      <c r="G734" s="2">
        <f t="shared" si="118"/>
        <v>20</v>
      </c>
      <c r="H734" s="2">
        <f t="shared" si="119"/>
        <v>20</v>
      </c>
      <c r="I734" s="2">
        <v>0</v>
      </c>
      <c r="J734" s="44" t="s">
        <v>48</v>
      </c>
      <c r="K734" s="2" t="s">
        <v>49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/>
      <c r="AM734" s="2" t="s">
        <v>1568</v>
      </c>
      <c r="AN734" s="2">
        <f t="shared" si="111"/>
        <v>0</v>
      </c>
      <c r="AO734" s="2">
        <f t="shared" si="112"/>
        <v>0</v>
      </c>
      <c r="AP734" s="2">
        <f t="shared" si="113"/>
        <v>0</v>
      </c>
      <c r="AQ734" s="2">
        <f t="shared" si="114"/>
        <v>0</v>
      </c>
      <c r="AR734" s="2">
        <f t="shared" si="115"/>
        <v>0</v>
      </c>
      <c r="AS734" s="2">
        <f t="shared" si="116"/>
        <v>0</v>
      </c>
      <c r="AT734" s="25">
        <f t="shared" si="117"/>
        <v>0</v>
      </c>
    </row>
    <row r="735" spans="1:46">
      <c r="A735" s="24">
        <v>46133</v>
      </c>
      <c r="B735" s="23">
        <f t="shared" si="110"/>
        <v>46113</v>
      </c>
      <c r="C735" s="2" t="s">
        <v>63</v>
      </c>
      <c r="D735" s="2" t="s">
        <v>275</v>
      </c>
      <c r="E735" s="2">
        <v>8141</v>
      </c>
      <c r="F735" s="2">
        <v>453</v>
      </c>
      <c r="G735" s="2">
        <f t="shared" si="118"/>
        <v>50</v>
      </c>
      <c r="H735" s="2">
        <f t="shared" si="119"/>
        <v>48</v>
      </c>
      <c r="I735" s="2">
        <v>2</v>
      </c>
      <c r="J735" s="44" t="s">
        <v>48</v>
      </c>
      <c r="K735" s="2" t="s">
        <v>49</v>
      </c>
      <c r="L735" s="2">
        <v>2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/>
      <c r="AM735" s="2" t="s">
        <v>1568</v>
      </c>
      <c r="AN735" s="2">
        <f t="shared" si="111"/>
        <v>2</v>
      </c>
      <c r="AO735" s="2">
        <f t="shared" si="112"/>
        <v>0</v>
      </c>
      <c r="AP735" s="2">
        <f t="shared" si="113"/>
        <v>0</v>
      </c>
      <c r="AQ735" s="2">
        <f t="shared" si="114"/>
        <v>0</v>
      </c>
      <c r="AR735" s="2">
        <f t="shared" si="115"/>
        <v>0</v>
      </c>
      <c r="AS735" s="2">
        <f t="shared" si="116"/>
        <v>0</v>
      </c>
      <c r="AT735" s="25">
        <f t="shared" si="117"/>
        <v>0</v>
      </c>
    </row>
    <row r="736" spans="1:46">
      <c r="A736" s="24">
        <v>46133</v>
      </c>
      <c r="B736" s="23">
        <f t="shared" si="110"/>
        <v>46113</v>
      </c>
      <c r="C736" s="2" t="s">
        <v>63</v>
      </c>
      <c r="D736" s="2" t="s">
        <v>105</v>
      </c>
      <c r="E736" s="2">
        <v>3291</v>
      </c>
      <c r="F736" s="2">
        <v>333</v>
      </c>
      <c r="G736" s="2">
        <f t="shared" si="118"/>
        <v>50</v>
      </c>
      <c r="H736" s="2">
        <f t="shared" si="119"/>
        <v>50</v>
      </c>
      <c r="I736" s="2">
        <v>0</v>
      </c>
      <c r="J736" s="44" t="s">
        <v>48</v>
      </c>
      <c r="K736" s="2" t="s">
        <v>49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/>
      <c r="AM736" s="2" t="s">
        <v>1568</v>
      </c>
      <c r="AN736" s="2">
        <f t="shared" si="111"/>
        <v>0</v>
      </c>
      <c r="AO736" s="2">
        <f t="shared" si="112"/>
        <v>0</v>
      </c>
      <c r="AP736" s="2">
        <f t="shared" si="113"/>
        <v>0</v>
      </c>
      <c r="AQ736" s="2">
        <f t="shared" si="114"/>
        <v>0</v>
      </c>
      <c r="AR736" s="2">
        <f t="shared" si="115"/>
        <v>0</v>
      </c>
      <c r="AS736" s="2">
        <f t="shared" si="116"/>
        <v>0</v>
      </c>
      <c r="AT736" s="25">
        <f t="shared" si="117"/>
        <v>0</v>
      </c>
    </row>
    <row r="737" spans="1:46">
      <c r="A737" s="24">
        <v>46133</v>
      </c>
      <c r="B737" s="23">
        <f t="shared" si="110"/>
        <v>46113</v>
      </c>
      <c r="C737" s="2" t="s">
        <v>63</v>
      </c>
      <c r="D737" s="2" t="s">
        <v>139</v>
      </c>
      <c r="E737" s="2">
        <v>1715</v>
      </c>
      <c r="F737" s="2">
        <v>83</v>
      </c>
      <c r="G737" s="2">
        <f t="shared" si="118"/>
        <v>20</v>
      </c>
      <c r="H737" s="2">
        <f t="shared" si="119"/>
        <v>19</v>
      </c>
      <c r="I737" s="2">
        <v>1</v>
      </c>
      <c r="J737" s="44" t="s">
        <v>48</v>
      </c>
      <c r="K737" s="2" t="s">
        <v>49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/>
      <c r="AM737" s="2" t="s">
        <v>1568</v>
      </c>
      <c r="AN737" s="2">
        <f t="shared" si="111"/>
        <v>1</v>
      </c>
      <c r="AO737" s="2">
        <f t="shared" si="112"/>
        <v>0</v>
      </c>
      <c r="AP737" s="2">
        <f t="shared" si="113"/>
        <v>0</v>
      </c>
      <c r="AQ737" s="2">
        <f t="shared" si="114"/>
        <v>0</v>
      </c>
      <c r="AR737" s="2">
        <f t="shared" si="115"/>
        <v>0</v>
      </c>
      <c r="AS737" s="2">
        <f t="shared" si="116"/>
        <v>0</v>
      </c>
      <c r="AT737" s="25">
        <f t="shared" si="117"/>
        <v>0</v>
      </c>
    </row>
    <row r="738" spans="1:46">
      <c r="A738" s="24">
        <v>46133</v>
      </c>
      <c r="B738" s="23">
        <f t="shared" si="110"/>
        <v>46113</v>
      </c>
      <c r="C738" s="2" t="s">
        <v>62</v>
      </c>
      <c r="D738" s="2" t="s">
        <v>383</v>
      </c>
      <c r="E738" s="2">
        <v>3254</v>
      </c>
      <c r="F738" s="2">
        <v>59</v>
      </c>
      <c r="G738" s="2">
        <f t="shared" si="118"/>
        <v>20</v>
      </c>
      <c r="H738" s="2">
        <f t="shared" si="119"/>
        <v>19</v>
      </c>
      <c r="I738" s="2">
        <v>1</v>
      </c>
      <c r="J738" s="44" t="s">
        <v>48</v>
      </c>
      <c r="K738" s="2" t="s">
        <v>49</v>
      </c>
      <c r="L738" s="2">
        <v>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/>
      <c r="AM738" s="2" t="s">
        <v>1568</v>
      </c>
      <c r="AN738" s="2">
        <f t="shared" si="111"/>
        <v>1</v>
      </c>
      <c r="AO738" s="2">
        <f t="shared" si="112"/>
        <v>0</v>
      </c>
      <c r="AP738" s="2">
        <f t="shared" si="113"/>
        <v>0</v>
      </c>
      <c r="AQ738" s="2">
        <f t="shared" si="114"/>
        <v>0</v>
      </c>
      <c r="AR738" s="2">
        <f t="shared" si="115"/>
        <v>0</v>
      </c>
      <c r="AS738" s="2">
        <f t="shared" si="116"/>
        <v>0</v>
      </c>
      <c r="AT738" s="25">
        <f t="shared" si="117"/>
        <v>0</v>
      </c>
    </row>
    <row r="739" spans="1:46">
      <c r="A739" s="24">
        <v>46133</v>
      </c>
      <c r="B739" s="23">
        <f t="shared" si="110"/>
        <v>46113</v>
      </c>
      <c r="C739" s="2" t="s">
        <v>46</v>
      </c>
      <c r="D739" s="2" t="s">
        <v>242</v>
      </c>
      <c r="E739" s="2">
        <v>6296</v>
      </c>
      <c r="F739" s="2">
        <v>70</v>
      </c>
      <c r="G739" s="2">
        <f t="shared" si="118"/>
        <v>20</v>
      </c>
      <c r="H739" s="2">
        <f t="shared" si="119"/>
        <v>20</v>
      </c>
      <c r="I739" s="2">
        <v>0</v>
      </c>
      <c r="J739" s="44" t="s">
        <v>48</v>
      </c>
      <c r="K739" s="2" t="s">
        <v>49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/>
      <c r="AM739" s="2" t="s">
        <v>80</v>
      </c>
      <c r="AN739" s="2">
        <f t="shared" si="111"/>
        <v>0</v>
      </c>
      <c r="AO739" s="2">
        <f t="shared" si="112"/>
        <v>0</v>
      </c>
      <c r="AP739" s="2">
        <f t="shared" si="113"/>
        <v>0</v>
      </c>
      <c r="AQ739" s="2">
        <f t="shared" si="114"/>
        <v>0</v>
      </c>
      <c r="AR739" s="2">
        <f t="shared" si="115"/>
        <v>0</v>
      </c>
      <c r="AS739" s="2">
        <f t="shared" si="116"/>
        <v>0</v>
      </c>
      <c r="AT739" s="25">
        <f t="shared" si="117"/>
        <v>0</v>
      </c>
    </row>
    <row r="740" spans="1:46">
      <c r="A740" s="24">
        <v>46133</v>
      </c>
      <c r="B740" s="23">
        <f t="shared" si="110"/>
        <v>46113</v>
      </c>
      <c r="C740" s="2" t="s">
        <v>72</v>
      </c>
      <c r="D740" s="2" t="s">
        <v>232</v>
      </c>
      <c r="E740" s="2">
        <v>2601</v>
      </c>
      <c r="F740" s="2">
        <v>194</v>
      </c>
      <c r="G740" s="2">
        <f t="shared" si="118"/>
        <v>32</v>
      </c>
      <c r="H740" s="2">
        <f t="shared" si="119"/>
        <v>32</v>
      </c>
      <c r="I740" s="2">
        <v>0</v>
      </c>
      <c r="J740" s="44" t="s">
        <v>48</v>
      </c>
      <c r="K740" s="2" t="s">
        <v>49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/>
      <c r="AM740" s="2" t="s">
        <v>103</v>
      </c>
      <c r="AN740" s="2">
        <f t="shared" si="111"/>
        <v>0</v>
      </c>
      <c r="AO740" s="2">
        <f t="shared" si="112"/>
        <v>0</v>
      </c>
      <c r="AP740" s="2">
        <f t="shared" si="113"/>
        <v>0</v>
      </c>
      <c r="AQ740" s="2">
        <f t="shared" si="114"/>
        <v>0</v>
      </c>
      <c r="AR740" s="2">
        <f t="shared" si="115"/>
        <v>0</v>
      </c>
      <c r="AS740" s="2">
        <f t="shared" si="116"/>
        <v>0</v>
      </c>
      <c r="AT740" s="25">
        <f t="shared" si="117"/>
        <v>0</v>
      </c>
    </row>
    <row r="741" spans="1:46">
      <c r="A741" s="24">
        <v>46133</v>
      </c>
      <c r="B741" s="23">
        <f t="shared" si="110"/>
        <v>46113</v>
      </c>
      <c r="C741" s="2" t="s">
        <v>114</v>
      </c>
      <c r="D741" s="2" t="s">
        <v>115</v>
      </c>
      <c r="E741" s="2">
        <v>6208</v>
      </c>
      <c r="F741" s="2">
        <v>88</v>
      </c>
      <c r="G741" s="2">
        <f t="shared" si="118"/>
        <v>20</v>
      </c>
      <c r="H741" s="2">
        <f t="shared" si="119"/>
        <v>20</v>
      </c>
      <c r="I741" s="2">
        <v>0</v>
      </c>
      <c r="J741" s="44" t="s">
        <v>48</v>
      </c>
      <c r="K741" s="2" t="s">
        <v>49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/>
      <c r="AM741" s="2" t="s">
        <v>103</v>
      </c>
      <c r="AN741" s="2">
        <f t="shared" si="111"/>
        <v>0</v>
      </c>
      <c r="AO741" s="2">
        <f t="shared" si="112"/>
        <v>0</v>
      </c>
      <c r="AP741" s="2">
        <f t="shared" si="113"/>
        <v>0</v>
      </c>
      <c r="AQ741" s="2">
        <f t="shared" si="114"/>
        <v>0</v>
      </c>
      <c r="AR741" s="2">
        <f t="shared" si="115"/>
        <v>0</v>
      </c>
      <c r="AS741" s="2">
        <f t="shared" si="116"/>
        <v>0</v>
      </c>
      <c r="AT741" s="25">
        <f t="shared" si="117"/>
        <v>0</v>
      </c>
    </row>
    <row r="742" spans="1:46">
      <c r="A742" s="24">
        <v>46133</v>
      </c>
      <c r="B742" s="23">
        <f t="shared" si="110"/>
        <v>46113</v>
      </c>
      <c r="C742" s="2" t="s">
        <v>114</v>
      </c>
      <c r="D742" s="2" t="s">
        <v>1413</v>
      </c>
      <c r="E742" s="2">
        <v>6206</v>
      </c>
      <c r="F742" s="2">
        <v>1000</v>
      </c>
      <c r="G742" s="2">
        <f t="shared" si="118"/>
        <v>80</v>
      </c>
      <c r="H742" s="2">
        <f t="shared" si="119"/>
        <v>78</v>
      </c>
      <c r="I742" s="2">
        <v>2</v>
      </c>
      <c r="J742" s="44" t="s">
        <v>48</v>
      </c>
      <c r="K742" s="2" t="s">
        <v>49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2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/>
      <c r="AM742" s="2" t="s">
        <v>103</v>
      </c>
      <c r="AN742" s="2">
        <f t="shared" si="111"/>
        <v>0</v>
      </c>
      <c r="AO742" s="2">
        <f t="shared" si="112"/>
        <v>2</v>
      </c>
      <c r="AP742" s="2">
        <f t="shared" si="113"/>
        <v>0</v>
      </c>
      <c r="AQ742" s="2">
        <f t="shared" si="114"/>
        <v>0</v>
      </c>
      <c r="AR742" s="2">
        <f t="shared" si="115"/>
        <v>0</v>
      </c>
      <c r="AS742" s="2">
        <f t="shared" si="116"/>
        <v>0</v>
      </c>
      <c r="AT742" s="25">
        <f t="shared" si="117"/>
        <v>0</v>
      </c>
    </row>
    <row r="743" spans="1:46">
      <c r="A743" s="24">
        <v>46133</v>
      </c>
      <c r="B743" s="23">
        <f t="shared" si="110"/>
        <v>46113</v>
      </c>
      <c r="C743" s="2" t="s">
        <v>72</v>
      </c>
      <c r="D743" s="2" t="s">
        <v>85</v>
      </c>
      <c r="E743" s="2">
        <v>1580</v>
      </c>
      <c r="F743" s="2">
        <v>90</v>
      </c>
      <c r="G743" s="2">
        <f t="shared" si="118"/>
        <v>20</v>
      </c>
      <c r="H743" s="2">
        <f t="shared" si="119"/>
        <v>20</v>
      </c>
      <c r="I743" s="2">
        <v>0</v>
      </c>
      <c r="J743" s="44" t="s">
        <v>48</v>
      </c>
      <c r="K743" s="2" t="s">
        <v>49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/>
      <c r="AM743" s="2" t="s">
        <v>103</v>
      </c>
      <c r="AN743" s="2">
        <f t="shared" si="111"/>
        <v>0</v>
      </c>
      <c r="AO743" s="2">
        <f t="shared" si="112"/>
        <v>0</v>
      </c>
      <c r="AP743" s="2">
        <f t="shared" si="113"/>
        <v>0</v>
      </c>
      <c r="AQ743" s="2">
        <f t="shared" si="114"/>
        <v>0</v>
      </c>
      <c r="AR743" s="2">
        <f t="shared" si="115"/>
        <v>0</v>
      </c>
      <c r="AS743" s="2">
        <f t="shared" si="116"/>
        <v>0</v>
      </c>
      <c r="AT743" s="25">
        <f t="shared" si="117"/>
        <v>0</v>
      </c>
    </row>
    <row r="744" spans="1:46">
      <c r="A744" s="24">
        <v>46133</v>
      </c>
      <c r="B744" s="23">
        <f t="shared" si="110"/>
        <v>46113</v>
      </c>
      <c r="C744" s="2" t="s">
        <v>114</v>
      </c>
      <c r="D744" s="2" t="s">
        <v>1411</v>
      </c>
      <c r="E744" s="2">
        <v>6206</v>
      </c>
      <c r="F744" s="2">
        <v>79</v>
      </c>
      <c r="G744" s="2">
        <f t="shared" si="118"/>
        <v>20</v>
      </c>
      <c r="H744" s="2">
        <f t="shared" si="119"/>
        <v>20</v>
      </c>
      <c r="I744" s="2">
        <v>0</v>
      </c>
      <c r="J744" s="44" t="s">
        <v>48</v>
      </c>
      <c r="K744" s="2" t="s">
        <v>49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/>
      <c r="AM744" s="2" t="s">
        <v>103</v>
      </c>
      <c r="AN744" s="2">
        <f t="shared" si="111"/>
        <v>0</v>
      </c>
      <c r="AO744" s="2">
        <f t="shared" si="112"/>
        <v>0</v>
      </c>
      <c r="AP744" s="2">
        <f t="shared" si="113"/>
        <v>0</v>
      </c>
      <c r="AQ744" s="2">
        <f t="shared" si="114"/>
        <v>0</v>
      </c>
      <c r="AR744" s="2">
        <f t="shared" si="115"/>
        <v>0</v>
      </c>
      <c r="AS744" s="2">
        <f t="shared" si="116"/>
        <v>0</v>
      </c>
      <c r="AT744" s="25">
        <f t="shared" si="117"/>
        <v>0</v>
      </c>
    </row>
    <row r="745" spans="1:46">
      <c r="A745" s="24">
        <v>46133</v>
      </c>
      <c r="B745" s="23">
        <f t="shared" si="110"/>
        <v>46113</v>
      </c>
      <c r="C745" s="2" t="s">
        <v>114</v>
      </c>
      <c r="D745" s="2" t="s">
        <v>1387</v>
      </c>
      <c r="E745" s="2">
        <v>3327</v>
      </c>
      <c r="F745" s="2">
        <v>160</v>
      </c>
      <c r="G745" s="2">
        <f t="shared" si="118"/>
        <v>32</v>
      </c>
      <c r="H745" s="2">
        <f t="shared" si="119"/>
        <v>32</v>
      </c>
      <c r="I745" s="2">
        <v>0</v>
      </c>
      <c r="J745" s="44" t="s">
        <v>48</v>
      </c>
      <c r="K745" s="2" t="s">
        <v>49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/>
      <c r="AM745" s="2" t="s">
        <v>103</v>
      </c>
      <c r="AN745" s="2">
        <f t="shared" si="111"/>
        <v>0</v>
      </c>
      <c r="AO745" s="2">
        <f t="shared" si="112"/>
        <v>0</v>
      </c>
      <c r="AP745" s="2">
        <f t="shared" si="113"/>
        <v>0</v>
      </c>
      <c r="AQ745" s="2">
        <f t="shared" si="114"/>
        <v>0</v>
      </c>
      <c r="AR745" s="2">
        <f t="shared" si="115"/>
        <v>0</v>
      </c>
      <c r="AS745" s="2">
        <f t="shared" si="116"/>
        <v>0</v>
      </c>
      <c r="AT745" s="25">
        <f t="shared" si="117"/>
        <v>0</v>
      </c>
    </row>
    <row r="746" spans="1:46">
      <c r="A746" s="24">
        <v>46133</v>
      </c>
      <c r="B746" s="23">
        <f t="shared" si="110"/>
        <v>46113</v>
      </c>
      <c r="C746" s="2" t="s">
        <v>82</v>
      </c>
      <c r="D746" s="2" t="s">
        <v>401</v>
      </c>
      <c r="E746" s="2">
        <v>1650</v>
      </c>
      <c r="F746" s="2">
        <v>116</v>
      </c>
      <c r="G746" s="2">
        <f t="shared" si="118"/>
        <v>20</v>
      </c>
      <c r="H746" s="2">
        <f t="shared" si="119"/>
        <v>20</v>
      </c>
      <c r="I746" s="2">
        <v>0</v>
      </c>
      <c r="J746" s="44" t="s">
        <v>48</v>
      </c>
      <c r="K746" s="2" t="s">
        <v>49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/>
      <c r="AM746" s="2" t="s">
        <v>93</v>
      </c>
      <c r="AN746" s="2">
        <f t="shared" si="111"/>
        <v>0</v>
      </c>
      <c r="AO746" s="2">
        <f t="shared" si="112"/>
        <v>0</v>
      </c>
      <c r="AP746" s="2">
        <f t="shared" si="113"/>
        <v>0</v>
      </c>
      <c r="AQ746" s="2">
        <f t="shared" si="114"/>
        <v>0</v>
      </c>
      <c r="AR746" s="2">
        <f t="shared" si="115"/>
        <v>0</v>
      </c>
      <c r="AS746" s="2">
        <f t="shared" si="116"/>
        <v>0</v>
      </c>
      <c r="AT746" s="25">
        <f t="shared" si="117"/>
        <v>0</v>
      </c>
    </row>
    <row r="747" spans="1:46">
      <c r="A747" s="24">
        <v>46133</v>
      </c>
      <c r="B747" s="23">
        <f t="shared" si="110"/>
        <v>46113</v>
      </c>
      <c r="C747" s="2" t="s">
        <v>160</v>
      </c>
      <c r="D747" s="2" t="s">
        <v>261</v>
      </c>
      <c r="E747" s="2">
        <v>6093</v>
      </c>
      <c r="F747" s="2">
        <v>80</v>
      </c>
      <c r="G747" s="2">
        <f t="shared" si="118"/>
        <v>20</v>
      </c>
      <c r="H747" s="2">
        <f t="shared" si="119"/>
        <v>20</v>
      </c>
      <c r="I747" s="2">
        <v>0</v>
      </c>
      <c r="J747" s="44" t="s">
        <v>48</v>
      </c>
      <c r="K747" s="2" t="s">
        <v>49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/>
      <c r="AM747" s="2" t="s">
        <v>93</v>
      </c>
      <c r="AN747" s="2">
        <f t="shared" si="111"/>
        <v>0</v>
      </c>
      <c r="AO747" s="2">
        <f t="shared" si="112"/>
        <v>0</v>
      </c>
      <c r="AP747" s="2">
        <f t="shared" si="113"/>
        <v>0</v>
      </c>
      <c r="AQ747" s="2">
        <f t="shared" si="114"/>
        <v>0</v>
      </c>
      <c r="AR747" s="2">
        <f t="shared" si="115"/>
        <v>0</v>
      </c>
      <c r="AS747" s="2">
        <f t="shared" si="116"/>
        <v>0</v>
      </c>
      <c r="AT747" s="25">
        <f t="shared" si="117"/>
        <v>0</v>
      </c>
    </row>
    <row r="748" spans="1:46">
      <c r="A748" s="24">
        <v>46133</v>
      </c>
      <c r="B748" s="23">
        <f t="shared" si="110"/>
        <v>46113</v>
      </c>
      <c r="C748" s="2" t="s">
        <v>82</v>
      </c>
      <c r="D748" s="2" t="s">
        <v>260</v>
      </c>
      <c r="E748" s="2">
        <v>3295</v>
      </c>
      <c r="F748" s="2">
        <v>160</v>
      </c>
      <c r="G748" s="2">
        <f t="shared" si="118"/>
        <v>32</v>
      </c>
      <c r="H748" s="2">
        <f t="shared" si="119"/>
        <v>32</v>
      </c>
      <c r="I748" s="2">
        <v>0</v>
      </c>
      <c r="J748" s="44" t="s">
        <v>48</v>
      </c>
      <c r="K748" s="2" t="s">
        <v>49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/>
      <c r="AM748" s="2" t="s">
        <v>93</v>
      </c>
      <c r="AN748" s="2">
        <f t="shared" si="111"/>
        <v>0</v>
      </c>
      <c r="AO748" s="2">
        <f t="shared" si="112"/>
        <v>0</v>
      </c>
      <c r="AP748" s="2">
        <f t="shared" si="113"/>
        <v>0</v>
      </c>
      <c r="AQ748" s="2">
        <f t="shared" si="114"/>
        <v>0</v>
      </c>
      <c r="AR748" s="2">
        <f t="shared" si="115"/>
        <v>0</v>
      </c>
      <c r="AS748" s="2">
        <f t="shared" si="116"/>
        <v>0</v>
      </c>
      <c r="AT748" s="25">
        <f t="shared" si="117"/>
        <v>0</v>
      </c>
    </row>
    <row r="749" spans="1:46">
      <c r="A749" s="24">
        <v>46133</v>
      </c>
      <c r="B749" s="23">
        <f t="shared" si="110"/>
        <v>46113</v>
      </c>
      <c r="C749" s="2" t="s">
        <v>82</v>
      </c>
      <c r="D749" s="2" t="s">
        <v>163</v>
      </c>
      <c r="E749" s="2">
        <v>3295</v>
      </c>
      <c r="F749" s="2">
        <v>55</v>
      </c>
      <c r="G749" s="2">
        <f t="shared" si="118"/>
        <v>20</v>
      </c>
      <c r="H749" s="2">
        <f t="shared" si="119"/>
        <v>19</v>
      </c>
      <c r="I749" s="2">
        <v>1</v>
      </c>
      <c r="J749" s="44" t="s">
        <v>48</v>
      </c>
      <c r="K749" s="2" t="s">
        <v>49</v>
      </c>
      <c r="L749" s="2">
        <v>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/>
      <c r="AM749" s="2" t="s">
        <v>93</v>
      </c>
      <c r="AN749" s="2">
        <f t="shared" si="111"/>
        <v>1</v>
      </c>
      <c r="AO749" s="2">
        <f t="shared" si="112"/>
        <v>0</v>
      </c>
      <c r="AP749" s="2">
        <f t="shared" si="113"/>
        <v>0</v>
      </c>
      <c r="AQ749" s="2">
        <f t="shared" si="114"/>
        <v>0</v>
      </c>
      <c r="AR749" s="2">
        <f t="shared" si="115"/>
        <v>0</v>
      </c>
      <c r="AS749" s="2">
        <f t="shared" si="116"/>
        <v>0</v>
      </c>
      <c r="AT749" s="25">
        <f t="shared" si="117"/>
        <v>0</v>
      </c>
    </row>
    <row r="750" spans="1:46">
      <c r="A750" s="24">
        <v>46133</v>
      </c>
      <c r="B750" s="23">
        <f t="shared" si="110"/>
        <v>46113</v>
      </c>
      <c r="C750" s="2" t="s">
        <v>160</v>
      </c>
      <c r="D750" s="2" t="s">
        <v>205</v>
      </c>
      <c r="E750" s="2">
        <v>3224</v>
      </c>
      <c r="F750" s="2">
        <v>300</v>
      </c>
      <c r="G750" s="2">
        <f t="shared" si="118"/>
        <v>50</v>
      </c>
      <c r="H750" s="2">
        <f t="shared" si="119"/>
        <v>46</v>
      </c>
      <c r="I750" s="2">
        <v>4</v>
      </c>
      <c r="J750" s="44" t="s">
        <v>67</v>
      </c>
      <c r="K750" s="2" t="s">
        <v>49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4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/>
      <c r="AM750" s="2" t="s">
        <v>93</v>
      </c>
      <c r="AN750" s="2">
        <f t="shared" si="111"/>
        <v>0</v>
      </c>
      <c r="AO750" s="2">
        <f t="shared" si="112"/>
        <v>0</v>
      </c>
      <c r="AP750" s="2">
        <f t="shared" si="113"/>
        <v>0</v>
      </c>
      <c r="AQ750" s="2">
        <f t="shared" si="114"/>
        <v>0</v>
      </c>
      <c r="AR750" s="2">
        <f t="shared" si="115"/>
        <v>4</v>
      </c>
      <c r="AS750" s="2">
        <f t="shared" si="116"/>
        <v>0</v>
      </c>
      <c r="AT750" s="25">
        <f t="shared" si="117"/>
        <v>0</v>
      </c>
    </row>
    <row r="751" spans="1:46">
      <c r="A751" s="24">
        <v>46133</v>
      </c>
      <c r="B751" s="23">
        <f t="shared" si="110"/>
        <v>46113</v>
      </c>
      <c r="C751" s="2" t="s">
        <v>160</v>
      </c>
      <c r="D751" s="2" t="s">
        <v>164</v>
      </c>
      <c r="E751" s="2">
        <v>6093</v>
      </c>
      <c r="F751" s="2">
        <v>134</v>
      </c>
      <c r="G751" s="2">
        <f t="shared" si="118"/>
        <v>20</v>
      </c>
      <c r="H751" s="2">
        <f t="shared" si="119"/>
        <v>20</v>
      </c>
      <c r="I751" s="2">
        <v>0</v>
      </c>
      <c r="J751" s="44" t="s">
        <v>48</v>
      </c>
      <c r="K751" s="2" t="s">
        <v>49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/>
      <c r="AM751" s="2" t="s">
        <v>93</v>
      </c>
      <c r="AN751" s="2">
        <f t="shared" si="111"/>
        <v>0</v>
      </c>
      <c r="AO751" s="2">
        <f t="shared" si="112"/>
        <v>0</v>
      </c>
      <c r="AP751" s="2">
        <f t="shared" si="113"/>
        <v>0</v>
      </c>
      <c r="AQ751" s="2">
        <f t="shared" si="114"/>
        <v>0</v>
      </c>
      <c r="AR751" s="2">
        <f t="shared" si="115"/>
        <v>0</v>
      </c>
      <c r="AS751" s="2">
        <f t="shared" si="116"/>
        <v>0</v>
      </c>
      <c r="AT751" s="25">
        <f t="shared" si="117"/>
        <v>0</v>
      </c>
    </row>
    <row r="752" spans="1:46">
      <c r="A752" s="24">
        <v>46133</v>
      </c>
      <c r="B752" s="23">
        <f t="shared" si="110"/>
        <v>46113</v>
      </c>
      <c r="C752" s="2" t="s">
        <v>82</v>
      </c>
      <c r="D752" s="2" t="s">
        <v>235</v>
      </c>
      <c r="E752" s="2">
        <v>3294</v>
      </c>
      <c r="F752" s="2">
        <v>744</v>
      </c>
      <c r="G752" s="2">
        <f t="shared" si="118"/>
        <v>80</v>
      </c>
      <c r="H752" s="2">
        <f t="shared" si="119"/>
        <v>80</v>
      </c>
      <c r="I752" s="2">
        <v>0</v>
      </c>
      <c r="J752" s="44" t="s">
        <v>48</v>
      </c>
      <c r="K752" s="2" t="s">
        <v>49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/>
      <c r="AM752" s="2" t="s">
        <v>93</v>
      </c>
      <c r="AN752" s="2">
        <f t="shared" si="111"/>
        <v>0</v>
      </c>
      <c r="AO752" s="2">
        <f t="shared" si="112"/>
        <v>0</v>
      </c>
      <c r="AP752" s="2">
        <f t="shared" si="113"/>
        <v>0</v>
      </c>
      <c r="AQ752" s="2">
        <f t="shared" si="114"/>
        <v>0</v>
      </c>
      <c r="AR752" s="2">
        <f t="shared" si="115"/>
        <v>0</v>
      </c>
      <c r="AS752" s="2">
        <f t="shared" si="116"/>
        <v>0</v>
      </c>
      <c r="AT752" s="25">
        <f t="shared" si="117"/>
        <v>0</v>
      </c>
    </row>
    <row r="753" spans="1:46">
      <c r="A753" s="24">
        <v>46133</v>
      </c>
      <c r="B753" s="23">
        <f t="shared" si="110"/>
        <v>46113</v>
      </c>
      <c r="C753" s="2" t="s">
        <v>160</v>
      </c>
      <c r="D753" s="2" t="s">
        <v>162</v>
      </c>
      <c r="E753" s="2">
        <v>3227</v>
      </c>
      <c r="F753" s="2">
        <v>290</v>
      </c>
      <c r="G753" s="2">
        <f t="shared" si="118"/>
        <v>50</v>
      </c>
      <c r="H753" s="2">
        <f t="shared" si="119"/>
        <v>50</v>
      </c>
      <c r="I753" s="2">
        <v>0</v>
      </c>
      <c r="J753" s="44" t="s">
        <v>48</v>
      </c>
      <c r="K753" s="2" t="s">
        <v>49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/>
      <c r="AM753" s="2" t="s">
        <v>93</v>
      </c>
      <c r="AN753" s="2">
        <f t="shared" si="111"/>
        <v>0</v>
      </c>
      <c r="AO753" s="2">
        <f t="shared" si="112"/>
        <v>0</v>
      </c>
      <c r="AP753" s="2">
        <f t="shared" si="113"/>
        <v>0</v>
      </c>
      <c r="AQ753" s="2">
        <f t="shared" si="114"/>
        <v>0</v>
      </c>
      <c r="AR753" s="2">
        <f t="shared" si="115"/>
        <v>0</v>
      </c>
      <c r="AS753" s="2">
        <f t="shared" si="116"/>
        <v>0</v>
      </c>
      <c r="AT753" s="25">
        <f t="shared" si="117"/>
        <v>0</v>
      </c>
    </row>
    <row r="754" spans="1:46">
      <c r="A754" s="24">
        <v>46133</v>
      </c>
      <c r="B754" s="23">
        <f t="shared" si="110"/>
        <v>46113</v>
      </c>
      <c r="C754" s="2" t="s">
        <v>160</v>
      </c>
      <c r="D754" s="2" t="s">
        <v>1413</v>
      </c>
      <c r="E754" s="2">
        <v>6206</v>
      </c>
      <c r="F754" s="2">
        <v>452</v>
      </c>
      <c r="G754" s="2">
        <f t="shared" si="118"/>
        <v>50</v>
      </c>
      <c r="H754" s="2">
        <f t="shared" si="119"/>
        <v>50</v>
      </c>
      <c r="I754" s="2">
        <v>0</v>
      </c>
      <c r="J754" s="44" t="s">
        <v>48</v>
      </c>
      <c r="K754" s="2" t="s">
        <v>49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/>
      <c r="AM754" s="2" t="s">
        <v>93</v>
      </c>
      <c r="AN754" s="2">
        <f t="shared" si="111"/>
        <v>0</v>
      </c>
      <c r="AO754" s="2">
        <f t="shared" si="112"/>
        <v>0</v>
      </c>
      <c r="AP754" s="2">
        <f t="shared" si="113"/>
        <v>0</v>
      </c>
      <c r="AQ754" s="2">
        <f t="shared" si="114"/>
        <v>0</v>
      </c>
      <c r="AR754" s="2">
        <f t="shared" si="115"/>
        <v>0</v>
      </c>
      <c r="AS754" s="2">
        <f t="shared" si="116"/>
        <v>0</v>
      </c>
      <c r="AT754" s="25">
        <f t="shared" si="117"/>
        <v>0</v>
      </c>
    </row>
    <row r="755" spans="1:46">
      <c r="A755" s="24">
        <v>46133</v>
      </c>
      <c r="B755" s="23">
        <f t="shared" si="110"/>
        <v>46113</v>
      </c>
      <c r="C755" s="2" t="s">
        <v>160</v>
      </c>
      <c r="D755" s="2" t="s">
        <v>205</v>
      </c>
      <c r="E755" s="2">
        <v>3224</v>
      </c>
      <c r="F755" s="2">
        <v>300</v>
      </c>
      <c r="G755" s="2">
        <f t="shared" si="118"/>
        <v>50</v>
      </c>
      <c r="H755" s="2">
        <f t="shared" si="119"/>
        <v>49</v>
      </c>
      <c r="I755" s="2">
        <v>1</v>
      </c>
      <c r="J755" s="44" t="s">
        <v>48</v>
      </c>
      <c r="K755" s="2" t="s">
        <v>49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1</v>
      </c>
      <c r="AL755" s="2"/>
      <c r="AM755" s="2" t="s">
        <v>93</v>
      </c>
      <c r="AN755" s="2">
        <f t="shared" si="111"/>
        <v>0</v>
      </c>
      <c r="AO755" s="2">
        <f t="shared" si="112"/>
        <v>0</v>
      </c>
      <c r="AP755" s="2">
        <f t="shared" si="113"/>
        <v>0</v>
      </c>
      <c r="AQ755" s="2">
        <f t="shared" si="114"/>
        <v>1</v>
      </c>
      <c r="AR755" s="2">
        <f t="shared" si="115"/>
        <v>0</v>
      </c>
      <c r="AS755" s="2">
        <f t="shared" si="116"/>
        <v>0</v>
      </c>
      <c r="AT755" s="25">
        <f t="shared" si="117"/>
        <v>0</v>
      </c>
    </row>
    <row r="756" spans="1:46">
      <c r="A756" s="24">
        <v>46133</v>
      </c>
      <c r="B756" s="23">
        <f t="shared" si="110"/>
        <v>46113</v>
      </c>
      <c r="C756" s="2" t="s">
        <v>160</v>
      </c>
      <c r="D756" s="2" t="s">
        <v>166</v>
      </c>
      <c r="E756" s="2">
        <v>3099</v>
      </c>
      <c r="F756" s="2">
        <v>183</v>
      </c>
      <c r="G756" s="2">
        <f t="shared" si="118"/>
        <v>32</v>
      </c>
      <c r="H756" s="2">
        <f t="shared" si="119"/>
        <v>0</v>
      </c>
      <c r="I756" s="2">
        <v>32</v>
      </c>
      <c r="J756" s="44" t="s">
        <v>67</v>
      </c>
      <c r="K756" s="2" t="s">
        <v>49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32</v>
      </c>
      <c r="AL756" s="2"/>
      <c r="AM756" s="2" t="s">
        <v>93</v>
      </c>
      <c r="AN756" s="2">
        <f t="shared" si="111"/>
        <v>0</v>
      </c>
      <c r="AO756" s="2">
        <f t="shared" si="112"/>
        <v>0</v>
      </c>
      <c r="AP756" s="2">
        <f t="shared" si="113"/>
        <v>0</v>
      </c>
      <c r="AQ756" s="2">
        <f t="shared" si="114"/>
        <v>32</v>
      </c>
      <c r="AR756" s="2">
        <f t="shared" si="115"/>
        <v>0</v>
      </c>
      <c r="AS756" s="2">
        <f t="shared" si="116"/>
        <v>0</v>
      </c>
      <c r="AT756" s="25">
        <f t="shared" si="117"/>
        <v>0</v>
      </c>
    </row>
    <row r="757" spans="1:46">
      <c r="A757" s="24">
        <v>46133</v>
      </c>
      <c r="B757" s="23">
        <f t="shared" si="110"/>
        <v>46113</v>
      </c>
      <c r="C757" s="2" t="s">
        <v>66</v>
      </c>
      <c r="D757" s="2" t="s">
        <v>184</v>
      </c>
      <c r="E757" s="2">
        <v>3317</v>
      </c>
      <c r="F757" s="2">
        <v>140</v>
      </c>
      <c r="G757" s="2">
        <f t="shared" si="118"/>
        <v>20</v>
      </c>
      <c r="H757" s="2">
        <f t="shared" si="119"/>
        <v>19</v>
      </c>
      <c r="I757" s="2">
        <v>1</v>
      </c>
      <c r="J757" s="44" t="s">
        <v>48</v>
      </c>
      <c r="K757" s="2" t="s">
        <v>49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1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/>
      <c r="AM757" s="2" t="s">
        <v>110</v>
      </c>
      <c r="AN757" s="2">
        <f t="shared" si="111"/>
        <v>0</v>
      </c>
      <c r="AO757" s="2">
        <f t="shared" si="112"/>
        <v>1</v>
      </c>
      <c r="AP757" s="2">
        <f t="shared" si="113"/>
        <v>0</v>
      </c>
      <c r="AQ757" s="2">
        <f t="shared" si="114"/>
        <v>0</v>
      </c>
      <c r="AR757" s="2">
        <f t="shared" si="115"/>
        <v>0</v>
      </c>
      <c r="AS757" s="2">
        <f t="shared" si="116"/>
        <v>0</v>
      </c>
      <c r="AT757" s="25">
        <f t="shared" si="117"/>
        <v>0</v>
      </c>
    </row>
    <row r="758" spans="1:46">
      <c r="A758" s="24">
        <v>46133</v>
      </c>
      <c r="B758" s="23">
        <f t="shared" si="110"/>
        <v>46113</v>
      </c>
      <c r="C758" s="2" t="s">
        <v>97</v>
      </c>
      <c r="D758" s="2" t="s">
        <v>231</v>
      </c>
      <c r="E758" s="2">
        <v>6172</v>
      </c>
      <c r="F758" s="2">
        <v>81</v>
      </c>
      <c r="G758" s="2">
        <f t="shared" si="118"/>
        <v>20</v>
      </c>
      <c r="H758" s="2">
        <f t="shared" si="119"/>
        <v>20</v>
      </c>
      <c r="I758" s="2">
        <v>0</v>
      </c>
      <c r="J758" s="44" t="s">
        <v>48</v>
      </c>
      <c r="K758" s="2" t="s">
        <v>49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/>
      <c r="AM758" s="2" t="s">
        <v>110</v>
      </c>
      <c r="AN758" s="2">
        <f t="shared" si="111"/>
        <v>0</v>
      </c>
      <c r="AO758" s="2">
        <f t="shared" si="112"/>
        <v>0</v>
      </c>
      <c r="AP758" s="2">
        <f t="shared" si="113"/>
        <v>0</v>
      </c>
      <c r="AQ758" s="2">
        <f t="shared" si="114"/>
        <v>0</v>
      </c>
      <c r="AR758" s="2">
        <f t="shared" si="115"/>
        <v>0</v>
      </c>
      <c r="AS758" s="2">
        <f t="shared" si="116"/>
        <v>0</v>
      </c>
      <c r="AT758" s="25">
        <f t="shared" si="117"/>
        <v>0</v>
      </c>
    </row>
    <row r="759" spans="1:46">
      <c r="A759" s="24">
        <v>46133</v>
      </c>
      <c r="B759" s="23">
        <f t="shared" si="110"/>
        <v>46113</v>
      </c>
      <c r="C759" s="2" t="s">
        <v>66</v>
      </c>
      <c r="D759" s="2" t="s">
        <v>235</v>
      </c>
      <c r="E759" s="2">
        <v>3294</v>
      </c>
      <c r="F759" s="2">
        <v>1000</v>
      </c>
      <c r="G759" s="2">
        <f t="shared" si="118"/>
        <v>80</v>
      </c>
      <c r="H759" s="2">
        <f t="shared" si="119"/>
        <v>80</v>
      </c>
      <c r="I759" s="2">
        <v>0</v>
      </c>
      <c r="J759" s="44" t="s">
        <v>48</v>
      </c>
      <c r="K759" s="2" t="s">
        <v>49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/>
      <c r="AM759" s="2" t="s">
        <v>110</v>
      </c>
      <c r="AN759" s="2">
        <f t="shared" si="111"/>
        <v>0</v>
      </c>
      <c r="AO759" s="2">
        <f t="shared" si="112"/>
        <v>0</v>
      </c>
      <c r="AP759" s="2">
        <f t="shared" si="113"/>
        <v>0</v>
      </c>
      <c r="AQ759" s="2">
        <f t="shared" si="114"/>
        <v>0</v>
      </c>
      <c r="AR759" s="2">
        <f t="shared" si="115"/>
        <v>0</v>
      </c>
      <c r="AS759" s="2">
        <f t="shared" si="116"/>
        <v>0</v>
      </c>
      <c r="AT759" s="25">
        <f t="shared" si="117"/>
        <v>0</v>
      </c>
    </row>
    <row r="760" spans="1:46">
      <c r="A760" s="24">
        <v>46133</v>
      </c>
      <c r="B760" s="23">
        <f t="shared" si="110"/>
        <v>46113</v>
      </c>
      <c r="C760" s="2" t="s">
        <v>66</v>
      </c>
      <c r="D760" s="2" t="s">
        <v>1401</v>
      </c>
      <c r="E760" s="2">
        <v>6319</v>
      </c>
      <c r="F760" s="2">
        <v>254</v>
      </c>
      <c r="G760" s="2">
        <f t="shared" si="118"/>
        <v>32</v>
      </c>
      <c r="H760" s="2">
        <f t="shared" si="119"/>
        <v>32</v>
      </c>
      <c r="I760" s="2">
        <v>0</v>
      </c>
      <c r="J760" s="44" t="s">
        <v>48</v>
      </c>
      <c r="K760" s="2" t="s">
        <v>49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/>
      <c r="AM760" s="2" t="s">
        <v>110</v>
      </c>
      <c r="AN760" s="2">
        <f t="shared" si="111"/>
        <v>0</v>
      </c>
      <c r="AO760" s="2">
        <f t="shared" si="112"/>
        <v>0</v>
      </c>
      <c r="AP760" s="2">
        <f t="shared" si="113"/>
        <v>0</v>
      </c>
      <c r="AQ760" s="2">
        <f t="shared" si="114"/>
        <v>0</v>
      </c>
      <c r="AR760" s="2">
        <f t="shared" si="115"/>
        <v>0</v>
      </c>
      <c r="AS760" s="2">
        <f t="shared" si="116"/>
        <v>0</v>
      </c>
      <c r="AT760" s="25">
        <f t="shared" si="117"/>
        <v>0</v>
      </c>
    </row>
    <row r="761" spans="1:46">
      <c r="A761" s="24">
        <v>46133</v>
      </c>
      <c r="B761" s="23">
        <f t="shared" si="110"/>
        <v>46113</v>
      </c>
      <c r="C761" s="2" t="s">
        <v>66</v>
      </c>
      <c r="D761" s="2" t="s">
        <v>1572</v>
      </c>
      <c r="E761" s="2">
        <v>6328</v>
      </c>
      <c r="F761" s="2">
        <v>306</v>
      </c>
      <c r="G761" s="2">
        <f t="shared" si="118"/>
        <v>50</v>
      </c>
      <c r="H761" s="2">
        <f t="shared" si="119"/>
        <v>50</v>
      </c>
      <c r="I761" s="2">
        <v>0</v>
      </c>
      <c r="J761" s="44" t="s">
        <v>48</v>
      </c>
      <c r="K761" s="2" t="s">
        <v>49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/>
      <c r="AM761" s="2" t="s">
        <v>110</v>
      </c>
      <c r="AN761" s="2">
        <f t="shared" si="111"/>
        <v>0</v>
      </c>
      <c r="AO761" s="2">
        <f t="shared" si="112"/>
        <v>0</v>
      </c>
      <c r="AP761" s="2">
        <f t="shared" si="113"/>
        <v>0</v>
      </c>
      <c r="AQ761" s="2">
        <f t="shared" si="114"/>
        <v>0</v>
      </c>
      <c r="AR761" s="2">
        <f t="shared" si="115"/>
        <v>0</v>
      </c>
      <c r="AS761" s="2">
        <f t="shared" si="116"/>
        <v>0</v>
      </c>
      <c r="AT761" s="25">
        <f t="shared" si="117"/>
        <v>0</v>
      </c>
    </row>
    <row r="762" spans="1:46">
      <c r="A762" s="24">
        <v>46133</v>
      </c>
      <c r="B762" s="23">
        <f t="shared" si="110"/>
        <v>46113</v>
      </c>
      <c r="C762" s="2" t="s">
        <v>97</v>
      </c>
      <c r="D762" s="2" t="s">
        <v>98</v>
      </c>
      <c r="E762" s="2">
        <v>6172</v>
      </c>
      <c r="F762" s="2">
        <v>500</v>
      </c>
      <c r="G762" s="2">
        <f t="shared" si="118"/>
        <v>50</v>
      </c>
      <c r="H762" s="2">
        <f t="shared" si="119"/>
        <v>50</v>
      </c>
      <c r="I762" s="2">
        <v>0</v>
      </c>
      <c r="J762" s="44" t="s">
        <v>48</v>
      </c>
      <c r="K762" s="2" t="s">
        <v>49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/>
      <c r="AM762" s="2" t="s">
        <v>110</v>
      </c>
      <c r="AN762" s="2">
        <f t="shared" si="111"/>
        <v>0</v>
      </c>
      <c r="AO762" s="2">
        <f t="shared" si="112"/>
        <v>0</v>
      </c>
      <c r="AP762" s="2">
        <f t="shared" si="113"/>
        <v>0</v>
      </c>
      <c r="AQ762" s="2">
        <f t="shared" si="114"/>
        <v>0</v>
      </c>
      <c r="AR762" s="2">
        <f t="shared" si="115"/>
        <v>0</v>
      </c>
      <c r="AS762" s="2">
        <f t="shared" si="116"/>
        <v>0</v>
      </c>
      <c r="AT762" s="25">
        <f t="shared" si="117"/>
        <v>0</v>
      </c>
    </row>
    <row r="763" spans="1:46">
      <c r="A763" s="24">
        <v>46133</v>
      </c>
      <c r="B763" s="23">
        <f t="shared" si="110"/>
        <v>46113</v>
      </c>
      <c r="C763" s="2" t="s">
        <v>66</v>
      </c>
      <c r="D763" s="2" t="s">
        <v>415</v>
      </c>
      <c r="E763" s="2">
        <v>9264</v>
      </c>
      <c r="F763" s="2">
        <v>445</v>
      </c>
      <c r="G763" s="2">
        <f t="shared" si="118"/>
        <v>50</v>
      </c>
      <c r="H763" s="2">
        <f t="shared" si="119"/>
        <v>49</v>
      </c>
      <c r="I763" s="2">
        <v>1</v>
      </c>
      <c r="J763" s="44" t="s">
        <v>48</v>
      </c>
      <c r="K763" s="2" t="s">
        <v>49</v>
      </c>
      <c r="L763" s="2">
        <v>1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/>
      <c r="AM763" s="2" t="s">
        <v>110</v>
      </c>
      <c r="AN763" s="2">
        <f t="shared" si="111"/>
        <v>1</v>
      </c>
      <c r="AO763" s="2">
        <f t="shared" si="112"/>
        <v>0</v>
      </c>
      <c r="AP763" s="2">
        <f t="shared" si="113"/>
        <v>0</v>
      </c>
      <c r="AQ763" s="2">
        <f t="shared" si="114"/>
        <v>0</v>
      </c>
      <c r="AR763" s="2">
        <f t="shared" si="115"/>
        <v>0</v>
      </c>
      <c r="AS763" s="2">
        <f t="shared" si="116"/>
        <v>0</v>
      </c>
      <c r="AT763" s="25">
        <f t="shared" si="117"/>
        <v>0</v>
      </c>
    </row>
    <row r="764" spans="1:46">
      <c r="A764" s="24">
        <v>46133</v>
      </c>
      <c r="B764" s="23">
        <f t="shared" si="110"/>
        <v>46113</v>
      </c>
      <c r="C764" s="2" t="s">
        <v>97</v>
      </c>
      <c r="D764" s="2" t="s">
        <v>134</v>
      </c>
      <c r="E764" s="2">
        <v>3326</v>
      </c>
      <c r="F764" s="2">
        <v>51</v>
      </c>
      <c r="G764" s="2">
        <f t="shared" si="118"/>
        <v>20</v>
      </c>
      <c r="H764" s="2">
        <f t="shared" si="119"/>
        <v>19</v>
      </c>
      <c r="I764" s="2">
        <v>1</v>
      </c>
      <c r="J764" s="44" t="s">
        <v>48</v>
      </c>
      <c r="K764" s="2" t="s">
        <v>49</v>
      </c>
      <c r="L764" s="2">
        <v>1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/>
      <c r="AM764" s="2" t="s">
        <v>110</v>
      </c>
      <c r="AN764" s="2">
        <f t="shared" si="111"/>
        <v>1</v>
      </c>
      <c r="AO764" s="2">
        <f t="shared" si="112"/>
        <v>0</v>
      </c>
      <c r="AP764" s="2">
        <f t="shared" si="113"/>
        <v>0</v>
      </c>
      <c r="AQ764" s="2">
        <f t="shared" si="114"/>
        <v>0</v>
      </c>
      <c r="AR764" s="2">
        <f t="shared" si="115"/>
        <v>0</v>
      </c>
      <c r="AS764" s="2">
        <f t="shared" si="116"/>
        <v>0</v>
      </c>
      <c r="AT764" s="25">
        <f t="shared" si="117"/>
        <v>0</v>
      </c>
    </row>
    <row r="765" spans="1:46">
      <c r="A765" s="24">
        <v>46133</v>
      </c>
      <c r="B765" s="23">
        <f t="shared" si="110"/>
        <v>46113</v>
      </c>
      <c r="C765" s="2" t="s">
        <v>55</v>
      </c>
      <c r="D765" s="2" t="s">
        <v>155</v>
      </c>
      <c r="E765" s="2">
        <v>1775</v>
      </c>
      <c r="F765" s="2">
        <v>112</v>
      </c>
      <c r="G765" s="2">
        <f t="shared" si="118"/>
        <v>20</v>
      </c>
      <c r="H765" s="2">
        <f t="shared" si="119"/>
        <v>19</v>
      </c>
      <c r="I765" s="2">
        <v>1</v>
      </c>
      <c r="J765" s="44" t="s">
        <v>48</v>
      </c>
      <c r="K765" s="2" t="s">
        <v>49</v>
      </c>
      <c r="L765" s="2">
        <v>1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/>
      <c r="AM765" s="2" t="s">
        <v>1566</v>
      </c>
      <c r="AN765" s="2">
        <f t="shared" si="111"/>
        <v>1</v>
      </c>
      <c r="AO765" s="2">
        <f t="shared" si="112"/>
        <v>0</v>
      </c>
      <c r="AP765" s="2">
        <f t="shared" si="113"/>
        <v>0</v>
      </c>
      <c r="AQ765" s="2">
        <f t="shared" si="114"/>
        <v>0</v>
      </c>
      <c r="AR765" s="2">
        <f t="shared" si="115"/>
        <v>0</v>
      </c>
      <c r="AS765" s="2">
        <f t="shared" si="116"/>
        <v>0</v>
      </c>
      <c r="AT765" s="25">
        <f t="shared" si="117"/>
        <v>0</v>
      </c>
    </row>
    <row r="766" spans="1:46">
      <c r="A766" s="24">
        <v>46133</v>
      </c>
      <c r="B766" s="23">
        <f t="shared" si="110"/>
        <v>46113</v>
      </c>
      <c r="C766" s="2" t="s">
        <v>55</v>
      </c>
      <c r="D766" s="2" t="s">
        <v>282</v>
      </c>
      <c r="E766" s="2">
        <v>2760</v>
      </c>
      <c r="F766" s="2">
        <v>91</v>
      </c>
      <c r="G766" s="2">
        <f t="shared" si="118"/>
        <v>20</v>
      </c>
      <c r="H766" s="2">
        <f t="shared" si="119"/>
        <v>19</v>
      </c>
      <c r="I766" s="2">
        <v>1</v>
      </c>
      <c r="J766" s="44" t="s">
        <v>48</v>
      </c>
      <c r="K766" s="2" t="s">
        <v>49</v>
      </c>
      <c r="L766" s="2">
        <v>1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/>
      <c r="AM766" s="2" t="s">
        <v>1566</v>
      </c>
      <c r="AN766" s="2">
        <f t="shared" si="111"/>
        <v>1</v>
      </c>
      <c r="AO766" s="2">
        <f t="shared" si="112"/>
        <v>0</v>
      </c>
      <c r="AP766" s="2">
        <f t="shared" si="113"/>
        <v>0</v>
      </c>
      <c r="AQ766" s="2">
        <f t="shared" si="114"/>
        <v>0</v>
      </c>
      <c r="AR766" s="2">
        <f t="shared" si="115"/>
        <v>0</v>
      </c>
      <c r="AS766" s="2">
        <f t="shared" si="116"/>
        <v>0</v>
      </c>
      <c r="AT766" s="25">
        <f t="shared" si="117"/>
        <v>0</v>
      </c>
    </row>
    <row r="767" spans="1:46">
      <c r="A767" s="24">
        <v>46133</v>
      </c>
      <c r="B767" s="23">
        <f t="shared" si="110"/>
        <v>46113</v>
      </c>
      <c r="C767" s="2" t="s">
        <v>55</v>
      </c>
      <c r="D767" s="3" t="s">
        <v>57</v>
      </c>
      <c r="E767" s="2">
        <v>2760</v>
      </c>
      <c r="F767" s="2">
        <v>551</v>
      </c>
      <c r="G767" s="2">
        <f t="shared" si="118"/>
        <v>80</v>
      </c>
      <c r="H767" s="2">
        <f t="shared" si="119"/>
        <v>71</v>
      </c>
      <c r="I767" s="2">
        <v>9</v>
      </c>
      <c r="J767" s="44" t="s">
        <v>67</v>
      </c>
      <c r="K767" s="2" t="s">
        <v>49</v>
      </c>
      <c r="L767" s="2">
        <v>1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8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/>
      <c r="AM767" s="2" t="s">
        <v>1566</v>
      </c>
      <c r="AN767" s="2">
        <f t="shared" si="111"/>
        <v>1</v>
      </c>
      <c r="AO767" s="2">
        <f t="shared" si="112"/>
        <v>8</v>
      </c>
      <c r="AP767" s="2">
        <f t="shared" si="113"/>
        <v>0</v>
      </c>
      <c r="AQ767" s="2">
        <f t="shared" si="114"/>
        <v>0</v>
      </c>
      <c r="AR767" s="2">
        <f t="shared" si="115"/>
        <v>0</v>
      </c>
      <c r="AS767" s="2">
        <f t="shared" si="116"/>
        <v>0</v>
      </c>
      <c r="AT767" s="25">
        <f t="shared" si="117"/>
        <v>0</v>
      </c>
    </row>
    <row r="768" spans="1:46">
      <c r="A768" s="24">
        <v>46133</v>
      </c>
      <c r="B768" s="23">
        <f t="shared" si="110"/>
        <v>46113</v>
      </c>
      <c r="C768" s="2" t="s">
        <v>55</v>
      </c>
      <c r="D768" s="2" t="s">
        <v>304</v>
      </c>
      <c r="E768" s="2">
        <v>9154</v>
      </c>
      <c r="F768" s="2">
        <v>270</v>
      </c>
      <c r="G768" s="2">
        <f t="shared" si="118"/>
        <v>32</v>
      </c>
      <c r="H768" s="2">
        <f t="shared" si="119"/>
        <v>27</v>
      </c>
      <c r="I768" s="2">
        <v>5</v>
      </c>
      <c r="J768" s="44" t="s">
        <v>67</v>
      </c>
      <c r="K768" s="2" t="s">
        <v>49</v>
      </c>
      <c r="L768" s="2">
        <v>5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/>
      <c r="AM768" s="2" t="s">
        <v>1566</v>
      </c>
      <c r="AN768" s="2">
        <f t="shared" si="111"/>
        <v>5</v>
      </c>
      <c r="AO768" s="2">
        <f t="shared" si="112"/>
        <v>0</v>
      </c>
      <c r="AP768" s="2">
        <f t="shared" si="113"/>
        <v>0</v>
      </c>
      <c r="AQ768" s="2">
        <f t="shared" si="114"/>
        <v>0</v>
      </c>
      <c r="AR768" s="2">
        <f t="shared" si="115"/>
        <v>0</v>
      </c>
      <c r="AS768" s="2">
        <f t="shared" si="116"/>
        <v>0</v>
      </c>
      <c r="AT768" s="25">
        <f t="shared" si="117"/>
        <v>0</v>
      </c>
    </row>
    <row r="769" spans="1:46">
      <c r="A769" s="24">
        <v>46133</v>
      </c>
      <c r="B769" s="23">
        <f t="shared" si="110"/>
        <v>46113</v>
      </c>
      <c r="C769" s="2" t="s">
        <v>55</v>
      </c>
      <c r="D769" s="2" t="s">
        <v>132</v>
      </c>
      <c r="E769" s="2">
        <v>1775</v>
      </c>
      <c r="F769" s="2">
        <v>89</v>
      </c>
      <c r="G769" s="2">
        <f t="shared" si="118"/>
        <v>20</v>
      </c>
      <c r="H769" s="2">
        <f t="shared" si="119"/>
        <v>20</v>
      </c>
      <c r="I769" s="2">
        <v>0</v>
      </c>
      <c r="J769" s="44" t="s">
        <v>48</v>
      </c>
      <c r="K769" s="2" t="s">
        <v>49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/>
      <c r="AM769" s="2" t="s">
        <v>1566</v>
      </c>
      <c r="AN769" s="2">
        <f t="shared" si="111"/>
        <v>0</v>
      </c>
      <c r="AO769" s="2">
        <f t="shared" si="112"/>
        <v>0</v>
      </c>
      <c r="AP769" s="2">
        <f t="shared" si="113"/>
        <v>0</v>
      </c>
      <c r="AQ769" s="2">
        <f t="shared" si="114"/>
        <v>0</v>
      </c>
      <c r="AR769" s="2">
        <f t="shared" si="115"/>
        <v>0</v>
      </c>
      <c r="AS769" s="2">
        <f t="shared" si="116"/>
        <v>0</v>
      </c>
      <c r="AT769" s="25">
        <f t="shared" si="117"/>
        <v>0</v>
      </c>
    </row>
    <row r="770" spans="1:46">
      <c r="A770" s="24">
        <v>46133</v>
      </c>
      <c r="B770" s="23">
        <f t="shared" ref="B770:B833" si="120">EOMONTH(A770,-1)+1</f>
        <v>46113</v>
      </c>
      <c r="C770" s="2" t="s">
        <v>55</v>
      </c>
      <c r="D770" s="2" t="s">
        <v>57</v>
      </c>
      <c r="E770" s="2">
        <v>2760</v>
      </c>
      <c r="F770" s="2">
        <v>398</v>
      </c>
      <c r="G770" s="2">
        <f t="shared" si="118"/>
        <v>50</v>
      </c>
      <c r="H770" s="2">
        <f t="shared" si="119"/>
        <v>50</v>
      </c>
      <c r="I770" s="2">
        <v>0</v>
      </c>
      <c r="J770" s="44" t="s">
        <v>48</v>
      </c>
      <c r="K770" s="2" t="s">
        <v>49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/>
      <c r="AM770" s="2" t="s">
        <v>1566</v>
      </c>
      <c r="AN770" s="2">
        <f t="shared" ref="AN770:AN833" si="121">+L770+AI770</f>
        <v>0</v>
      </c>
      <c r="AO770" s="2">
        <f t="shared" ref="AO770:AO833" si="122">+M770+N770+O770+P770+Q770+R770+S770+T770+U770+V770</f>
        <v>0</v>
      </c>
      <c r="AP770" s="2">
        <f t="shared" ref="AP770:AP833" si="123">+AE770+AF770</f>
        <v>0</v>
      </c>
      <c r="AQ770" s="2">
        <f t="shared" ref="AQ770:AQ833" si="124">+AK770+AD770+AC770+AJ770</f>
        <v>0</v>
      </c>
      <c r="AR770" s="2">
        <f t="shared" ref="AR770:AR833" si="125">+W770+X770+Y770+Z770+AA770+AB770</f>
        <v>0</v>
      </c>
      <c r="AS770" s="2">
        <f t="shared" ref="AS770:AS833" si="126">+AG770</f>
        <v>0</v>
      </c>
      <c r="AT770" s="25">
        <f t="shared" ref="AT770:AT833" si="127">+AH770</f>
        <v>0</v>
      </c>
    </row>
    <row r="771" spans="1:46">
      <c r="A771" s="24">
        <v>46133</v>
      </c>
      <c r="B771" s="23">
        <f t="shared" si="120"/>
        <v>46113</v>
      </c>
      <c r="C771" s="2" t="s">
        <v>55</v>
      </c>
      <c r="D771" s="2" t="s">
        <v>304</v>
      </c>
      <c r="E771" s="2">
        <v>9154</v>
      </c>
      <c r="F771" s="2">
        <v>265</v>
      </c>
      <c r="G771" s="2">
        <f t="shared" ref="G771:G834" si="128">IF(F771&lt;1001,IF(F771&gt;500,80,IF(F771&gt;280,50,IF(F771&gt;150,32,IF(F771&lt;51,F771,20)))),125)</f>
        <v>32</v>
      </c>
      <c r="H771" s="2">
        <f t="shared" ref="H771:H834" si="129">G771-I771</f>
        <v>32</v>
      </c>
      <c r="I771" s="2">
        <v>0</v>
      </c>
      <c r="J771" s="44" t="s">
        <v>48</v>
      </c>
      <c r="K771" s="2" t="s">
        <v>49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/>
      <c r="AM771" s="2" t="s">
        <v>1566</v>
      </c>
      <c r="AN771" s="2">
        <f t="shared" si="121"/>
        <v>0</v>
      </c>
      <c r="AO771" s="2">
        <f t="shared" si="122"/>
        <v>0</v>
      </c>
      <c r="AP771" s="2">
        <f t="shared" si="123"/>
        <v>0</v>
      </c>
      <c r="AQ771" s="2">
        <f t="shared" si="124"/>
        <v>0</v>
      </c>
      <c r="AR771" s="2">
        <f t="shared" si="125"/>
        <v>0</v>
      </c>
      <c r="AS771" s="2">
        <f t="shared" si="126"/>
        <v>0</v>
      </c>
      <c r="AT771" s="25">
        <f t="shared" si="127"/>
        <v>0</v>
      </c>
    </row>
    <row r="772" spans="1:46">
      <c r="A772" s="24">
        <v>46133</v>
      </c>
      <c r="B772" s="23">
        <f t="shared" si="120"/>
        <v>46113</v>
      </c>
      <c r="C772" s="2" t="s">
        <v>95</v>
      </c>
      <c r="D772" s="2" t="s">
        <v>326</v>
      </c>
      <c r="E772" s="2">
        <v>3322</v>
      </c>
      <c r="F772" s="2">
        <v>123</v>
      </c>
      <c r="G772" s="2">
        <f t="shared" si="128"/>
        <v>20</v>
      </c>
      <c r="H772" s="2">
        <f t="shared" si="129"/>
        <v>19</v>
      </c>
      <c r="I772" s="2">
        <v>1</v>
      </c>
      <c r="J772" s="44" t="s">
        <v>48</v>
      </c>
      <c r="K772" s="2" t="s">
        <v>49</v>
      </c>
      <c r="L772" s="2">
        <v>1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/>
      <c r="AM772" s="2" t="s">
        <v>1567</v>
      </c>
      <c r="AN772" s="2">
        <f t="shared" si="121"/>
        <v>1</v>
      </c>
      <c r="AO772" s="2">
        <f t="shared" si="122"/>
        <v>0</v>
      </c>
      <c r="AP772" s="2">
        <f t="shared" si="123"/>
        <v>0</v>
      </c>
      <c r="AQ772" s="2">
        <f t="shared" si="124"/>
        <v>0</v>
      </c>
      <c r="AR772" s="2">
        <f t="shared" si="125"/>
        <v>0</v>
      </c>
      <c r="AS772" s="2">
        <f t="shared" si="126"/>
        <v>0</v>
      </c>
      <c r="AT772" s="25">
        <f t="shared" si="127"/>
        <v>0</v>
      </c>
    </row>
    <row r="773" spans="1:46">
      <c r="A773" s="24">
        <v>46133</v>
      </c>
      <c r="B773" s="23">
        <f t="shared" si="120"/>
        <v>46113</v>
      </c>
      <c r="C773" s="2" t="s">
        <v>95</v>
      </c>
      <c r="D773" s="2" t="s">
        <v>136</v>
      </c>
      <c r="E773" s="2">
        <v>2679</v>
      </c>
      <c r="F773" s="2">
        <v>257</v>
      </c>
      <c r="G773" s="2">
        <f t="shared" si="128"/>
        <v>32</v>
      </c>
      <c r="H773" s="2">
        <f t="shared" si="129"/>
        <v>32</v>
      </c>
      <c r="I773" s="2">
        <v>0</v>
      </c>
      <c r="J773" s="44" t="s">
        <v>48</v>
      </c>
      <c r="K773" s="2" t="s">
        <v>49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/>
      <c r="AM773" s="2" t="s">
        <v>1567</v>
      </c>
      <c r="AN773" s="2">
        <f t="shared" si="121"/>
        <v>0</v>
      </c>
      <c r="AO773" s="2">
        <f t="shared" si="122"/>
        <v>0</v>
      </c>
      <c r="AP773" s="2">
        <f t="shared" si="123"/>
        <v>0</v>
      </c>
      <c r="AQ773" s="2">
        <f t="shared" si="124"/>
        <v>0</v>
      </c>
      <c r="AR773" s="2">
        <f t="shared" si="125"/>
        <v>0</v>
      </c>
      <c r="AS773" s="2">
        <f t="shared" si="126"/>
        <v>0</v>
      </c>
      <c r="AT773" s="25">
        <f t="shared" si="127"/>
        <v>0</v>
      </c>
    </row>
    <row r="774" spans="1:46">
      <c r="A774" s="24">
        <v>46133</v>
      </c>
      <c r="B774" s="23">
        <f t="shared" si="120"/>
        <v>46113</v>
      </c>
      <c r="C774" s="2" t="s">
        <v>95</v>
      </c>
      <c r="D774" s="2" t="s">
        <v>175</v>
      </c>
      <c r="E774" s="2">
        <v>6292</v>
      </c>
      <c r="F774" s="2">
        <v>56</v>
      </c>
      <c r="G774" s="2">
        <f t="shared" si="128"/>
        <v>20</v>
      </c>
      <c r="H774" s="2">
        <f t="shared" si="129"/>
        <v>15</v>
      </c>
      <c r="I774" s="2">
        <v>5</v>
      </c>
      <c r="J774" s="44" t="s">
        <v>67</v>
      </c>
      <c r="K774" s="2" t="s">
        <v>49</v>
      </c>
      <c r="L774" s="2">
        <v>5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/>
      <c r="AM774" s="2" t="s">
        <v>1567</v>
      </c>
      <c r="AN774" s="2">
        <f t="shared" si="121"/>
        <v>5</v>
      </c>
      <c r="AO774" s="2">
        <f t="shared" si="122"/>
        <v>0</v>
      </c>
      <c r="AP774" s="2">
        <f t="shared" si="123"/>
        <v>0</v>
      </c>
      <c r="AQ774" s="2">
        <f t="shared" si="124"/>
        <v>0</v>
      </c>
      <c r="AR774" s="2">
        <f t="shared" si="125"/>
        <v>0</v>
      </c>
      <c r="AS774" s="2">
        <f t="shared" si="126"/>
        <v>0</v>
      </c>
      <c r="AT774" s="25">
        <f t="shared" si="127"/>
        <v>0</v>
      </c>
    </row>
    <row r="775" spans="1:46">
      <c r="A775" s="24">
        <v>46133</v>
      </c>
      <c r="B775" s="23">
        <f t="shared" si="120"/>
        <v>46113</v>
      </c>
      <c r="C775" s="2" t="s">
        <v>46</v>
      </c>
      <c r="D775" s="2" t="s">
        <v>176</v>
      </c>
      <c r="E775" s="2">
        <v>7152</v>
      </c>
      <c r="F775" s="2">
        <v>301</v>
      </c>
      <c r="G775" s="2">
        <f t="shared" si="128"/>
        <v>50</v>
      </c>
      <c r="H775" s="2">
        <f t="shared" si="129"/>
        <v>49</v>
      </c>
      <c r="I775" s="2">
        <v>1</v>
      </c>
      <c r="J775" s="44" t="s">
        <v>48</v>
      </c>
      <c r="K775" s="2" t="s">
        <v>49</v>
      </c>
      <c r="L775" s="2">
        <v>1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/>
      <c r="AM775" s="2" t="s">
        <v>1567</v>
      </c>
      <c r="AN775" s="2">
        <f t="shared" si="121"/>
        <v>1</v>
      </c>
      <c r="AO775" s="2">
        <f t="shared" si="122"/>
        <v>0</v>
      </c>
      <c r="AP775" s="2">
        <f t="shared" si="123"/>
        <v>0</v>
      </c>
      <c r="AQ775" s="2">
        <f t="shared" si="124"/>
        <v>0</v>
      </c>
      <c r="AR775" s="2">
        <f t="shared" si="125"/>
        <v>0</v>
      </c>
      <c r="AS775" s="2">
        <f t="shared" si="126"/>
        <v>0</v>
      </c>
      <c r="AT775" s="25">
        <f t="shared" si="127"/>
        <v>0</v>
      </c>
    </row>
    <row r="776" spans="1:46">
      <c r="A776" s="24">
        <v>46133</v>
      </c>
      <c r="B776" s="23">
        <f t="shared" si="120"/>
        <v>46113</v>
      </c>
      <c r="C776" s="2" t="s">
        <v>95</v>
      </c>
      <c r="D776" s="2" t="s">
        <v>96</v>
      </c>
      <c r="E776" s="2">
        <v>1802</v>
      </c>
      <c r="F776" s="2">
        <v>443</v>
      </c>
      <c r="G776" s="2">
        <f t="shared" si="128"/>
        <v>50</v>
      </c>
      <c r="H776" s="2">
        <f t="shared" si="129"/>
        <v>50</v>
      </c>
      <c r="I776" s="2">
        <v>0</v>
      </c>
      <c r="J776" s="44" t="s">
        <v>48</v>
      </c>
      <c r="K776" s="2" t="s">
        <v>49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/>
      <c r="AM776" s="2" t="s">
        <v>1567</v>
      </c>
      <c r="AN776" s="2">
        <f t="shared" si="121"/>
        <v>0</v>
      </c>
      <c r="AO776" s="2">
        <f t="shared" si="122"/>
        <v>0</v>
      </c>
      <c r="AP776" s="2">
        <f t="shared" si="123"/>
        <v>0</v>
      </c>
      <c r="AQ776" s="2">
        <f t="shared" si="124"/>
        <v>0</v>
      </c>
      <c r="AR776" s="2">
        <f t="shared" si="125"/>
        <v>0</v>
      </c>
      <c r="AS776" s="2">
        <f t="shared" si="126"/>
        <v>0</v>
      </c>
      <c r="AT776" s="25">
        <f t="shared" si="127"/>
        <v>0</v>
      </c>
    </row>
    <row r="777" spans="1:46">
      <c r="A777" s="24">
        <v>46133</v>
      </c>
      <c r="B777" s="23">
        <f t="shared" si="120"/>
        <v>46113</v>
      </c>
      <c r="C777" s="2" t="s">
        <v>95</v>
      </c>
      <c r="D777" s="2" t="s">
        <v>315</v>
      </c>
      <c r="E777" s="2">
        <v>6291</v>
      </c>
      <c r="F777" s="2">
        <v>121</v>
      </c>
      <c r="G777" s="2">
        <f t="shared" si="128"/>
        <v>20</v>
      </c>
      <c r="H777" s="2">
        <f t="shared" si="129"/>
        <v>20</v>
      </c>
      <c r="I777" s="2">
        <v>0</v>
      </c>
      <c r="J777" s="44" t="s">
        <v>48</v>
      </c>
      <c r="K777" s="2" t="s">
        <v>49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/>
      <c r="AM777" s="2" t="s">
        <v>1567</v>
      </c>
      <c r="AN777" s="2">
        <f t="shared" si="121"/>
        <v>0</v>
      </c>
      <c r="AO777" s="2">
        <f t="shared" si="122"/>
        <v>0</v>
      </c>
      <c r="AP777" s="2">
        <f t="shared" si="123"/>
        <v>0</v>
      </c>
      <c r="AQ777" s="2">
        <f t="shared" si="124"/>
        <v>0</v>
      </c>
      <c r="AR777" s="2">
        <f t="shared" si="125"/>
        <v>0</v>
      </c>
      <c r="AS777" s="2">
        <f t="shared" si="126"/>
        <v>0</v>
      </c>
      <c r="AT777" s="25">
        <f t="shared" si="127"/>
        <v>0</v>
      </c>
    </row>
    <row r="778" spans="1:46">
      <c r="A778" s="24">
        <v>46133</v>
      </c>
      <c r="B778" s="23">
        <f t="shared" si="120"/>
        <v>46113</v>
      </c>
      <c r="C778" s="2" t="s">
        <v>46</v>
      </c>
      <c r="D778" s="2" t="s">
        <v>54</v>
      </c>
      <c r="E778" s="2">
        <v>1774</v>
      </c>
      <c r="F778" s="2">
        <v>219</v>
      </c>
      <c r="G778" s="2">
        <f t="shared" si="128"/>
        <v>32</v>
      </c>
      <c r="H778" s="2">
        <f t="shared" si="129"/>
        <v>32</v>
      </c>
      <c r="I778" s="2">
        <v>0</v>
      </c>
      <c r="J778" s="44" t="s">
        <v>48</v>
      </c>
      <c r="K778" s="2" t="s">
        <v>49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/>
      <c r="AM778" s="2" t="s">
        <v>1567</v>
      </c>
      <c r="AN778" s="2">
        <f t="shared" si="121"/>
        <v>0</v>
      </c>
      <c r="AO778" s="2">
        <f t="shared" si="122"/>
        <v>0</v>
      </c>
      <c r="AP778" s="2">
        <f t="shared" si="123"/>
        <v>0</v>
      </c>
      <c r="AQ778" s="2">
        <f t="shared" si="124"/>
        <v>0</v>
      </c>
      <c r="AR778" s="2">
        <f t="shared" si="125"/>
        <v>0</v>
      </c>
      <c r="AS778" s="2">
        <f t="shared" si="126"/>
        <v>0</v>
      </c>
      <c r="AT778" s="25">
        <f t="shared" si="127"/>
        <v>0</v>
      </c>
    </row>
    <row r="779" spans="1:46">
      <c r="A779" s="24">
        <v>46133</v>
      </c>
      <c r="B779" s="23">
        <f t="shared" si="120"/>
        <v>46113</v>
      </c>
      <c r="C779" s="2" t="s">
        <v>46</v>
      </c>
      <c r="D779" s="2" t="s">
        <v>52</v>
      </c>
      <c r="E779" s="2">
        <v>6269</v>
      </c>
      <c r="F779" s="2">
        <v>343</v>
      </c>
      <c r="G779" s="2">
        <f t="shared" si="128"/>
        <v>50</v>
      </c>
      <c r="H779" s="2">
        <f t="shared" si="129"/>
        <v>48</v>
      </c>
      <c r="I779" s="2">
        <v>2</v>
      </c>
      <c r="J779" s="44" t="s">
        <v>48</v>
      </c>
      <c r="K779" s="2" t="s">
        <v>49</v>
      </c>
      <c r="L779" s="2">
        <v>2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/>
      <c r="AM779" s="2" t="s">
        <v>1567</v>
      </c>
      <c r="AN779" s="2">
        <f t="shared" si="121"/>
        <v>2</v>
      </c>
      <c r="AO779" s="2">
        <f t="shared" si="122"/>
        <v>0</v>
      </c>
      <c r="AP779" s="2">
        <f t="shared" si="123"/>
        <v>0</v>
      </c>
      <c r="AQ779" s="2">
        <f t="shared" si="124"/>
        <v>0</v>
      </c>
      <c r="AR779" s="2">
        <f t="shared" si="125"/>
        <v>0</v>
      </c>
      <c r="AS779" s="2">
        <f t="shared" si="126"/>
        <v>0</v>
      </c>
      <c r="AT779" s="25">
        <f t="shared" si="127"/>
        <v>0</v>
      </c>
    </row>
    <row r="780" spans="1:46">
      <c r="A780" s="24">
        <v>46134</v>
      </c>
      <c r="B780" s="23">
        <f t="shared" si="120"/>
        <v>46113</v>
      </c>
      <c r="C780" s="2" t="s">
        <v>72</v>
      </c>
      <c r="D780" s="2" t="s">
        <v>199</v>
      </c>
      <c r="E780" s="2">
        <v>1825</v>
      </c>
      <c r="F780" s="2">
        <v>129</v>
      </c>
      <c r="G780" s="2">
        <f t="shared" si="128"/>
        <v>20</v>
      </c>
      <c r="H780" s="2">
        <f t="shared" si="129"/>
        <v>20</v>
      </c>
      <c r="I780" s="2">
        <v>0</v>
      </c>
      <c r="J780" s="44" t="s">
        <v>48</v>
      </c>
      <c r="K780" s="2" t="s">
        <v>49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/>
      <c r="AM780" s="2" t="s">
        <v>103</v>
      </c>
      <c r="AN780" s="2">
        <f t="shared" si="121"/>
        <v>0</v>
      </c>
      <c r="AO780" s="2">
        <f t="shared" si="122"/>
        <v>0</v>
      </c>
      <c r="AP780" s="2">
        <f t="shared" si="123"/>
        <v>0</v>
      </c>
      <c r="AQ780" s="2">
        <f t="shared" si="124"/>
        <v>0</v>
      </c>
      <c r="AR780" s="2">
        <f t="shared" si="125"/>
        <v>0</v>
      </c>
      <c r="AS780" s="2">
        <f t="shared" si="126"/>
        <v>0</v>
      </c>
      <c r="AT780" s="25">
        <f t="shared" si="127"/>
        <v>0</v>
      </c>
    </row>
    <row r="781" spans="1:46">
      <c r="A781" s="24">
        <v>46134</v>
      </c>
      <c r="B781" s="23">
        <f t="shared" si="120"/>
        <v>46113</v>
      </c>
      <c r="C781" s="2" t="s">
        <v>46</v>
      </c>
      <c r="D781" s="2" t="s">
        <v>127</v>
      </c>
      <c r="E781" s="2">
        <v>6296</v>
      </c>
      <c r="F781" s="2">
        <v>112</v>
      </c>
      <c r="G781" s="2">
        <f t="shared" si="128"/>
        <v>20</v>
      </c>
      <c r="H781" s="2">
        <f t="shared" si="129"/>
        <v>19</v>
      </c>
      <c r="I781" s="2">
        <v>1</v>
      </c>
      <c r="J781" s="44" t="s">
        <v>48</v>
      </c>
      <c r="K781" s="2" t="s">
        <v>49</v>
      </c>
      <c r="L781" s="2">
        <v>1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/>
      <c r="AM781" s="2" t="s">
        <v>80</v>
      </c>
      <c r="AN781" s="2">
        <f t="shared" si="121"/>
        <v>1</v>
      </c>
      <c r="AO781" s="2">
        <f t="shared" si="122"/>
        <v>0</v>
      </c>
      <c r="AP781" s="2">
        <f t="shared" si="123"/>
        <v>0</v>
      </c>
      <c r="AQ781" s="2">
        <f t="shared" si="124"/>
        <v>0</v>
      </c>
      <c r="AR781" s="2">
        <f t="shared" si="125"/>
        <v>0</v>
      </c>
      <c r="AS781" s="2">
        <f t="shared" si="126"/>
        <v>0</v>
      </c>
      <c r="AT781" s="25">
        <f t="shared" si="127"/>
        <v>0</v>
      </c>
    </row>
    <row r="782" spans="1:46">
      <c r="A782" s="24">
        <v>46134</v>
      </c>
      <c r="B782" s="23">
        <f t="shared" si="120"/>
        <v>46113</v>
      </c>
      <c r="C782" s="2" t="s">
        <v>72</v>
      </c>
      <c r="D782" s="2" t="s">
        <v>200</v>
      </c>
      <c r="E782" s="2">
        <v>8110</v>
      </c>
      <c r="F782" s="2">
        <v>146</v>
      </c>
      <c r="G782" s="2">
        <f t="shared" si="128"/>
        <v>20</v>
      </c>
      <c r="H782" s="2">
        <f t="shared" si="129"/>
        <v>20</v>
      </c>
      <c r="I782" s="2">
        <v>0</v>
      </c>
      <c r="J782" s="44" t="s">
        <v>48</v>
      </c>
      <c r="K782" s="2" t="s">
        <v>49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/>
      <c r="AM782" s="2" t="s">
        <v>80</v>
      </c>
      <c r="AN782" s="2">
        <f t="shared" si="121"/>
        <v>0</v>
      </c>
      <c r="AO782" s="2">
        <f t="shared" si="122"/>
        <v>0</v>
      </c>
      <c r="AP782" s="2">
        <f t="shared" si="123"/>
        <v>0</v>
      </c>
      <c r="AQ782" s="2">
        <f t="shared" si="124"/>
        <v>0</v>
      </c>
      <c r="AR782" s="2">
        <f t="shared" si="125"/>
        <v>0</v>
      </c>
      <c r="AS782" s="2">
        <f t="shared" si="126"/>
        <v>0</v>
      </c>
      <c r="AT782" s="25">
        <f t="shared" si="127"/>
        <v>0</v>
      </c>
    </row>
    <row r="783" spans="1:46">
      <c r="A783" s="24">
        <v>46134</v>
      </c>
      <c r="B783" s="23">
        <f t="shared" si="120"/>
        <v>46113</v>
      </c>
      <c r="C783" s="2" t="s">
        <v>95</v>
      </c>
      <c r="D783" s="2" t="s">
        <v>214</v>
      </c>
      <c r="E783" s="2">
        <v>2679</v>
      </c>
      <c r="F783" s="2">
        <v>58</v>
      </c>
      <c r="G783" s="2">
        <f t="shared" si="128"/>
        <v>20</v>
      </c>
      <c r="H783" s="2">
        <f t="shared" si="129"/>
        <v>20</v>
      </c>
      <c r="I783" s="2">
        <v>0</v>
      </c>
      <c r="J783" s="44" t="s">
        <v>48</v>
      </c>
      <c r="K783" s="2" t="s">
        <v>49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/>
      <c r="AM783" s="2" t="s">
        <v>1567</v>
      </c>
      <c r="AN783" s="2">
        <f t="shared" si="121"/>
        <v>0</v>
      </c>
      <c r="AO783" s="2">
        <f t="shared" si="122"/>
        <v>0</v>
      </c>
      <c r="AP783" s="2">
        <f t="shared" si="123"/>
        <v>0</v>
      </c>
      <c r="AQ783" s="2">
        <f t="shared" si="124"/>
        <v>0</v>
      </c>
      <c r="AR783" s="2">
        <f t="shared" si="125"/>
        <v>0</v>
      </c>
      <c r="AS783" s="2">
        <f t="shared" si="126"/>
        <v>0</v>
      </c>
      <c r="AT783" s="25">
        <f t="shared" si="127"/>
        <v>0</v>
      </c>
    </row>
    <row r="784" spans="1:46">
      <c r="A784" s="24">
        <v>46134</v>
      </c>
      <c r="B784" s="23">
        <f t="shared" si="120"/>
        <v>46113</v>
      </c>
      <c r="C784" s="2" t="s">
        <v>46</v>
      </c>
      <c r="D784" s="2" t="s">
        <v>1209</v>
      </c>
      <c r="E784" s="2">
        <v>1774</v>
      </c>
      <c r="F784" s="2">
        <v>238</v>
      </c>
      <c r="G784" s="2">
        <f t="shared" si="128"/>
        <v>32</v>
      </c>
      <c r="H784" s="2">
        <f t="shared" si="129"/>
        <v>30</v>
      </c>
      <c r="I784" s="2">
        <v>2</v>
      </c>
      <c r="J784" s="44" t="s">
        <v>48</v>
      </c>
      <c r="K784" s="2" t="s">
        <v>49</v>
      </c>
      <c r="L784" s="2">
        <v>2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/>
      <c r="AM784" s="2" t="s">
        <v>1567</v>
      </c>
      <c r="AN784" s="2">
        <f t="shared" si="121"/>
        <v>2</v>
      </c>
      <c r="AO784" s="2">
        <f t="shared" si="122"/>
        <v>0</v>
      </c>
      <c r="AP784" s="2">
        <f t="shared" si="123"/>
        <v>0</v>
      </c>
      <c r="AQ784" s="2">
        <f t="shared" si="124"/>
        <v>0</v>
      </c>
      <c r="AR784" s="2">
        <f t="shared" si="125"/>
        <v>0</v>
      </c>
      <c r="AS784" s="2">
        <f t="shared" si="126"/>
        <v>0</v>
      </c>
      <c r="AT784" s="25">
        <f t="shared" si="127"/>
        <v>0</v>
      </c>
    </row>
    <row r="785" spans="1:46">
      <c r="A785" s="24">
        <v>46134</v>
      </c>
      <c r="B785" s="23">
        <f t="shared" si="120"/>
        <v>46113</v>
      </c>
      <c r="C785" s="2" t="s">
        <v>95</v>
      </c>
      <c r="D785" s="2" t="s">
        <v>216</v>
      </c>
      <c r="E785" s="2">
        <v>2679</v>
      </c>
      <c r="F785" s="2">
        <v>70</v>
      </c>
      <c r="G785" s="2">
        <f t="shared" si="128"/>
        <v>20</v>
      </c>
      <c r="H785" s="2">
        <f t="shared" si="129"/>
        <v>16</v>
      </c>
      <c r="I785" s="2">
        <v>4</v>
      </c>
      <c r="J785" s="44" t="s">
        <v>67</v>
      </c>
      <c r="K785" s="2" t="s">
        <v>49</v>
      </c>
      <c r="L785" s="2">
        <v>4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/>
      <c r="AM785" s="2" t="s">
        <v>1567</v>
      </c>
      <c r="AN785" s="2">
        <f t="shared" si="121"/>
        <v>4</v>
      </c>
      <c r="AO785" s="2">
        <f t="shared" si="122"/>
        <v>0</v>
      </c>
      <c r="AP785" s="2">
        <f t="shared" si="123"/>
        <v>0</v>
      </c>
      <c r="AQ785" s="2">
        <f t="shared" si="124"/>
        <v>0</v>
      </c>
      <c r="AR785" s="2">
        <f t="shared" si="125"/>
        <v>0</v>
      </c>
      <c r="AS785" s="2">
        <f t="shared" si="126"/>
        <v>0</v>
      </c>
      <c r="AT785" s="25">
        <f t="shared" si="127"/>
        <v>0</v>
      </c>
    </row>
    <row r="786" spans="1:46">
      <c r="A786" s="24">
        <v>46134</v>
      </c>
      <c r="B786" s="23">
        <f t="shared" si="120"/>
        <v>46113</v>
      </c>
      <c r="C786" s="2" t="s">
        <v>46</v>
      </c>
      <c r="D786" s="2" t="s">
        <v>418</v>
      </c>
      <c r="E786" s="2">
        <v>7152</v>
      </c>
      <c r="F786" s="2">
        <v>1000</v>
      </c>
      <c r="G786" s="2">
        <f t="shared" si="128"/>
        <v>80</v>
      </c>
      <c r="H786" s="2">
        <f t="shared" si="129"/>
        <v>76</v>
      </c>
      <c r="I786" s="2">
        <v>4</v>
      </c>
      <c r="J786" s="44" t="s">
        <v>48</v>
      </c>
      <c r="K786" s="2" t="s">
        <v>49</v>
      </c>
      <c r="L786" s="2">
        <v>4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/>
      <c r="AM786" s="2" t="s">
        <v>1567</v>
      </c>
      <c r="AN786" s="2">
        <f t="shared" si="121"/>
        <v>4</v>
      </c>
      <c r="AO786" s="2">
        <f t="shared" si="122"/>
        <v>0</v>
      </c>
      <c r="AP786" s="2">
        <f t="shared" si="123"/>
        <v>0</v>
      </c>
      <c r="AQ786" s="2">
        <f t="shared" si="124"/>
        <v>0</v>
      </c>
      <c r="AR786" s="2">
        <f t="shared" si="125"/>
        <v>0</v>
      </c>
      <c r="AS786" s="2">
        <f t="shared" si="126"/>
        <v>0</v>
      </c>
      <c r="AT786" s="25">
        <f t="shared" si="127"/>
        <v>0</v>
      </c>
    </row>
    <row r="787" spans="1:46">
      <c r="A787" s="24">
        <v>46134</v>
      </c>
      <c r="B787" s="23">
        <f t="shared" si="120"/>
        <v>46113</v>
      </c>
      <c r="C787" s="2" t="s">
        <v>95</v>
      </c>
      <c r="D787" s="2" t="s">
        <v>216</v>
      </c>
      <c r="E787" s="2">
        <v>2679</v>
      </c>
      <c r="F787" s="2">
        <v>70</v>
      </c>
      <c r="G787" s="2">
        <f t="shared" si="128"/>
        <v>20</v>
      </c>
      <c r="H787" s="2">
        <f t="shared" si="129"/>
        <v>19</v>
      </c>
      <c r="I787" s="2">
        <v>1</v>
      </c>
      <c r="J787" s="44" t="s">
        <v>48</v>
      </c>
      <c r="K787" s="2" t="s">
        <v>49</v>
      </c>
      <c r="L787" s="2">
        <v>1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/>
      <c r="AM787" s="2" t="s">
        <v>1567</v>
      </c>
      <c r="AN787" s="2">
        <f t="shared" si="121"/>
        <v>1</v>
      </c>
      <c r="AO787" s="2">
        <f t="shared" si="122"/>
        <v>0</v>
      </c>
      <c r="AP787" s="2">
        <f t="shared" si="123"/>
        <v>0</v>
      </c>
      <c r="AQ787" s="2">
        <f t="shared" si="124"/>
        <v>0</v>
      </c>
      <c r="AR787" s="2">
        <f t="shared" si="125"/>
        <v>0</v>
      </c>
      <c r="AS787" s="2">
        <f t="shared" si="126"/>
        <v>0</v>
      </c>
      <c r="AT787" s="25">
        <f t="shared" si="127"/>
        <v>0</v>
      </c>
    </row>
    <row r="788" spans="1:46">
      <c r="A788" s="24">
        <v>46134</v>
      </c>
      <c r="B788" s="23">
        <f t="shared" si="120"/>
        <v>46113</v>
      </c>
      <c r="C788" s="2" t="s">
        <v>95</v>
      </c>
      <c r="D788" s="2" t="s">
        <v>249</v>
      </c>
      <c r="E788" s="2">
        <v>1865</v>
      </c>
      <c r="F788" s="2">
        <v>90</v>
      </c>
      <c r="G788" s="2">
        <f t="shared" si="128"/>
        <v>20</v>
      </c>
      <c r="H788" s="2">
        <f t="shared" si="129"/>
        <v>20</v>
      </c>
      <c r="I788" s="2">
        <v>0</v>
      </c>
      <c r="J788" s="44" t="s">
        <v>48</v>
      </c>
      <c r="K788" s="2" t="s">
        <v>49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/>
      <c r="AM788" s="2" t="s">
        <v>1567</v>
      </c>
      <c r="AN788" s="2">
        <f t="shared" si="121"/>
        <v>0</v>
      </c>
      <c r="AO788" s="2">
        <f t="shared" si="122"/>
        <v>0</v>
      </c>
      <c r="AP788" s="2">
        <f t="shared" si="123"/>
        <v>0</v>
      </c>
      <c r="AQ788" s="2">
        <f t="shared" si="124"/>
        <v>0</v>
      </c>
      <c r="AR788" s="2">
        <f t="shared" si="125"/>
        <v>0</v>
      </c>
      <c r="AS788" s="2">
        <f t="shared" si="126"/>
        <v>0</v>
      </c>
      <c r="AT788" s="25">
        <f t="shared" si="127"/>
        <v>0</v>
      </c>
    </row>
    <row r="789" spans="1:46">
      <c r="A789" s="24">
        <v>46134</v>
      </c>
      <c r="B789" s="23">
        <f t="shared" si="120"/>
        <v>46113</v>
      </c>
      <c r="C789" s="2" t="s">
        <v>46</v>
      </c>
      <c r="D789" s="2" t="s">
        <v>1208</v>
      </c>
      <c r="E789" s="2">
        <v>6274</v>
      </c>
      <c r="F789" s="2">
        <v>62</v>
      </c>
      <c r="G789" s="2">
        <f t="shared" si="128"/>
        <v>20</v>
      </c>
      <c r="H789" s="2">
        <f t="shared" si="129"/>
        <v>20</v>
      </c>
      <c r="I789" s="2">
        <v>0</v>
      </c>
      <c r="J789" s="44" t="s">
        <v>48</v>
      </c>
      <c r="K789" s="2" t="s">
        <v>49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/>
      <c r="AM789" s="2" t="s">
        <v>1567</v>
      </c>
      <c r="AN789" s="2">
        <f t="shared" si="121"/>
        <v>0</v>
      </c>
      <c r="AO789" s="2">
        <f t="shared" si="122"/>
        <v>0</v>
      </c>
      <c r="AP789" s="2">
        <f t="shared" si="123"/>
        <v>0</v>
      </c>
      <c r="AQ789" s="2">
        <f t="shared" si="124"/>
        <v>0</v>
      </c>
      <c r="AR789" s="2">
        <f t="shared" si="125"/>
        <v>0</v>
      </c>
      <c r="AS789" s="2">
        <f t="shared" si="126"/>
        <v>0</v>
      </c>
      <c r="AT789" s="25">
        <f t="shared" si="127"/>
        <v>0</v>
      </c>
    </row>
    <row r="790" spans="1:46">
      <c r="A790" s="24">
        <v>46134</v>
      </c>
      <c r="B790" s="23">
        <f t="shared" si="120"/>
        <v>46113</v>
      </c>
      <c r="C790" s="2" t="s">
        <v>46</v>
      </c>
      <c r="D790" s="2" t="s">
        <v>283</v>
      </c>
      <c r="E790" s="2">
        <v>6274</v>
      </c>
      <c r="F790" s="2">
        <v>424</v>
      </c>
      <c r="G790" s="2">
        <f t="shared" si="128"/>
        <v>50</v>
      </c>
      <c r="H790" s="2">
        <f t="shared" si="129"/>
        <v>48</v>
      </c>
      <c r="I790" s="2">
        <v>2</v>
      </c>
      <c r="J790" s="44" t="s">
        <v>48</v>
      </c>
      <c r="K790" s="2" t="s">
        <v>49</v>
      </c>
      <c r="L790" s="2">
        <v>2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/>
      <c r="AM790" s="2" t="s">
        <v>1567</v>
      </c>
      <c r="AN790" s="2">
        <f t="shared" si="121"/>
        <v>2</v>
      </c>
      <c r="AO790" s="2">
        <f t="shared" si="122"/>
        <v>0</v>
      </c>
      <c r="AP790" s="2">
        <f t="shared" si="123"/>
        <v>0</v>
      </c>
      <c r="AQ790" s="2">
        <f t="shared" si="124"/>
        <v>0</v>
      </c>
      <c r="AR790" s="2">
        <f t="shared" si="125"/>
        <v>0</v>
      </c>
      <c r="AS790" s="2">
        <f t="shared" si="126"/>
        <v>0</v>
      </c>
      <c r="AT790" s="25">
        <f t="shared" si="127"/>
        <v>0</v>
      </c>
    </row>
    <row r="791" spans="1:46">
      <c r="A791" s="24">
        <v>46134</v>
      </c>
      <c r="B791" s="23">
        <f t="shared" si="120"/>
        <v>46113</v>
      </c>
      <c r="C791" s="2" t="s">
        <v>46</v>
      </c>
      <c r="D791" s="2" t="s">
        <v>418</v>
      </c>
      <c r="E791" s="2">
        <v>7152</v>
      </c>
      <c r="F791" s="2">
        <v>430</v>
      </c>
      <c r="G791" s="2">
        <f t="shared" si="128"/>
        <v>50</v>
      </c>
      <c r="H791" s="2">
        <f t="shared" si="129"/>
        <v>50</v>
      </c>
      <c r="I791" s="2">
        <v>0</v>
      </c>
      <c r="J791" s="44" t="s">
        <v>48</v>
      </c>
      <c r="K791" s="2" t="s">
        <v>49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/>
      <c r="AM791" s="2" t="s">
        <v>1567</v>
      </c>
      <c r="AN791" s="2">
        <f t="shared" si="121"/>
        <v>0</v>
      </c>
      <c r="AO791" s="2">
        <f t="shared" si="122"/>
        <v>0</v>
      </c>
      <c r="AP791" s="2">
        <f t="shared" si="123"/>
        <v>0</v>
      </c>
      <c r="AQ791" s="2">
        <f t="shared" si="124"/>
        <v>0</v>
      </c>
      <c r="AR791" s="2">
        <f t="shared" si="125"/>
        <v>0</v>
      </c>
      <c r="AS791" s="2">
        <f t="shared" si="126"/>
        <v>0</v>
      </c>
      <c r="AT791" s="25">
        <f t="shared" si="127"/>
        <v>0</v>
      </c>
    </row>
    <row r="792" spans="1:46">
      <c r="A792" s="24">
        <v>46134</v>
      </c>
      <c r="B792" s="23">
        <f t="shared" si="120"/>
        <v>46113</v>
      </c>
      <c r="C792" s="2" t="s">
        <v>95</v>
      </c>
      <c r="D792" s="2" t="s">
        <v>215</v>
      </c>
      <c r="E792" s="2">
        <v>2637</v>
      </c>
      <c r="F792" s="2">
        <v>235</v>
      </c>
      <c r="G792" s="2">
        <f t="shared" si="128"/>
        <v>32</v>
      </c>
      <c r="H792" s="2">
        <f t="shared" si="129"/>
        <v>30</v>
      </c>
      <c r="I792" s="2">
        <v>2</v>
      </c>
      <c r="J792" s="44" t="s">
        <v>48</v>
      </c>
      <c r="K792" s="2" t="s">
        <v>49</v>
      </c>
      <c r="L792" s="2">
        <v>1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/>
      <c r="AM792" s="2" t="s">
        <v>1567</v>
      </c>
      <c r="AN792" s="2">
        <f t="shared" si="121"/>
        <v>1</v>
      </c>
      <c r="AO792" s="2">
        <f t="shared" si="122"/>
        <v>0</v>
      </c>
      <c r="AP792" s="2">
        <f t="shared" si="123"/>
        <v>1</v>
      </c>
      <c r="AQ792" s="2">
        <f t="shared" si="124"/>
        <v>0</v>
      </c>
      <c r="AR792" s="2">
        <f t="shared" si="125"/>
        <v>0</v>
      </c>
      <c r="AS792" s="2">
        <f t="shared" si="126"/>
        <v>0</v>
      </c>
      <c r="AT792" s="25">
        <f t="shared" si="127"/>
        <v>0</v>
      </c>
    </row>
    <row r="793" spans="1:46">
      <c r="A793" s="24">
        <v>46134</v>
      </c>
      <c r="B793" s="23">
        <f t="shared" si="120"/>
        <v>46113</v>
      </c>
      <c r="C793" s="2" t="s">
        <v>46</v>
      </c>
      <c r="D793" s="2" t="s">
        <v>105</v>
      </c>
      <c r="E793" s="2">
        <v>3291</v>
      </c>
      <c r="F793" s="2">
        <v>1000</v>
      </c>
      <c r="G793" s="2">
        <f t="shared" si="128"/>
        <v>80</v>
      </c>
      <c r="H793" s="2">
        <f t="shared" si="129"/>
        <v>75</v>
      </c>
      <c r="I793" s="2">
        <v>5</v>
      </c>
      <c r="J793" s="44" t="s">
        <v>48</v>
      </c>
      <c r="K793" s="2" t="s">
        <v>49</v>
      </c>
      <c r="L793" s="2">
        <v>5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/>
      <c r="AM793" s="2" t="s">
        <v>1567</v>
      </c>
      <c r="AN793" s="2">
        <f t="shared" si="121"/>
        <v>5</v>
      </c>
      <c r="AO793" s="2">
        <f t="shared" si="122"/>
        <v>0</v>
      </c>
      <c r="AP793" s="2">
        <f t="shared" si="123"/>
        <v>0</v>
      </c>
      <c r="AQ793" s="2">
        <f t="shared" si="124"/>
        <v>0</v>
      </c>
      <c r="AR793" s="2">
        <f t="shared" si="125"/>
        <v>0</v>
      </c>
      <c r="AS793" s="2">
        <f t="shared" si="126"/>
        <v>0</v>
      </c>
      <c r="AT793" s="25">
        <f t="shared" si="127"/>
        <v>0</v>
      </c>
    </row>
    <row r="794" spans="1:46">
      <c r="A794" s="24">
        <v>46134</v>
      </c>
      <c r="B794" s="23">
        <f t="shared" si="120"/>
        <v>46113</v>
      </c>
      <c r="C794" s="2" t="s">
        <v>46</v>
      </c>
      <c r="D794" s="2" t="s">
        <v>105</v>
      </c>
      <c r="E794" s="2">
        <v>3291</v>
      </c>
      <c r="F794" s="2">
        <v>150</v>
      </c>
      <c r="G794" s="2">
        <f t="shared" si="128"/>
        <v>20</v>
      </c>
      <c r="H794" s="2">
        <f t="shared" si="129"/>
        <v>19</v>
      </c>
      <c r="I794" s="2">
        <v>1</v>
      </c>
      <c r="J794" s="44" t="s">
        <v>48</v>
      </c>
      <c r="K794" s="2" t="s">
        <v>49</v>
      </c>
      <c r="L794" s="2">
        <v>1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/>
      <c r="AM794" s="2" t="s">
        <v>1567</v>
      </c>
      <c r="AN794" s="2">
        <f t="shared" si="121"/>
        <v>1</v>
      </c>
      <c r="AO794" s="2">
        <f t="shared" si="122"/>
        <v>0</v>
      </c>
      <c r="AP794" s="2">
        <f t="shared" si="123"/>
        <v>0</v>
      </c>
      <c r="AQ794" s="2">
        <f t="shared" si="124"/>
        <v>0</v>
      </c>
      <c r="AR794" s="2">
        <f t="shared" si="125"/>
        <v>0</v>
      </c>
      <c r="AS794" s="2">
        <f t="shared" si="126"/>
        <v>0</v>
      </c>
      <c r="AT794" s="25">
        <f t="shared" si="127"/>
        <v>0</v>
      </c>
    </row>
    <row r="795" spans="1:46">
      <c r="A795" s="24">
        <v>46134</v>
      </c>
      <c r="B795" s="23">
        <f t="shared" si="120"/>
        <v>46113</v>
      </c>
      <c r="C795" s="2" t="s">
        <v>55</v>
      </c>
      <c r="D795" s="2" t="s">
        <v>144</v>
      </c>
      <c r="E795" s="2">
        <v>3305</v>
      </c>
      <c r="F795" s="2">
        <v>600</v>
      </c>
      <c r="G795" s="2">
        <f t="shared" si="128"/>
        <v>80</v>
      </c>
      <c r="H795" s="2">
        <f t="shared" si="129"/>
        <v>79</v>
      </c>
      <c r="I795" s="2">
        <v>1</v>
      </c>
      <c r="J795" s="44" t="s">
        <v>48</v>
      </c>
      <c r="K795" s="2" t="s">
        <v>49</v>
      </c>
      <c r="L795" s="2">
        <v>1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/>
      <c r="AM795" s="2" t="s">
        <v>1566</v>
      </c>
      <c r="AN795" s="2">
        <f t="shared" si="121"/>
        <v>1</v>
      </c>
      <c r="AO795" s="2">
        <f t="shared" si="122"/>
        <v>0</v>
      </c>
      <c r="AP795" s="2">
        <f t="shared" si="123"/>
        <v>0</v>
      </c>
      <c r="AQ795" s="2">
        <f t="shared" si="124"/>
        <v>0</v>
      </c>
      <c r="AR795" s="2">
        <f t="shared" si="125"/>
        <v>0</v>
      </c>
      <c r="AS795" s="2">
        <f t="shared" si="126"/>
        <v>0</v>
      </c>
      <c r="AT795" s="25">
        <f t="shared" si="127"/>
        <v>0</v>
      </c>
    </row>
    <row r="796" spans="1:46">
      <c r="A796" s="24">
        <v>46134</v>
      </c>
      <c r="B796" s="23">
        <f t="shared" si="120"/>
        <v>46113</v>
      </c>
      <c r="C796" s="2" t="s">
        <v>55</v>
      </c>
      <c r="D796" s="2" t="s">
        <v>57</v>
      </c>
      <c r="E796" s="2">
        <v>2760</v>
      </c>
      <c r="F796" s="2">
        <v>150</v>
      </c>
      <c r="G796" s="2">
        <f t="shared" si="128"/>
        <v>20</v>
      </c>
      <c r="H796" s="2">
        <f t="shared" si="129"/>
        <v>16</v>
      </c>
      <c r="I796" s="2">
        <v>4</v>
      </c>
      <c r="J796" s="44" t="s">
        <v>67</v>
      </c>
      <c r="K796" s="2" t="s">
        <v>49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4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/>
      <c r="AM796" s="2" t="s">
        <v>1566</v>
      </c>
      <c r="AN796" s="2">
        <f t="shared" si="121"/>
        <v>0</v>
      </c>
      <c r="AO796" s="2">
        <f t="shared" si="122"/>
        <v>4</v>
      </c>
      <c r="AP796" s="2">
        <f t="shared" si="123"/>
        <v>0</v>
      </c>
      <c r="AQ796" s="2">
        <f t="shared" si="124"/>
        <v>0</v>
      </c>
      <c r="AR796" s="2">
        <f t="shared" si="125"/>
        <v>0</v>
      </c>
      <c r="AS796" s="2">
        <f t="shared" si="126"/>
        <v>0</v>
      </c>
      <c r="AT796" s="25">
        <f t="shared" si="127"/>
        <v>0</v>
      </c>
    </row>
    <row r="797" spans="1:46">
      <c r="A797" s="24">
        <v>46134</v>
      </c>
      <c r="B797" s="23">
        <f t="shared" si="120"/>
        <v>46113</v>
      </c>
      <c r="C797" s="2" t="s">
        <v>55</v>
      </c>
      <c r="D797" s="2" t="s">
        <v>153</v>
      </c>
      <c r="E797" s="2">
        <v>1730</v>
      </c>
      <c r="F797" s="2">
        <v>92</v>
      </c>
      <c r="G797" s="2">
        <f t="shared" si="128"/>
        <v>20</v>
      </c>
      <c r="H797" s="2">
        <f t="shared" si="129"/>
        <v>19</v>
      </c>
      <c r="I797" s="2">
        <v>1</v>
      </c>
      <c r="J797" s="44" t="s">
        <v>48</v>
      </c>
      <c r="K797" s="2" t="s">
        <v>49</v>
      </c>
      <c r="L797" s="2">
        <v>1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/>
      <c r="AM797" s="2" t="s">
        <v>1566</v>
      </c>
      <c r="AN797" s="2">
        <f t="shared" si="121"/>
        <v>1</v>
      </c>
      <c r="AO797" s="2">
        <f t="shared" si="122"/>
        <v>0</v>
      </c>
      <c r="AP797" s="2">
        <f t="shared" si="123"/>
        <v>0</v>
      </c>
      <c r="AQ797" s="2">
        <f t="shared" si="124"/>
        <v>0</v>
      </c>
      <c r="AR797" s="2">
        <f t="shared" si="125"/>
        <v>0</v>
      </c>
      <c r="AS797" s="2">
        <f t="shared" si="126"/>
        <v>0</v>
      </c>
      <c r="AT797" s="25">
        <f t="shared" si="127"/>
        <v>0</v>
      </c>
    </row>
    <row r="798" spans="1:46">
      <c r="A798" s="24">
        <v>46134</v>
      </c>
      <c r="B798" s="23">
        <f t="shared" si="120"/>
        <v>46113</v>
      </c>
      <c r="C798" s="2" t="s">
        <v>55</v>
      </c>
      <c r="D798" s="2" t="s">
        <v>1398</v>
      </c>
      <c r="E798" s="2">
        <v>8193</v>
      </c>
      <c r="F798" s="2">
        <v>93</v>
      </c>
      <c r="G798" s="2">
        <f t="shared" si="128"/>
        <v>20</v>
      </c>
      <c r="H798" s="2">
        <f t="shared" si="129"/>
        <v>20</v>
      </c>
      <c r="I798" s="2">
        <v>0</v>
      </c>
      <c r="J798" s="44" t="s">
        <v>48</v>
      </c>
      <c r="K798" s="2" t="s">
        <v>49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/>
      <c r="AM798" s="2" t="s">
        <v>1566</v>
      </c>
      <c r="AN798" s="2">
        <f t="shared" si="121"/>
        <v>0</v>
      </c>
      <c r="AO798" s="2">
        <f t="shared" si="122"/>
        <v>0</v>
      </c>
      <c r="AP798" s="2">
        <f t="shared" si="123"/>
        <v>0</v>
      </c>
      <c r="AQ798" s="2">
        <f t="shared" si="124"/>
        <v>0</v>
      </c>
      <c r="AR798" s="2">
        <f t="shared" si="125"/>
        <v>0</v>
      </c>
      <c r="AS798" s="2">
        <f t="shared" si="126"/>
        <v>0</v>
      </c>
      <c r="AT798" s="25">
        <f t="shared" si="127"/>
        <v>0</v>
      </c>
    </row>
    <row r="799" spans="1:46">
      <c r="A799" s="24">
        <v>46134</v>
      </c>
      <c r="B799" s="23">
        <f t="shared" si="120"/>
        <v>46113</v>
      </c>
      <c r="C799" s="2" t="s">
        <v>55</v>
      </c>
      <c r="D799" s="2" t="s">
        <v>57</v>
      </c>
      <c r="E799" s="2">
        <v>2760</v>
      </c>
      <c r="F799" s="2">
        <v>135</v>
      </c>
      <c r="G799" s="2">
        <f t="shared" si="128"/>
        <v>20</v>
      </c>
      <c r="H799" s="2">
        <f t="shared" si="129"/>
        <v>19</v>
      </c>
      <c r="I799" s="2">
        <v>1</v>
      </c>
      <c r="J799" s="44" t="s">
        <v>48</v>
      </c>
      <c r="K799" s="2" t="s">
        <v>49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1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/>
      <c r="AM799" s="2" t="s">
        <v>1566</v>
      </c>
      <c r="AN799" s="2">
        <f t="shared" si="121"/>
        <v>0</v>
      </c>
      <c r="AO799" s="2">
        <f t="shared" si="122"/>
        <v>1</v>
      </c>
      <c r="AP799" s="2">
        <f t="shared" si="123"/>
        <v>0</v>
      </c>
      <c r="AQ799" s="2">
        <f t="shared" si="124"/>
        <v>0</v>
      </c>
      <c r="AR799" s="2">
        <f t="shared" si="125"/>
        <v>0</v>
      </c>
      <c r="AS799" s="2">
        <f t="shared" si="126"/>
        <v>0</v>
      </c>
      <c r="AT799" s="25">
        <f t="shared" si="127"/>
        <v>0</v>
      </c>
    </row>
    <row r="800" spans="1:46">
      <c r="A800" s="24">
        <v>46134</v>
      </c>
      <c r="B800" s="23">
        <f t="shared" si="120"/>
        <v>46113</v>
      </c>
      <c r="C800" s="2" t="s">
        <v>133</v>
      </c>
      <c r="D800" s="2" t="s">
        <v>53</v>
      </c>
      <c r="E800" s="2">
        <v>6234</v>
      </c>
      <c r="F800" s="2">
        <v>111</v>
      </c>
      <c r="G800" s="2">
        <f t="shared" si="128"/>
        <v>20</v>
      </c>
      <c r="H800" s="2">
        <f t="shared" si="129"/>
        <v>17</v>
      </c>
      <c r="I800" s="2">
        <v>3</v>
      </c>
      <c r="J800" s="44" t="s">
        <v>48</v>
      </c>
      <c r="K800" s="2" t="s">
        <v>49</v>
      </c>
      <c r="L800" s="2">
        <v>3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/>
      <c r="AM800" s="2" t="s">
        <v>1566</v>
      </c>
      <c r="AN800" s="2">
        <f t="shared" si="121"/>
        <v>3</v>
      </c>
      <c r="AO800" s="2">
        <f t="shared" si="122"/>
        <v>0</v>
      </c>
      <c r="AP800" s="2">
        <f t="shared" si="123"/>
        <v>0</v>
      </c>
      <c r="AQ800" s="2">
        <f t="shared" si="124"/>
        <v>0</v>
      </c>
      <c r="AR800" s="2">
        <f t="shared" si="125"/>
        <v>0</v>
      </c>
      <c r="AS800" s="2">
        <f t="shared" si="126"/>
        <v>0</v>
      </c>
      <c r="AT800" s="25">
        <f t="shared" si="127"/>
        <v>0</v>
      </c>
    </row>
    <row r="801" spans="1:46">
      <c r="A801" s="24">
        <v>46134</v>
      </c>
      <c r="B801" s="23">
        <f t="shared" si="120"/>
        <v>46113</v>
      </c>
      <c r="C801" s="2" t="s">
        <v>55</v>
      </c>
      <c r="D801" s="2" t="s">
        <v>1310</v>
      </c>
      <c r="E801" s="2">
        <v>8190</v>
      </c>
      <c r="F801" s="2">
        <v>401</v>
      </c>
      <c r="G801" s="2">
        <f t="shared" si="128"/>
        <v>50</v>
      </c>
      <c r="H801" s="2">
        <f t="shared" si="129"/>
        <v>49</v>
      </c>
      <c r="I801" s="2">
        <v>1</v>
      </c>
      <c r="J801" s="44" t="s">
        <v>48</v>
      </c>
      <c r="K801" s="2" t="s">
        <v>49</v>
      </c>
      <c r="L801" s="2">
        <v>1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/>
      <c r="AM801" s="2" t="s">
        <v>1566</v>
      </c>
      <c r="AN801" s="2">
        <f t="shared" si="121"/>
        <v>1</v>
      </c>
      <c r="AO801" s="2">
        <f t="shared" si="122"/>
        <v>0</v>
      </c>
      <c r="AP801" s="2">
        <f t="shared" si="123"/>
        <v>0</v>
      </c>
      <c r="AQ801" s="2">
        <f t="shared" si="124"/>
        <v>0</v>
      </c>
      <c r="AR801" s="2">
        <f t="shared" si="125"/>
        <v>0</v>
      </c>
      <c r="AS801" s="2">
        <f t="shared" si="126"/>
        <v>0</v>
      </c>
      <c r="AT801" s="25">
        <f t="shared" si="127"/>
        <v>0</v>
      </c>
    </row>
    <row r="802" spans="1:46">
      <c r="A802" s="24">
        <v>46134</v>
      </c>
      <c r="B802" s="23">
        <f t="shared" si="120"/>
        <v>46113</v>
      </c>
      <c r="C802" s="2" t="s">
        <v>133</v>
      </c>
      <c r="D802" s="2" t="s">
        <v>53</v>
      </c>
      <c r="E802" s="2">
        <v>6234</v>
      </c>
      <c r="F802" s="2">
        <v>107</v>
      </c>
      <c r="G802" s="2">
        <f t="shared" si="128"/>
        <v>20</v>
      </c>
      <c r="H802" s="2">
        <f t="shared" si="129"/>
        <v>20</v>
      </c>
      <c r="I802" s="2">
        <v>0</v>
      </c>
      <c r="J802" s="44" t="s">
        <v>48</v>
      </c>
      <c r="K802" s="2" t="s">
        <v>49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/>
      <c r="AM802" s="2" t="s">
        <v>1566</v>
      </c>
      <c r="AN802" s="2">
        <f t="shared" si="121"/>
        <v>0</v>
      </c>
      <c r="AO802" s="2">
        <f t="shared" si="122"/>
        <v>0</v>
      </c>
      <c r="AP802" s="2">
        <f t="shared" si="123"/>
        <v>0</v>
      </c>
      <c r="AQ802" s="2">
        <f t="shared" si="124"/>
        <v>0</v>
      </c>
      <c r="AR802" s="2">
        <f t="shared" si="125"/>
        <v>0</v>
      </c>
      <c r="AS802" s="2">
        <f t="shared" si="126"/>
        <v>0</v>
      </c>
      <c r="AT802" s="25">
        <f t="shared" si="127"/>
        <v>0</v>
      </c>
    </row>
    <row r="803" spans="1:46">
      <c r="A803" s="24">
        <v>46134</v>
      </c>
      <c r="B803" s="23">
        <f t="shared" si="120"/>
        <v>46113</v>
      </c>
      <c r="C803" s="2" t="s">
        <v>114</v>
      </c>
      <c r="D803" s="2" t="s">
        <v>179</v>
      </c>
      <c r="E803" s="2">
        <v>3165</v>
      </c>
      <c r="F803" s="2">
        <v>240</v>
      </c>
      <c r="G803" s="2">
        <f t="shared" si="128"/>
        <v>32</v>
      </c>
      <c r="H803" s="2">
        <f t="shared" si="129"/>
        <v>30</v>
      </c>
      <c r="I803" s="2">
        <v>2</v>
      </c>
      <c r="J803" s="44" t="s">
        <v>48</v>
      </c>
      <c r="K803" s="2" t="s">
        <v>49</v>
      </c>
      <c r="L803" s="2">
        <v>2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/>
      <c r="AM803" s="2" t="s">
        <v>1566</v>
      </c>
      <c r="AN803" s="2">
        <f t="shared" si="121"/>
        <v>2</v>
      </c>
      <c r="AO803" s="2">
        <f t="shared" si="122"/>
        <v>0</v>
      </c>
      <c r="AP803" s="2">
        <f t="shared" si="123"/>
        <v>0</v>
      </c>
      <c r="AQ803" s="2">
        <f t="shared" si="124"/>
        <v>0</v>
      </c>
      <c r="AR803" s="2">
        <f t="shared" si="125"/>
        <v>0</v>
      </c>
      <c r="AS803" s="2">
        <f t="shared" si="126"/>
        <v>0</v>
      </c>
      <c r="AT803" s="25">
        <f t="shared" si="127"/>
        <v>0</v>
      </c>
    </row>
    <row r="804" spans="1:46">
      <c r="A804" s="24">
        <v>46134</v>
      </c>
      <c r="B804" s="23">
        <f t="shared" si="120"/>
        <v>46113</v>
      </c>
      <c r="C804" s="2" t="s">
        <v>63</v>
      </c>
      <c r="D804" s="2" t="s">
        <v>96</v>
      </c>
      <c r="E804" s="2">
        <v>1802</v>
      </c>
      <c r="F804" s="2">
        <v>625</v>
      </c>
      <c r="G804" s="2">
        <f t="shared" si="128"/>
        <v>80</v>
      </c>
      <c r="H804" s="2">
        <f t="shared" si="129"/>
        <v>79</v>
      </c>
      <c r="I804" s="2">
        <v>1</v>
      </c>
      <c r="J804" s="44" t="s">
        <v>48</v>
      </c>
      <c r="K804" s="2" t="s">
        <v>49</v>
      </c>
      <c r="L804" s="2">
        <v>1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/>
      <c r="AM804" s="2" t="s">
        <v>1568</v>
      </c>
      <c r="AN804" s="2">
        <f t="shared" si="121"/>
        <v>1</v>
      </c>
      <c r="AO804" s="2">
        <f t="shared" si="122"/>
        <v>0</v>
      </c>
      <c r="AP804" s="2">
        <f t="shared" si="123"/>
        <v>0</v>
      </c>
      <c r="AQ804" s="2">
        <f t="shared" si="124"/>
        <v>0</v>
      </c>
      <c r="AR804" s="2">
        <f t="shared" si="125"/>
        <v>0</v>
      </c>
      <c r="AS804" s="2">
        <f t="shared" si="126"/>
        <v>0</v>
      </c>
      <c r="AT804" s="25">
        <f t="shared" si="127"/>
        <v>0</v>
      </c>
    </row>
    <row r="805" spans="1:46">
      <c r="A805" s="24">
        <v>46134</v>
      </c>
      <c r="B805" s="23">
        <f t="shared" si="120"/>
        <v>46113</v>
      </c>
      <c r="C805" s="2" t="s">
        <v>63</v>
      </c>
      <c r="D805" s="2" t="s">
        <v>203</v>
      </c>
      <c r="E805" s="2">
        <v>2680</v>
      </c>
      <c r="F805" s="2">
        <v>189</v>
      </c>
      <c r="G805" s="2">
        <f t="shared" si="128"/>
        <v>32</v>
      </c>
      <c r="H805" s="2">
        <f t="shared" si="129"/>
        <v>32</v>
      </c>
      <c r="I805" s="2">
        <v>0</v>
      </c>
      <c r="J805" s="44" t="s">
        <v>48</v>
      </c>
      <c r="K805" s="2" t="s">
        <v>49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/>
      <c r="AM805" s="2" t="s">
        <v>1568</v>
      </c>
      <c r="AN805" s="2">
        <f t="shared" si="121"/>
        <v>0</v>
      </c>
      <c r="AO805" s="2">
        <f t="shared" si="122"/>
        <v>0</v>
      </c>
      <c r="AP805" s="2">
        <f t="shared" si="123"/>
        <v>0</v>
      </c>
      <c r="AQ805" s="2">
        <f t="shared" si="124"/>
        <v>0</v>
      </c>
      <c r="AR805" s="2">
        <f t="shared" si="125"/>
        <v>0</v>
      </c>
      <c r="AS805" s="2">
        <f t="shared" si="126"/>
        <v>0</v>
      </c>
      <c r="AT805" s="25">
        <f t="shared" si="127"/>
        <v>0</v>
      </c>
    </row>
    <row r="806" spans="1:46">
      <c r="A806" s="24">
        <v>46134</v>
      </c>
      <c r="B806" s="23">
        <f t="shared" si="120"/>
        <v>46113</v>
      </c>
      <c r="C806" s="2" t="s">
        <v>63</v>
      </c>
      <c r="D806" s="2" t="s">
        <v>409</v>
      </c>
      <c r="E806" s="2">
        <v>1731</v>
      </c>
      <c r="F806" s="2">
        <v>473</v>
      </c>
      <c r="G806" s="2">
        <f t="shared" si="128"/>
        <v>50</v>
      </c>
      <c r="H806" s="2">
        <f t="shared" si="129"/>
        <v>50</v>
      </c>
      <c r="I806" s="2">
        <v>0</v>
      </c>
      <c r="J806" s="44" t="s">
        <v>48</v>
      </c>
      <c r="K806" s="2" t="s">
        <v>49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/>
      <c r="AM806" s="2" t="s">
        <v>1568</v>
      </c>
      <c r="AN806" s="2">
        <f t="shared" si="121"/>
        <v>0</v>
      </c>
      <c r="AO806" s="2">
        <f t="shared" si="122"/>
        <v>0</v>
      </c>
      <c r="AP806" s="2">
        <f t="shared" si="123"/>
        <v>0</v>
      </c>
      <c r="AQ806" s="2">
        <f t="shared" si="124"/>
        <v>0</v>
      </c>
      <c r="AR806" s="2">
        <f t="shared" si="125"/>
        <v>0</v>
      </c>
      <c r="AS806" s="2">
        <f t="shared" si="126"/>
        <v>0</v>
      </c>
      <c r="AT806" s="25">
        <f t="shared" si="127"/>
        <v>0</v>
      </c>
    </row>
    <row r="807" spans="1:46">
      <c r="A807" s="24">
        <v>46134</v>
      </c>
      <c r="B807" s="23">
        <f t="shared" si="120"/>
        <v>46113</v>
      </c>
      <c r="C807" s="2" t="s">
        <v>63</v>
      </c>
      <c r="D807" s="2" t="s">
        <v>297</v>
      </c>
      <c r="E807" s="2">
        <v>8060</v>
      </c>
      <c r="F807" s="2">
        <v>150</v>
      </c>
      <c r="G807" s="2">
        <f t="shared" si="128"/>
        <v>20</v>
      </c>
      <c r="H807" s="2">
        <f t="shared" si="129"/>
        <v>20</v>
      </c>
      <c r="I807" s="2">
        <v>0</v>
      </c>
      <c r="J807" s="44" t="s">
        <v>48</v>
      </c>
      <c r="K807" s="2" t="s">
        <v>49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/>
      <c r="AM807" s="2" t="s">
        <v>1568</v>
      </c>
      <c r="AN807" s="2">
        <f t="shared" si="121"/>
        <v>0</v>
      </c>
      <c r="AO807" s="2">
        <f t="shared" si="122"/>
        <v>0</v>
      </c>
      <c r="AP807" s="2">
        <f t="shared" si="123"/>
        <v>0</v>
      </c>
      <c r="AQ807" s="2">
        <f t="shared" si="124"/>
        <v>0</v>
      </c>
      <c r="AR807" s="2">
        <f t="shared" si="125"/>
        <v>0</v>
      </c>
      <c r="AS807" s="2">
        <f t="shared" si="126"/>
        <v>0</v>
      </c>
      <c r="AT807" s="25">
        <f t="shared" si="127"/>
        <v>0</v>
      </c>
    </row>
    <row r="808" spans="1:46">
      <c r="A808" s="24">
        <v>46134</v>
      </c>
      <c r="B808" s="23">
        <f t="shared" si="120"/>
        <v>46113</v>
      </c>
      <c r="C808" s="2" t="s">
        <v>62</v>
      </c>
      <c r="D808" s="2" t="s">
        <v>1406</v>
      </c>
      <c r="E808" s="2">
        <v>3330</v>
      </c>
      <c r="F808" s="2">
        <v>68</v>
      </c>
      <c r="G808" s="2">
        <f t="shared" si="128"/>
        <v>20</v>
      </c>
      <c r="H808" s="2">
        <f t="shared" si="129"/>
        <v>19</v>
      </c>
      <c r="I808" s="2">
        <v>1</v>
      </c>
      <c r="J808" s="44" t="s">
        <v>48</v>
      </c>
      <c r="K808" s="2" t="s">
        <v>49</v>
      </c>
      <c r="L808" s="2">
        <v>1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/>
      <c r="AM808" s="2" t="s">
        <v>1568</v>
      </c>
      <c r="AN808" s="2">
        <f t="shared" si="121"/>
        <v>1</v>
      </c>
      <c r="AO808" s="2">
        <f t="shared" si="122"/>
        <v>0</v>
      </c>
      <c r="AP808" s="2">
        <f t="shared" si="123"/>
        <v>0</v>
      </c>
      <c r="AQ808" s="2">
        <f t="shared" si="124"/>
        <v>0</v>
      </c>
      <c r="AR808" s="2">
        <f t="shared" si="125"/>
        <v>0</v>
      </c>
      <c r="AS808" s="2">
        <f t="shared" si="126"/>
        <v>0</v>
      </c>
      <c r="AT808" s="25">
        <f t="shared" si="127"/>
        <v>0</v>
      </c>
    </row>
    <row r="809" spans="1:46">
      <c r="A809" s="24">
        <v>46134</v>
      </c>
      <c r="B809" s="23">
        <f t="shared" si="120"/>
        <v>46113</v>
      </c>
      <c r="C809" s="2" t="s">
        <v>63</v>
      </c>
      <c r="D809" s="2" t="s">
        <v>270</v>
      </c>
      <c r="E809" s="2">
        <v>1802</v>
      </c>
      <c r="F809" s="2">
        <v>69</v>
      </c>
      <c r="G809" s="2">
        <f t="shared" si="128"/>
        <v>20</v>
      </c>
      <c r="H809" s="2">
        <f t="shared" si="129"/>
        <v>20</v>
      </c>
      <c r="I809" s="2">
        <v>0</v>
      </c>
      <c r="J809" s="44" t="s">
        <v>48</v>
      </c>
      <c r="K809" s="2" t="s">
        <v>49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/>
      <c r="AM809" s="2" t="s">
        <v>1568</v>
      </c>
      <c r="AN809" s="2">
        <f t="shared" si="121"/>
        <v>0</v>
      </c>
      <c r="AO809" s="2">
        <f t="shared" si="122"/>
        <v>0</v>
      </c>
      <c r="AP809" s="2">
        <f t="shared" si="123"/>
        <v>0</v>
      </c>
      <c r="AQ809" s="2">
        <f t="shared" si="124"/>
        <v>0</v>
      </c>
      <c r="AR809" s="2">
        <f t="shared" si="125"/>
        <v>0</v>
      </c>
      <c r="AS809" s="2">
        <f t="shared" si="126"/>
        <v>0</v>
      </c>
      <c r="AT809" s="25">
        <f t="shared" si="127"/>
        <v>0</v>
      </c>
    </row>
    <row r="810" spans="1:46">
      <c r="A810" s="24">
        <v>46134</v>
      </c>
      <c r="B810" s="23">
        <f t="shared" si="120"/>
        <v>46113</v>
      </c>
      <c r="C810" s="2" t="s">
        <v>62</v>
      </c>
      <c r="D810" s="2" t="s">
        <v>144</v>
      </c>
      <c r="E810" s="2">
        <v>3305</v>
      </c>
      <c r="F810" s="2">
        <v>161</v>
      </c>
      <c r="G810" s="2">
        <f t="shared" si="128"/>
        <v>32</v>
      </c>
      <c r="H810" s="2">
        <f t="shared" si="129"/>
        <v>32</v>
      </c>
      <c r="I810" s="2">
        <v>0</v>
      </c>
      <c r="J810" s="44" t="s">
        <v>48</v>
      </c>
      <c r="K810" s="2" t="s">
        <v>49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/>
      <c r="AM810" s="2" t="s">
        <v>1568</v>
      </c>
      <c r="AN810" s="2">
        <f t="shared" si="121"/>
        <v>0</v>
      </c>
      <c r="AO810" s="2">
        <f t="shared" si="122"/>
        <v>0</v>
      </c>
      <c r="AP810" s="2">
        <f t="shared" si="123"/>
        <v>0</v>
      </c>
      <c r="AQ810" s="2">
        <f t="shared" si="124"/>
        <v>0</v>
      </c>
      <c r="AR810" s="2">
        <f t="shared" si="125"/>
        <v>0</v>
      </c>
      <c r="AS810" s="2">
        <f t="shared" si="126"/>
        <v>0</v>
      </c>
      <c r="AT810" s="25">
        <f t="shared" si="127"/>
        <v>0</v>
      </c>
    </row>
    <row r="811" spans="1:46">
      <c r="A811" s="24">
        <v>46134</v>
      </c>
      <c r="B811" s="23">
        <f t="shared" si="120"/>
        <v>46113</v>
      </c>
      <c r="C811" s="2" t="s">
        <v>62</v>
      </c>
      <c r="D811" s="2" t="s">
        <v>124</v>
      </c>
      <c r="E811" s="2">
        <v>3245</v>
      </c>
      <c r="F811" s="2">
        <v>74</v>
      </c>
      <c r="G811" s="2">
        <f t="shared" si="128"/>
        <v>20</v>
      </c>
      <c r="H811" s="2">
        <f t="shared" si="129"/>
        <v>20</v>
      </c>
      <c r="I811" s="2">
        <v>0</v>
      </c>
      <c r="J811" s="44" t="s">
        <v>48</v>
      </c>
      <c r="K811" s="2" t="s">
        <v>49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/>
      <c r="AM811" s="2" t="s">
        <v>1568</v>
      </c>
      <c r="AN811" s="2">
        <f t="shared" si="121"/>
        <v>0</v>
      </c>
      <c r="AO811" s="2">
        <f t="shared" si="122"/>
        <v>0</v>
      </c>
      <c r="AP811" s="2">
        <f t="shared" si="123"/>
        <v>0</v>
      </c>
      <c r="AQ811" s="2">
        <f t="shared" si="124"/>
        <v>0</v>
      </c>
      <c r="AR811" s="2">
        <f t="shared" si="125"/>
        <v>0</v>
      </c>
      <c r="AS811" s="2">
        <f t="shared" si="126"/>
        <v>0</v>
      </c>
      <c r="AT811" s="25">
        <f t="shared" si="127"/>
        <v>0</v>
      </c>
    </row>
    <row r="812" spans="1:46">
      <c r="A812" s="24">
        <v>46134</v>
      </c>
      <c r="B812" s="23">
        <f t="shared" si="120"/>
        <v>46113</v>
      </c>
      <c r="C812" s="2" t="s">
        <v>72</v>
      </c>
      <c r="D812" s="2" t="s">
        <v>229</v>
      </c>
      <c r="E812" s="2">
        <v>2417</v>
      </c>
      <c r="F812" s="2">
        <v>393</v>
      </c>
      <c r="G812" s="2">
        <f t="shared" si="128"/>
        <v>50</v>
      </c>
      <c r="H812" s="2">
        <f t="shared" si="129"/>
        <v>48</v>
      </c>
      <c r="I812" s="2">
        <v>2</v>
      </c>
      <c r="J812" s="44" t="s">
        <v>48</v>
      </c>
      <c r="K812" s="2" t="s">
        <v>49</v>
      </c>
      <c r="L812" s="2">
        <v>2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/>
      <c r="AM812" s="2" t="s">
        <v>1568</v>
      </c>
      <c r="AN812" s="2">
        <f t="shared" si="121"/>
        <v>2</v>
      </c>
      <c r="AO812" s="2">
        <f t="shared" si="122"/>
        <v>0</v>
      </c>
      <c r="AP812" s="2">
        <f t="shared" si="123"/>
        <v>0</v>
      </c>
      <c r="AQ812" s="2">
        <f t="shared" si="124"/>
        <v>0</v>
      </c>
      <c r="AR812" s="2">
        <f t="shared" si="125"/>
        <v>0</v>
      </c>
      <c r="AS812" s="2">
        <f t="shared" si="126"/>
        <v>0</v>
      </c>
      <c r="AT812" s="25">
        <f t="shared" si="127"/>
        <v>0</v>
      </c>
    </row>
    <row r="813" spans="1:46">
      <c r="A813" s="24">
        <v>46134</v>
      </c>
      <c r="B813" s="23">
        <f t="shared" si="120"/>
        <v>46113</v>
      </c>
      <c r="C813" s="2" t="s">
        <v>72</v>
      </c>
      <c r="D813" s="2" t="s">
        <v>182</v>
      </c>
      <c r="E813" s="2">
        <v>8107</v>
      </c>
      <c r="F813" s="2">
        <v>436</v>
      </c>
      <c r="G813" s="2">
        <f t="shared" si="128"/>
        <v>50</v>
      </c>
      <c r="H813" s="2">
        <f t="shared" si="129"/>
        <v>50</v>
      </c>
      <c r="I813" s="2">
        <v>0</v>
      </c>
      <c r="J813" s="44" t="s">
        <v>48</v>
      </c>
      <c r="K813" s="2" t="s">
        <v>49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/>
      <c r="AM813" s="2" t="s">
        <v>1568</v>
      </c>
      <c r="AN813" s="2">
        <f t="shared" si="121"/>
        <v>0</v>
      </c>
      <c r="AO813" s="2">
        <f t="shared" si="122"/>
        <v>0</v>
      </c>
      <c r="AP813" s="2">
        <f t="shared" si="123"/>
        <v>0</v>
      </c>
      <c r="AQ813" s="2">
        <f t="shared" si="124"/>
        <v>0</v>
      </c>
      <c r="AR813" s="2">
        <f t="shared" si="125"/>
        <v>0</v>
      </c>
      <c r="AS813" s="2">
        <f t="shared" si="126"/>
        <v>0</v>
      </c>
      <c r="AT813" s="25">
        <f t="shared" si="127"/>
        <v>0</v>
      </c>
    </row>
    <row r="814" spans="1:46">
      <c r="A814" s="24">
        <v>46134</v>
      </c>
      <c r="B814" s="23">
        <f t="shared" si="120"/>
        <v>46113</v>
      </c>
      <c r="C814" s="2" t="s">
        <v>82</v>
      </c>
      <c r="D814" s="3" t="s">
        <v>118</v>
      </c>
      <c r="E814" s="2">
        <v>1650</v>
      </c>
      <c r="F814" s="2">
        <v>305</v>
      </c>
      <c r="G814" s="2">
        <f t="shared" si="128"/>
        <v>50</v>
      </c>
      <c r="H814" s="2">
        <f t="shared" si="129"/>
        <v>49</v>
      </c>
      <c r="I814" s="2">
        <v>1</v>
      </c>
      <c r="J814" s="44" t="s">
        <v>48</v>
      </c>
      <c r="K814" s="2" t="s">
        <v>49</v>
      </c>
      <c r="L814" s="2">
        <v>1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/>
      <c r="AM814" s="2" t="s">
        <v>93</v>
      </c>
      <c r="AN814" s="2">
        <f t="shared" si="121"/>
        <v>1</v>
      </c>
      <c r="AO814" s="2">
        <f t="shared" si="122"/>
        <v>0</v>
      </c>
      <c r="AP814" s="2">
        <f t="shared" si="123"/>
        <v>0</v>
      </c>
      <c r="AQ814" s="2">
        <f t="shared" si="124"/>
        <v>0</v>
      </c>
      <c r="AR814" s="2">
        <f t="shared" si="125"/>
        <v>0</v>
      </c>
      <c r="AS814" s="2">
        <f t="shared" si="126"/>
        <v>0</v>
      </c>
      <c r="AT814" s="25">
        <f t="shared" si="127"/>
        <v>0</v>
      </c>
    </row>
    <row r="815" spans="1:46">
      <c r="A815" s="24">
        <v>46134</v>
      </c>
      <c r="B815" s="23">
        <f t="shared" si="120"/>
        <v>46113</v>
      </c>
      <c r="C815" s="2" t="s">
        <v>82</v>
      </c>
      <c r="D815" s="2" t="s">
        <v>1299</v>
      </c>
      <c r="E815" s="2">
        <v>1650</v>
      </c>
      <c r="F815" s="2">
        <v>108</v>
      </c>
      <c r="G815" s="2">
        <f t="shared" si="128"/>
        <v>20</v>
      </c>
      <c r="H815" s="2">
        <f t="shared" si="129"/>
        <v>19</v>
      </c>
      <c r="I815" s="2">
        <v>1</v>
      </c>
      <c r="J815" s="44" t="s">
        <v>48</v>
      </c>
      <c r="K815" s="2" t="s">
        <v>49</v>
      </c>
      <c r="L815" s="2">
        <v>1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/>
      <c r="AM815" s="2" t="s">
        <v>93</v>
      </c>
      <c r="AN815" s="2">
        <f t="shared" si="121"/>
        <v>1</v>
      </c>
      <c r="AO815" s="2">
        <f t="shared" si="122"/>
        <v>0</v>
      </c>
      <c r="AP815" s="2">
        <f t="shared" si="123"/>
        <v>0</v>
      </c>
      <c r="AQ815" s="2">
        <f t="shared" si="124"/>
        <v>0</v>
      </c>
      <c r="AR815" s="2">
        <f t="shared" si="125"/>
        <v>0</v>
      </c>
      <c r="AS815" s="2">
        <f t="shared" si="126"/>
        <v>0</v>
      </c>
      <c r="AT815" s="25">
        <f t="shared" si="127"/>
        <v>0</v>
      </c>
    </row>
    <row r="816" spans="1:46">
      <c r="A816" s="24">
        <v>46134</v>
      </c>
      <c r="B816" s="23">
        <f t="shared" si="120"/>
        <v>46113</v>
      </c>
      <c r="C816" s="2" t="s">
        <v>82</v>
      </c>
      <c r="D816" s="2" t="s">
        <v>90</v>
      </c>
      <c r="E816" s="2">
        <v>8141</v>
      </c>
      <c r="F816" s="2">
        <v>139</v>
      </c>
      <c r="G816" s="2">
        <f t="shared" si="128"/>
        <v>20</v>
      </c>
      <c r="H816" s="2">
        <f t="shared" si="129"/>
        <v>20</v>
      </c>
      <c r="I816" s="2">
        <v>0</v>
      </c>
      <c r="J816" s="44" t="s">
        <v>48</v>
      </c>
      <c r="K816" s="2" t="s">
        <v>49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/>
      <c r="AM816" s="2" t="s">
        <v>93</v>
      </c>
      <c r="AN816" s="2">
        <f t="shared" si="121"/>
        <v>0</v>
      </c>
      <c r="AO816" s="2">
        <f t="shared" si="122"/>
        <v>0</v>
      </c>
      <c r="AP816" s="2">
        <f t="shared" si="123"/>
        <v>0</v>
      </c>
      <c r="AQ816" s="2">
        <f t="shared" si="124"/>
        <v>0</v>
      </c>
      <c r="AR816" s="2">
        <f t="shared" si="125"/>
        <v>0</v>
      </c>
      <c r="AS816" s="2">
        <f t="shared" si="126"/>
        <v>0</v>
      </c>
      <c r="AT816" s="25">
        <f t="shared" si="127"/>
        <v>0</v>
      </c>
    </row>
    <row r="817" spans="1:46">
      <c r="A817" s="24">
        <v>46134</v>
      </c>
      <c r="B817" s="23">
        <f t="shared" si="120"/>
        <v>46113</v>
      </c>
      <c r="C817" s="2" t="s">
        <v>160</v>
      </c>
      <c r="D817" s="2" t="s">
        <v>166</v>
      </c>
      <c r="E817" s="2">
        <v>3099</v>
      </c>
      <c r="F817" s="2">
        <v>120</v>
      </c>
      <c r="G817" s="2">
        <f t="shared" si="128"/>
        <v>20</v>
      </c>
      <c r="H817" s="2">
        <f t="shared" si="129"/>
        <v>20</v>
      </c>
      <c r="I817" s="2">
        <v>0</v>
      </c>
      <c r="J817" s="44" t="s">
        <v>48</v>
      </c>
      <c r="K817" s="2" t="s">
        <v>49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/>
      <c r="AM817" s="2" t="s">
        <v>93</v>
      </c>
      <c r="AN817" s="2">
        <f t="shared" si="121"/>
        <v>0</v>
      </c>
      <c r="AO817" s="2">
        <f t="shared" si="122"/>
        <v>0</v>
      </c>
      <c r="AP817" s="2">
        <f t="shared" si="123"/>
        <v>0</v>
      </c>
      <c r="AQ817" s="2">
        <f t="shared" si="124"/>
        <v>0</v>
      </c>
      <c r="AR817" s="2">
        <f t="shared" si="125"/>
        <v>0</v>
      </c>
      <c r="AS817" s="2">
        <f t="shared" si="126"/>
        <v>0</v>
      </c>
      <c r="AT817" s="25">
        <f t="shared" si="127"/>
        <v>0</v>
      </c>
    </row>
    <row r="818" spans="1:46">
      <c r="A818" s="24">
        <v>46134</v>
      </c>
      <c r="B818" s="23">
        <f t="shared" si="120"/>
        <v>46113</v>
      </c>
      <c r="C818" s="2" t="s">
        <v>82</v>
      </c>
      <c r="D818" s="2" t="s">
        <v>1216</v>
      </c>
      <c r="E818" s="2">
        <v>3184</v>
      </c>
      <c r="F818" s="2">
        <v>257</v>
      </c>
      <c r="G818" s="2">
        <f t="shared" si="128"/>
        <v>32</v>
      </c>
      <c r="H818" s="2">
        <f t="shared" si="129"/>
        <v>30</v>
      </c>
      <c r="I818" s="2">
        <v>2</v>
      </c>
      <c r="J818" s="44" t="s">
        <v>48</v>
      </c>
      <c r="K818" s="2" t="s">
        <v>49</v>
      </c>
      <c r="L818" s="2">
        <v>2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/>
      <c r="AM818" s="2" t="s">
        <v>93</v>
      </c>
      <c r="AN818" s="2">
        <f t="shared" si="121"/>
        <v>2</v>
      </c>
      <c r="AO818" s="2">
        <f t="shared" si="122"/>
        <v>0</v>
      </c>
      <c r="AP818" s="2">
        <f t="shared" si="123"/>
        <v>0</v>
      </c>
      <c r="AQ818" s="2">
        <f t="shared" si="124"/>
        <v>0</v>
      </c>
      <c r="AR818" s="2">
        <f t="shared" si="125"/>
        <v>0</v>
      </c>
      <c r="AS818" s="2">
        <f t="shared" si="126"/>
        <v>0</v>
      </c>
      <c r="AT818" s="25">
        <f t="shared" si="127"/>
        <v>0</v>
      </c>
    </row>
    <row r="819" spans="1:46">
      <c r="A819" s="24">
        <v>46134</v>
      </c>
      <c r="B819" s="23">
        <f t="shared" si="120"/>
        <v>46113</v>
      </c>
      <c r="C819" s="2" t="s">
        <v>114</v>
      </c>
      <c r="D819" s="2" t="s">
        <v>1206</v>
      </c>
      <c r="E819" s="2">
        <v>3319</v>
      </c>
      <c r="F819" s="2">
        <v>400</v>
      </c>
      <c r="G819" s="2">
        <f t="shared" si="128"/>
        <v>50</v>
      </c>
      <c r="H819" s="2">
        <f t="shared" si="129"/>
        <v>50</v>
      </c>
      <c r="I819" s="2">
        <v>0</v>
      </c>
      <c r="J819" s="44" t="s">
        <v>48</v>
      </c>
      <c r="K819" s="2" t="s">
        <v>49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/>
      <c r="AM819" s="2" t="s">
        <v>93</v>
      </c>
      <c r="AN819" s="2">
        <f t="shared" si="121"/>
        <v>0</v>
      </c>
      <c r="AO819" s="2">
        <f t="shared" si="122"/>
        <v>0</v>
      </c>
      <c r="AP819" s="2">
        <f t="shared" si="123"/>
        <v>0</v>
      </c>
      <c r="AQ819" s="2">
        <f t="shared" si="124"/>
        <v>0</v>
      </c>
      <c r="AR819" s="2">
        <f t="shared" si="125"/>
        <v>0</v>
      </c>
      <c r="AS819" s="2">
        <f t="shared" si="126"/>
        <v>0</v>
      </c>
      <c r="AT819" s="25">
        <f t="shared" si="127"/>
        <v>0</v>
      </c>
    </row>
    <row r="820" spans="1:46">
      <c r="A820" s="24">
        <v>46134</v>
      </c>
      <c r="B820" s="23">
        <f t="shared" si="120"/>
        <v>46113</v>
      </c>
      <c r="C820" s="2" t="s">
        <v>82</v>
      </c>
      <c r="D820" s="2" t="s">
        <v>90</v>
      </c>
      <c r="E820" s="2">
        <v>8141</v>
      </c>
      <c r="F820" s="2">
        <v>192</v>
      </c>
      <c r="G820" s="2">
        <f t="shared" si="128"/>
        <v>32</v>
      </c>
      <c r="H820" s="2">
        <f t="shared" si="129"/>
        <v>32</v>
      </c>
      <c r="I820" s="2">
        <v>0</v>
      </c>
      <c r="J820" s="44" t="s">
        <v>48</v>
      </c>
      <c r="K820" s="2" t="s">
        <v>49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/>
      <c r="AM820" s="2" t="s">
        <v>93</v>
      </c>
      <c r="AN820" s="2">
        <f t="shared" si="121"/>
        <v>0</v>
      </c>
      <c r="AO820" s="2">
        <f t="shared" si="122"/>
        <v>0</v>
      </c>
      <c r="AP820" s="2">
        <f t="shared" si="123"/>
        <v>0</v>
      </c>
      <c r="AQ820" s="2">
        <f t="shared" si="124"/>
        <v>0</v>
      </c>
      <c r="AR820" s="2">
        <f t="shared" si="125"/>
        <v>0</v>
      </c>
      <c r="AS820" s="2">
        <f t="shared" si="126"/>
        <v>0</v>
      </c>
      <c r="AT820" s="25">
        <f t="shared" si="127"/>
        <v>0</v>
      </c>
    </row>
    <row r="821" spans="1:46">
      <c r="A821" s="24">
        <v>46134</v>
      </c>
      <c r="B821" s="23">
        <f t="shared" si="120"/>
        <v>46113</v>
      </c>
      <c r="C821" s="2" t="s">
        <v>82</v>
      </c>
      <c r="D821" s="2" t="s">
        <v>259</v>
      </c>
      <c r="E821" s="2">
        <v>3317</v>
      </c>
      <c r="F821" s="2">
        <v>55</v>
      </c>
      <c r="G821" s="2">
        <f t="shared" si="128"/>
        <v>20</v>
      </c>
      <c r="H821" s="2">
        <f t="shared" si="129"/>
        <v>17</v>
      </c>
      <c r="I821" s="2">
        <v>3</v>
      </c>
      <c r="J821" s="44" t="s">
        <v>67</v>
      </c>
      <c r="K821" s="2" t="s">
        <v>49</v>
      </c>
      <c r="L821" s="2">
        <v>3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/>
      <c r="AM821" s="2" t="s">
        <v>93</v>
      </c>
      <c r="AN821" s="2">
        <f t="shared" si="121"/>
        <v>3</v>
      </c>
      <c r="AO821" s="2">
        <f t="shared" si="122"/>
        <v>0</v>
      </c>
      <c r="AP821" s="2">
        <f t="shared" si="123"/>
        <v>0</v>
      </c>
      <c r="AQ821" s="2">
        <f t="shared" si="124"/>
        <v>0</v>
      </c>
      <c r="AR821" s="2">
        <f t="shared" si="125"/>
        <v>0</v>
      </c>
      <c r="AS821" s="2">
        <f t="shared" si="126"/>
        <v>0</v>
      </c>
      <c r="AT821" s="25">
        <f t="shared" si="127"/>
        <v>0</v>
      </c>
    </row>
    <row r="822" spans="1:46">
      <c r="A822" s="24">
        <v>46134</v>
      </c>
      <c r="B822" s="23">
        <f t="shared" si="120"/>
        <v>46113</v>
      </c>
      <c r="C822" s="2" t="s">
        <v>66</v>
      </c>
      <c r="D822" s="2" t="s">
        <v>218</v>
      </c>
      <c r="E822" s="2">
        <v>7140</v>
      </c>
      <c r="F822" s="2">
        <v>286</v>
      </c>
      <c r="G822" s="2">
        <f t="shared" si="128"/>
        <v>50</v>
      </c>
      <c r="H822" s="2">
        <f t="shared" si="129"/>
        <v>50</v>
      </c>
      <c r="I822" s="2">
        <v>0</v>
      </c>
      <c r="J822" s="44" t="s">
        <v>48</v>
      </c>
      <c r="K822" s="2" t="s">
        <v>49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/>
      <c r="AM822" s="2" t="s">
        <v>110</v>
      </c>
      <c r="AN822" s="2">
        <f t="shared" si="121"/>
        <v>0</v>
      </c>
      <c r="AO822" s="2">
        <f t="shared" si="122"/>
        <v>0</v>
      </c>
      <c r="AP822" s="2">
        <f t="shared" si="123"/>
        <v>0</v>
      </c>
      <c r="AQ822" s="2">
        <f t="shared" si="124"/>
        <v>0</v>
      </c>
      <c r="AR822" s="2">
        <f t="shared" si="125"/>
        <v>0</v>
      </c>
      <c r="AS822" s="2">
        <f t="shared" si="126"/>
        <v>0</v>
      </c>
      <c r="AT822" s="25">
        <f t="shared" si="127"/>
        <v>0</v>
      </c>
    </row>
    <row r="823" spans="1:46">
      <c r="A823" s="24">
        <v>46134</v>
      </c>
      <c r="B823" s="23">
        <f t="shared" si="120"/>
        <v>46113</v>
      </c>
      <c r="C823" s="2" t="s">
        <v>66</v>
      </c>
      <c r="D823" s="2" t="s">
        <v>288</v>
      </c>
      <c r="E823" s="2">
        <v>1639</v>
      </c>
      <c r="F823" s="2">
        <v>106</v>
      </c>
      <c r="G823" s="2">
        <f t="shared" si="128"/>
        <v>20</v>
      </c>
      <c r="H823" s="2">
        <f t="shared" si="129"/>
        <v>20</v>
      </c>
      <c r="I823" s="2">
        <v>0</v>
      </c>
      <c r="J823" s="44" t="s">
        <v>48</v>
      </c>
      <c r="K823" s="2" t="s">
        <v>49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/>
      <c r="AM823" s="2" t="s">
        <v>110</v>
      </c>
      <c r="AN823" s="2">
        <f t="shared" si="121"/>
        <v>0</v>
      </c>
      <c r="AO823" s="2">
        <f t="shared" si="122"/>
        <v>0</v>
      </c>
      <c r="AP823" s="2">
        <f t="shared" si="123"/>
        <v>0</v>
      </c>
      <c r="AQ823" s="2">
        <f t="shared" si="124"/>
        <v>0</v>
      </c>
      <c r="AR823" s="2">
        <f t="shared" si="125"/>
        <v>0</v>
      </c>
      <c r="AS823" s="2">
        <f t="shared" si="126"/>
        <v>0</v>
      </c>
      <c r="AT823" s="25">
        <f t="shared" si="127"/>
        <v>0</v>
      </c>
    </row>
    <row r="824" spans="1:46">
      <c r="A824" s="24">
        <v>46134</v>
      </c>
      <c r="B824" s="23">
        <f t="shared" si="120"/>
        <v>46113</v>
      </c>
      <c r="C824" s="2" t="s">
        <v>66</v>
      </c>
      <c r="D824" s="2" t="s">
        <v>86</v>
      </c>
      <c r="E824" s="2">
        <v>6303</v>
      </c>
      <c r="F824" s="2">
        <v>640</v>
      </c>
      <c r="G824" s="2">
        <f t="shared" si="128"/>
        <v>80</v>
      </c>
      <c r="H824" s="2">
        <f t="shared" si="129"/>
        <v>80</v>
      </c>
      <c r="I824" s="2">
        <v>0</v>
      </c>
      <c r="J824" s="44" t="s">
        <v>48</v>
      </c>
      <c r="K824" s="2" t="s">
        <v>49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/>
      <c r="AM824" s="2" t="s">
        <v>110</v>
      </c>
      <c r="AN824" s="2">
        <f t="shared" si="121"/>
        <v>0</v>
      </c>
      <c r="AO824" s="2">
        <f t="shared" si="122"/>
        <v>0</v>
      </c>
      <c r="AP824" s="2">
        <f t="shared" si="123"/>
        <v>0</v>
      </c>
      <c r="AQ824" s="2">
        <f t="shared" si="124"/>
        <v>0</v>
      </c>
      <c r="AR824" s="2">
        <f t="shared" si="125"/>
        <v>0</v>
      </c>
      <c r="AS824" s="2">
        <f t="shared" si="126"/>
        <v>0</v>
      </c>
      <c r="AT824" s="25">
        <f t="shared" si="127"/>
        <v>0</v>
      </c>
    </row>
    <row r="825" spans="1:46">
      <c r="A825" s="24">
        <v>46134</v>
      </c>
      <c r="B825" s="23">
        <f t="shared" si="120"/>
        <v>46113</v>
      </c>
      <c r="C825" s="2" t="s">
        <v>97</v>
      </c>
      <c r="D825" s="2" t="s">
        <v>107</v>
      </c>
      <c r="E825" s="2">
        <v>3319</v>
      </c>
      <c r="F825" s="2">
        <v>400</v>
      </c>
      <c r="G825" s="2">
        <f t="shared" si="128"/>
        <v>50</v>
      </c>
      <c r="H825" s="2">
        <f t="shared" si="129"/>
        <v>50</v>
      </c>
      <c r="I825" s="2">
        <v>0</v>
      </c>
      <c r="J825" s="44" t="s">
        <v>48</v>
      </c>
      <c r="K825" s="2" t="s">
        <v>49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/>
      <c r="AM825" s="2" t="s">
        <v>110</v>
      </c>
      <c r="AN825" s="2">
        <f t="shared" si="121"/>
        <v>0</v>
      </c>
      <c r="AO825" s="2">
        <f t="shared" si="122"/>
        <v>0</v>
      </c>
      <c r="AP825" s="2">
        <f t="shared" si="123"/>
        <v>0</v>
      </c>
      <c r="AQ825" s="2">
        <f t="shared" si="124"/>
        <v>0</v>
      </c>
      <c r="AR825" s="2">
        <f t="shared" si="125"/>
        <v>0</v>
      </c>
      <c r="AS825" s="2">
        <f t="shared" si="126"/>
        <v>0</v>
      </c>
      <c r="AT825" s="25">
        <f t="shared" si="127"/>
        <v>0</v>
      </c>
    </row>
    <row r="826" spans="1:46">
      <c r="A826" s="24">
        <v>46134</v>
      </c>
      <c r="B826" s="23">
        <f t="shared" si="120"/>
        <v>46113</v>
      </c>
      <c r="C826" s="2" t="s">
        <v>66</v>
      </c>
      <c r="D826" s="2" t="s">
        <v>1403</v>
      </c>
      <c r="E826" s="2">
        <v>10060</v>
      </c>
      <c r="F826" s="2">
        <v>820</v>
      </c>
      <c r="G826" s="2">
        <f t="shared" si="128"/>
        <v>80</v>
      </c>
      <c r="H826" s="2">
        <f t="shared" si="129"/>
        <v>80</v>
      </c>
      <c r="I826" s="2">
        <v>0</v>
      </c>
      <c r="J826" s="44" t="s">
        <v>48</v>
      </c>
      <c r="K826" s="2" t="s">
        <v>49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/>
      <c r="AM826" s="2" t="s">
        <v>110</v>
      </c>
      <c r="AN826" s="2">
        <f t="shared" si="121"/>
        <v>0</v>
      </c>
      <c r="AO826" s="2">
        <f t="shared" si="122"/>
        <v>0</v>
      </c>
      <c r="AP826" s="2">
        <f t="shared" si="123"/>
        <v>0</v>
      </c>
      <c r="AQ826" s="2">
        <f t="shared" si="124"/>
        <v>0</v>
      </c>
      <c r="AR826" s="2">
        <f t="shared" si="125"/>
        <v>0</v>
      </c>
      <c r="AS826" s="2">
        <f t="shared" si="126"/>
        <v>0</v>
      </c>
      <c r="AT826" s="25">
        <f t="shared" si="127"/>
        <v>0</v>
      </c>
    </row>
    <row r="827" spans="1:46">
      <c r="A827" s="24">
        <v>46134</v>
      </c>
      <c r="B827" s="23">
        <f t="shared" si="120"/>
        <v>46113</v>
      </c>
      <c r="C827" s="2" t="s">
        <v>66</v>
      </c>
      <c r="D827" s="2" t="s">
        <v>105</v>
      </c>
      <c r="E827" s="2">
        <v>3291</v>
      </c>
      <c r="F827" s="2">
        <v>324</v>
      </c>
      <c r="G827" s="2">
        <f t="shared" si="128"/>
        <v>50</v>
      </c>
      <c r="H827" s="2">
        <f t="shared" si="129"/>
        <v>50</v>
      </c>
      <c r="I827" s="2">
        <v>0</v>
      </c>
      <c r="J827" s="44" t="s">
        <v>48</v>
      </c>
      <c r="K827" s="2" t="s">
        <v>49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/>
      <c r="AM827" s="2" t="s">
        <v>110</v>
      </c>
      <c r="AN827" s="2">
        <f t="shared" si="121"/>
        <v>0</v>
      </c>
      <c r="AO827" s="2">
        <f t="shared" si="122"/>
        <v>0</v>
      </c>
      <c r="AP827" s="2">
        <f t="shared" si="123"/>
        <v>0</v>
      </c>
      <c r="AQ827" s="2">
        <f t="shared" si="124"/>
        <v>0</v>
      </c>
      <c r="AR827" s="2">
        <f t="shared" si="125"/>
        <v>0</v>
      </c>
      <c r="AS827" s="2">
        <f t="shared" si="126"/>
        <v>0</v>
      </c>
      <c r="AT827" s="25">
        <f t="shared" si="127"/>
        <v>0</v>
      </c>
    </row>
    <row r="828" spans="1:46">
      <c r="A828" s="24">
        <v>46134</v>
      </c>
      <c r="B828" s="23">
        <f t="shared" si="120"/>
        <v>46113</v>
      </c>
      <c r="C828" s="2" t="s">
        <v>97</v>
      </c>
      <c r="D828" s="2" t="s">
        <v>101</v>
      </c>
      <c r="E828" s="2">
        <v>3084</v>
      </c>
      <c r="F828" s="2">
        <v>150</v>
      </c>
      <c r="G828" s="2">
        <f t="shared" si="128"/>
        <v>20</v>
      </c>
      <c r="H828" s="2">
        <f t="shared" si="129"/>
        <v>20</v>
      </c>
      <c r="I828" s="2">
        <v>0</v>
      </c>
      <c r="J828" s="44" t="s">
        <v>48</v>
      </c>
      <c r="K828" s="2" t="s">
        <v>49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/>
      <c r="AM828" s="2" t="s">
        <v>110</v>
      </c>
      <c r="AN828" s="2">
        <f t="shared" si="121"/>
        <v>0</v>
      </c>
      <c r="AO828" s="2">
        <f t="shared" si="122"/>
        <v>0</v>
      </c>
      <c r="AP828" s="2">
        <f t="shared" si="123"/>
        <v>0</v>
      </c>
      <c r="AQ828" s="2">
        <f t="shared" si="124"/>
        <v>0</v>
      </c>
      <c r="AR828" s="2">
        <f t="shared" si="125"/>
        <v>0</v>
      </c>
      <c r="AS828" s="2">
        <f t="shared" si="126"/>
        <v>0</v>
      </c>
      <c r="AT828" s="25">
        <f t="shared" si="127"/>
        <v>0</v>
      </c>
    </row>
    <row r="829" spans="1:46">
      <c r="A829" s="24">
        <v>46136</v>
      </c>
      <c r="B829" s="23">
        <f t="shared" si="120"/>
        <v>46113</v>
      </c>
      <c r="C829" s="2" t="s">
        <v>114</v>
      </c>
      <c r="D829" s="2" t="s">
        <v>292</v>
      </c>
      <c r="E829" s="2">
        <v>6315</v>
      </c>
      <c r="F829" s="2">
        <v>80</v>
      </c>
      <c r="G829" s="2">
        <f t="shared" si="128"/>
        <v>20</v>
      </c>
      <c r="H829" s="2">
        <f t="shared" si="129"/>
        <v>20</v>
      </c>
      <c r="I829" s="2">
        <v>0</v>
      </c>
      <c r="J829" s="44" t="s">
        <v>48</v>
      </c>
      <c r="K829" s="2" t="s">
        <v>49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/>
      <c r="AM829" s="2" t="s">
        <v>103</v>
      </c>
      <c r="AN829" s="2">
        <f t="shared" si="121"/>
        <v>0</v>
      </c>
      <c r="AO829" s="2">
        <f t="shared" si="122"/>
        <v>0</v>
      </c>
      <c r="AP829" s="2">
        <f t="shared" si="123"/>
        <v>0</v>
      </c>
      <c r="AQ829" s="2">
        <f t="shared" si="124"/>
        <v>0</v>
      </c>
      <c r="AR829" s="2">
        <f t="shared" si="125"/>
        <v>0</v>
      </c>
      <c r="AS829" s="2">
        <f t="shared" si="126"/>
        <v>0</v>
      </c>
      <c r="AT829" s="25">
        <f t="shared" si="127"/>
        <v>0</v>
      </c>
    </row>
    <row r="830" spans="1:46">
      <c r="A830" s="24">
        <v>46136</v>
      </c>
      <c r="B830" s="23">
        <f t="shared" si="120"/>
        <v>46113</v>
      </c>
      <c r="C830" s="2" t="s">
        <v>72</v>
      </c>
      <c r="D830" s="2" t="s">
        <v>105</v>
      </c>
      <c r="E830" s="2">
        <v>3291</v>
      </c>
      <c r="F830" s="2">
        <v>227</v>
      </c>
      <c r="G830" s="2">
        <f t="shared" si="128"/>
        <v>32</v>
      </c>
      <c r="H830" s="2">
        <f t="shared" si="129"/>
        <v>32</v>
      </c>
      <c r="I830" s="2">
        <v>0</v>
      </c>
      <c r="J830" s="44" t="s">
        <v>48</v>
      </c>
      <c r="K830" s="2" t="s">
        <v>49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/>
      <c r="AM830" s="2" t="s">
        <v>103</v>
      </c>
      <c r="AN830" s="2">
        <f t="shared" si="121"/>
        <v>0</v>
      </c>
      <c r="AO830" s="2">
        <f t="shared" si="122"/>
        <v>0</v>
      </c>
      <c r="AP830" s="2">
        <f t="shared" si="123"/>
        <v>0</v>
      </c>
      <c r="AQ830" s="2">
        <f t="shared" si="124"/>
        <v>0</v>
      </c>
      <c r="AR830" s="2">
        <f t="shared" si="125"/>
        <v>0</v>
      </c>
      <c r="AS830" s="2">
        <f t="shared" si="126"/>
        <v>0</v>
      </c>
      <c r="AT830" s="25">
        <f t="shared" si="127"/>
        <v>0</v>
      </c>
    </row>
    <row r="831" spans="1:46">
      <c r="A831" s="24">
        <v>46136</v>
      </c>
      <c r="B831" s="23">
        <f t="shared" si="120"/>
        <v>46113</v>
      </c>
      <c r="C831" s="2" t="s">
        <v>72</v>
      </c>
      <c r="D831" s="2" t="s">
        <v>1403</v>
      </c>
      <c r="E831" s="2">
        <v>10060</v>
      </c>
      <c r="F831" s="2">
        <v>192</v>
      </c>
      <c r="G831" s="2">
        <f t="shared" si="128"/>
        <v>32</v>
      </c>
      <c r="H831" s="2">
        <f t="shared" si="129"/>
        <v>32</v>
      </c>
      <c r="I831" s="2">
        <v>0</v>
      </c>
      <c r="J831" s="44" t="s">
        <v>48</v>
      </c>
      <c r="K831" s="2" t="s">
        <v>49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/>
      <c r="AM831" s="2" t="s">
        <v>103</v>
      </c>
      <c r="AN831" s="2">
        <f t="shared" si="121"/>
        <v>0</v>
      </c>
      <c r="AO831" s="2">
        <f t="shared" si="122"/>
        <v>0</v>
      </c>
      <c r="AP831" s="2">
        <f t="shared" si="123"/>
        <v>0</v>
      </c>
      <c r="AQ831" s="2">
        <f t="shared" si="124"/>
        <v>0</v>
      </c>
      <c r="AR831" s="2">
        <f t="shared" si="125"/>
        <v>0</v>
      </c>
      <c r="AS831" s="2">
        <f t="shared" si="126"/>
        <v>0</v>
      </c>
      <c r="AT831" s="25">
        <f t="shared" si="127"/>
        <v>0</v>
      </c>
    </row>
    <row r="832" spans="1:46">
      <c r="A832" s="24">
        <v>46136</v>
      </c>
      <c r="B832" s="23">
        <f t="shared" si="120"/>
        <v>46113</v>
      </c>
      <c r="C832" s="2" t="s">
        <v>72</v>
      </c>
      <c r="D832" s="2" t="s">
        <v>70</v>
      </c>
      <c r="E832" s="2">
        <v>1825</v>
      </c>
      <c r="F832" s="2">
        <v>163</v>
      </c>
      <c r="G832" s="2">
        <f t="shared" si="128"/>
        <v>32</v>
      </c>
      <c r="H832" s="2">
        <f t="shared" si="129"/>
        <v>32</v>
      </c>
      <c r="I832" s="2">
        <v>0</v>
      </c>
      <c r="J832" s="44" t="s">
        <v>48</v>
      </c>
      <c r="K832" s="2" t="s">
        <v>49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/>
      <c r="AM832" s="2" t="s">
        <v>103</v>
      </c>
      <c r="AN832" s="2">
        <f t="shared" si="121"/>
        <v>0</v>
      </c>
      <c r="AO832" s="2">
        <f t="shared" si="122"/>
        <v>0</v>
      </c>
      <c r="AP832" s="2">
        <f t="shared" si="123"/>
        <v>0</v>
      </c>
      <c r="AQ832" s="2">
        <f t="shared" si="124"/>
        <v>0</v>
      </c>
      <c r="AR832" s="2">
        <f t="shared" si="125"/>
        <v>0</v>
      </c>
      <c r="AS832" s="2">
        <f t="shared" si="126"/>
        <v>0</v>
      </c>
      <c r="AT832" s="25">
        <f t="shared" si="127"/>
        <v>0</v>
      </c>
    </row>
    <row r="833" spans="1:46">
      <c r="A833" s="24">
        <v>46136</v>
      </c>
      <c r="B833" s="23">
        <f t="shared" si="120"/>
        <v>46113</v>
      </c>
      <c r="C833" s="2" t="s">
        <v>72</v>
      </c>
      <c r="D833" s="2" t="s">
        <v>84</v>
      </c>
      <c r="E833" s="2">
        <v>1825</v>
      </c>
      <c r="F833" s="2">
        <v>385</v>
      </c>
      <c r="G833" s="2">
        <f t="shared" si="128"/>
        <v>50</v>
      </c>
      <c r="H833" s="2">
        <f t="shared" si="129"/>
        <v>49</v>
      </c>
      <c r="I833" s="2">
        <v>1</v>
      </c>
      <c r="J833" s="44" t="s">
        <v>48</v>
      </c>
      <c r="K833" s="2" t="s">
        <v>49</v>
      </c>
      <c r="L833" s="2">
        <v>1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/>
      <c r="AM833" s="2" t="s">
        <v>103</v>
      </c>
      <c r="AN833" s="2">
        <f t="shared" si="121"/>
        <v>1</v>
      </c>
      <c r="AO833" s="2">
        <f t="shared" si="122"/>
        <v>0</v>
      </c>
      <c r="AP833" s="2">
        <f t="shared" si="123"/>
        <v>0</v>
      </c>
      <c r="AQ833" s="2">
        <f t="shared" si="124"/>
        <v>0</v>
      </c>
      <c r="AR833" s="2">
        <f t="shared" si="125"/>
        <v>0</v>
      </c>
      <c r="AS833" s="2">
        <f t="shared" si="126"/>
        <v>0</v>
      </c>
      <c r="AT833" s="25">
        <f t="shared" si="127"/>
        <v>0</v>
      </c>
    </row>
    <row r="834" spans="1:46">
      <c r="A834" s="24">
        <v>46136</v>
      </c>
      <c r="B834" s="23">
        <f t="shared" ref="B834:B897" si="130">EOMONTH(A834,-1)+1</f>
        <v>46113</v>
      </c>
      <c r="C834" s="2" t="s">
        <v>62</v>
      </c>
      <c r="D834" s="2" t="s">
        <v>252</v>
      </c>
      <c r="E834" s="2">
        <v>3245</v>
      </c>
      <c r="F834" s="2">
        <v>192</v>
      </c>
      <c r="G834" s="2">
        <f t="shared" si="128"/>
        <v>32</v>
      </c>
      <c r="H834" s="2">
        <f t="shared" si="129"/>
        <v>32</v>
      </c>
      <c r="I834" s="2">
        <v>0</v>
      </c>
      <c r="J834" s="44" t="s">
        <v>48</v>
      </c>
      <c r="K834" s="2" t="s">
        <v>49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/>
      <c r="AM834" s="2" t="s">
        <v>1568</v>
      </c>
      <c r="AN834" s="2">
        <f t="shared" ref="AN834:AN897" si="131">+L834+AI834</f>
        <v>0</v>
      </c>
      <c r="AO834" s="2">
        <f t="shared" ref="AO834:AO897" si="132">+M834+N834+O834+P834+Q834+R834+S834+T834+U834+V834</f>
        <v>0</v>
      </c>
      <c r="AP834" s="2">
        <f t="shared" ref="AP834:AP897" si="133">+AE834+AF834</f>
        <v>0</v>
      </c>
      <c r="AQ834" s="2">
        <f t="shared" ref="AQ834:AQ897" si="134">+AK834+AD834+AC834+AJ834</f>
        <v>0</v>
      </c>
      <c r="AR834" s="2">
        <f t="shared" ref="AR834:AR897" si="135">+W834+X834+Y834+Z834+AA834+AB834</f>
        <v>0</v>
      </c>
      <c r="AS834" s="2">
        <f t="shared" ref="AS834:AS897" si="136">+AG834</f>
        <v>0</v>
      </c>
      <c r="AT834" s="25">
        <f t="shared" ref="AT834:AT897" si="137">+AH834</f>
        <v>0</v>
      </c>
    </row>
    <row r="835" spans="1:46">
      <c r="A835" s="24">
        <v>46136</v>
      </c>
      <c r="B835" s="23">
        <f t="shared" si="130"/>
        <v>46113</v>
      </c>
      <c r="C835" s="2" t="s">
        <v>63</v>
      </c>
      <c r="D835" s="2" t="s">
        <v>142</v>
      </c>
      <c r="E835" s="2">
        <v>8060</v>
      </c>
      <c r="F835" s="2">
        <v>179</v>
      </c>
      <c r="G835" s="2">
        <f t="shared" ref="G835:G898" si="138">IF(F835&lt;1001,IF(F835&gt;500,80,IF(F835&gt;280,50,IF(F835&gt;150,32,IF(F835&lt;51,F835,20)))),125)</f>
        <v>32</v>
      </c>
      <c r="H835" s="2">
        <f t="shared" ref="H835:H898" si="139">G835-I835</f>
        <v>27</v>
      </c>
      <c r="I835" s="2">
        <v>5</v>
      </c>
      <c r="J835" s="44" t="s">
        <v>67</v>
      </c>
      <c r="K835" s="2" t="s">
        <v>49</v>
      </c>
      <c r="L835" s="2">
        <v>1</v>
      </c>
      <c r="M835" s="2">
        <v>0</v>
      </c>
      <c r="N835" s="2">
        <v>0</v>
      </c>
      <c r="O835" s="2">
        <v>0</v>
      </c>
      <c r="P835" s="2">
        <v>0</v>
      </c>
      <c r="Q835" s="2">
        <v>3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1</v>
      </c>
      <c r="AL835" s="2"/>
      <c r="AM835" s="2" t="s">
        <v>1568</v>
      </c>
      <c r="AN835" s="2">
        <f t="shared" si="131"/>
        <v>1</v>
      </c>
      <c r="AO835" s="2">
        <f t="shared" si="132"/>
        <v>3</v>
      </c>
      <c r="AP835" s="2">
        <f t="shared" si="133"/>
        <v>0</v>
      </c>
      <c r="AQ835" s="2">
        <f t="shared" si="134"/>
        <v>1</v>
      </c>
      <c r="AR835" s="2">
        <f t="shared" si="135"/>
        <v>0</v>
      </c>
      <c r="AS835" s="2">
        <f t="shared" si="136"/>
        <v>0</v>
      </c>
      <c r="AT835" s="25">
        <f t="shared" si="137"/>
        <v>0</v>
      </c>
    </row>
    <row r="836" spans="1:46">
      <c r="A836" s="24">
        <v>46136</v>
      </c>
      <c r="B836" s="23">
        <f t="shared" si="130"/>
        <v>46113</v>
      </c>
      <c r="C836" s="2" t="s">
        <v>63</v>
      </c>
      <c r="D836" s="2" t="s">
        <v>1576</v>
      </c>
      <c r="E836" s="2">
        <v>6230</v>
      </c>
      <c r="F836" s="2">
        <v>56</v>
      </c>
      <c r="G836" s="2">
        <f t="shared" si="138"/>
        <v>20</v>
      </c>
      <c r="H836" s="2">
        <f t="shared" si="139"/>
        <v>20</v>
      </c>
      <c r="I836" s="2">
        <v>0</v>
      </c>
      <c r="J836" s="44" t="s">
        <v>48</v>
      </c>
      <c r="K836" s="2" t="s">
        <v>49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/>
      <c r="AM836" s="2" t="s">
        <v>1568</v>
      </c>
      <c r="AN836" s="2">
        <f t="shared" si="131"/>
        <v>0</v>
      </c>
      <c r="AO836" s="2">
        <f t="shared" si="132"/>
        <v>0</v>
      </c>
      <c r="AP836" s="2">
        <f t="shared" si="133"/>
        <v>0</v>
      </c>
      <c r="AQ836" s="2">
        <f t="shared" si="134"/>
        <v>0</v>
      </c>
      <c r="AR836" s="2">
        <f t="shared" si="135"/>
        <v>0</v>
      </c>
      <c r="AS836" s="2">
        <f t="shared" si="136"/>
        <v>0</v>
      </c>
      <c r="AT836" s="25">
        <f t="shared" si="137"/>
        <v>0</v>
      </c>
    </row>
    <row r="837" spans="1:46">
      <c r="A837" s="24">
        <v>46136</v>
      </c>
      <c r="B837" s="23">
        <f t="shared" si="130"/>
        <v>46113</v>
      </c>
      <c r="C837" s="2" t="s">
        <v>62</v>
      </c>
      <c r="D837" s="2" t="s">
        <v>109</v>
      </c>
      <c r="E837" s="2">
        <v>7131</v>
      </c>
      <c r="F837" s="2">
        <v>144</v>
      </c>
      <c r="G837" s="2">
        <f t="shared" si="138"/>
        <v>20</v>
      </c>
      <c r="H837" s="2">
        <f t="shared" si="139"/>
        <v>20</v>
      </c>
      <c r="I837" s="2">
        <v>0</v>
      </c>
      <c r="J837" s="44" t="s">
        <v>48</v>
      </c>
      <c r="K837" s="2" t="s">
        <v>49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/>
      <c r="AM837" s="2" t="s">
        <v>1568</v>
      </c>
      <c r="AN837" s="2">
        <f t="shared" si="131"/>
        <v>0</v>
      </c>
      <c r="AO837" s="2">
        <f t="shared" si="132"/>
        <v>0</v>
      </c>
      <c r="AP837" s="2">
        <f t="shared" si="133"/>
        <v>0</v>
      </c>
      <c r="AQ837" s="2">
        <f t="shared" si="134"/>
        <v>0</v>
      </c>
      <c r="AR837" s="2">
        <f t="shared" si="135"/>
        <v>0</v>
      </c>
      <c r="AS837" s="2">
        <f t="shared" si="136"/>
        <v>0</v>
      </c>
      <c r="AT837" s="25">
        <f t="shared" si="137"/>
        <v>0</v>
      </c>
    </row>
    <row r="838" spans="1:46">
      <c r="A838" s="24">
        <v>46136</v>
      </c>
      <c r="B838" s="23">
        <f t="shared" si="130"/>
        <v>46113</v>
      </c>
      <c r="C838" s="2" t="s">
        <v>62</v>
      </c>
      <c r="D838" s="2" t="s">
        <v>1577</v>
      </c>
      <c r="E838" s="2">
        <v>2536</v>
      </c>
      <c r="F838" s="2">
        <v>76</v>
      </c>
      <c r="G838" s="2">
        <f t="shared" si="138"/>
        <v>20</v>
      </c>
      <c r="H838" s="2">
        <f t="shared" si="139"/>
        <v>20</v>
      </c>
      <c r="I838" s="2">
        <v>0</v>
      </c>
      <c r="J838" s="44" t="s">
        <v>48</v>
      </c>
      <c r="K838" s="2" t="s">
        <v>49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/>
      <c r="AM838" s="2" t="s">
        <v>1568</v>
      </c>
      <c r="AN838" s="2">
        <f t="shared" si="131"/>
        <v>0</v>
      </c>
      <c r="AO838" s="2">
        <f t="shared" si="132"/>
        <v>0</v>
      </c>
      <c r="AP838" s="2">
        <f t="shared" si="133"/>
        <v>0</v>
      </c>
      <c r="AQ838" s="2">
        <f t="shared" si="134"/>
        <v>0</v>
      </c>
      <c r="AR838" s="2">
        <f t="shared" si="135"/>
        <v>0</v>
      </c>
      <c r="AS838" s="2">
        <f t="shared" si="136"/>
        <v>0</v>
      </c>
      <c r="AT838" s="25">
        <f t="shared" si="137"/>
        <v>0</v>
      </c>
    </row>
    <row r="839" spans="1:46">
      <c r="A839" s="24">
        <v>46136</v>
      </c>
      <c r="B839" s="23">
        <f t="shared" si="130"/>
        <v>46113</v>
      </c>
      <c r="C839" s="2" t="s">
        <v>63</v>
      </c>
      <c r="D839" s="2" t="s">
        <v>1304</v>
      </c>
      <c r="E839" s="2">
        <v>6027</v>
      </c>
      <c r="F839" s="2">
        <v>175</v>
      </c>
      <c r="G839" s="2">
        <f t="shared" si="138"/>
        <v>32</v>
      </c>
      <c r="H839" s="2">
        <f t="shared" si="139"/>
        <v>28</v>
      </c>
      <c r="I839" s="2">
        <v>4</v>
      </c>
      <c r="J839" s="44" t="s">
        <v>67</v>
      </c>
      <c r="K839" s="2" t="s">
        <v>49</v>
      </c>
      <c r="L839" s="2">
        <v>4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/>
      <c r="AM839" s="2" t="s">
        <v>1568</v>
      </c>
      <c r="AN839" s="2">
        <f t="shared" si="131"/>
        <v>4</v>
      </c>
      <c r="AO839" s="2">
        <f t="shared" si="132"/>
        <v>0</v>
      </c>
      <c r="AP839" s="2">
        <f t="shared" si="133"/>
        <v>0</v>
      </c>
      <c r="AQ839" s="2">
        <f t="shared" si="134"/>
        <v>0</v>
      </c>
      <c r="AR839" s="2">
        <f t="shared" si="135"/>
        <v>0</v>
      </c>
      <c r="AS839" s="2">
        <f t="shared" si="136"/>
        <v>0</v>
      </c>
      <c r="AT839" s="25">
        <f t="shared" si="137"/>
        <v>0</v>
      </c>
    </row>
    <row r="840" spans="1:46">
      <c r="A840" s="24">
        <v>46136</v>
      </c>
      <c r="B840" s="23">
        <f t="shared" si="130"/>
        <v>46113</v>
      </c>
      <c r="C840" s="2" t="s">
        <v>62</v>
      </c>
      <c r="D840" s="2" t="s">
        <v>109</v>
      </c>
      <c r="E840" s="2">
        <v>7131</v>
      </c>
      <c r="F840" s="2">
        <v>198</v>
      </c>
      <c r="G840" s="2">
        <f t="shared" si="138"/>
        <v>32</v>
      </c>
      <c r="H840" s="2">
        <f t="shared" si="139"/>
        <v>32</v>
      </c>
      <c r="I840" s="2">
        <v>0</v>
      </c>
      <c r="J840" s="44" t="s">
        <v>48</v>
      </c>
      <c r="K840" s="2" t="s">
        <v>49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/>
      <c r="AM840" s="2" t="s">
        <v>1568</v>
      </c>
      <c r="AN840" s="2">
        <f t="shared" si="131"/>
        <v>0</v>
      </c>
      <c r="AO840" s="2">
        <f t="shared" si="132"/>
        <v>0</v>
      </c>
      <c r="AP840" s="2">
        <f t="shared" si="133"/>
        <v>0</v>
      </c>
      <c r="AQ840" s="2">
        <f t="shared" si="134"/>
        <v>0</v>
      </c>
      <c r="AR840" s="2">
        <f t="shared" si="135"/>
        <v>0</v>
      </c>
      <c r="AS840" s="2">
        <f t="shared" si="136"/>
        <v>0</v>
      </c>
      <c r="AT840" s="25">
        <f t="shared" si="137"/>
        <v>0</v>
      </c>
    </row>
    <row r="841" spans="1:46">
      <c r="A841" s="24">
        <v>46136</v>
      </c>
      <c r="B841" s="23">
        <f t="shared" si="130"/>
        <v>46113</v>
      </c>
      <c r="C841" s="2" t="s">
        <v>62</v>
      </c>
      <c r="D841" s="2" t="s">
        <v>158</v>
      </c>
      <c r="E841" s="2">
        <v>3305</v>
      </c>
      <c r="F841" s="2">
        <v>264</v>
      </c>
      <c r="G841" s="2">
        <f t="shared" si="138"/>
        <v>32</v>
      </c>
      <c r="H841" s="2">
        <f t="shared" si="139"/>
        <v>31</v>
      </c>
      <c r="I841" s="2">
        <v>1</v>
      </c>
      <c r="J841" s="44" t="s">
        <v>48</v>
      </c>
      <c r="K841" s="2" t="s">
        <v>49</v>
      </c>
      <c r="L841" s="2">
        <v>1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/>
      <c r="AM841" s="2" t="s">
        <v>1568</v>
      </c>
      <c r="AN841" s="2">
        <f t="shared" si="131"/>
        <v>1</v>
      </c>
      <c r="AO841" s="2">
        <f t="shared" si="132"/>
        <v>0</v>
      </c>
      <c r="AP841" s="2">
        <f t="shared" si="133"/>
        <v>0</v>
      </c>
      <c r="AQ841" s="2">
        <f t="shared" si="134"/>
        <v>0</v>
      </c>
      <c r="AR841" s="2">
        <f t="shared" si="135"/>
        <v>0</v>
      </c>
      <c r="AS841" s="2">
        <f t="shared" si="136"/>
        <v>0</v>
      </c>
      <c r="AT841" s="25">
        <f t="shared" si="137"/>
        <v>0</v>
      </c>
    </row>
    <row r="842" spans="1:46">
      <c r="A842" s="24">
        <v>46136</v>
      </c>
      <c r="B842" s="23">
        <f t="shared" si="130"/>
        <v>46113</v>
      </c>
      <c r="C842" s="2" t="s">
        <v>63</v>
      </c>
      <c r="D842" s="2" t="s">
        <v>142</v>
      </c>
      <c r="E842" s="2">
        <v>8060</v>
      </c>
      <c r="F842" s="2">
        <v>159</v>
      </c>
      <c r="G842" s="2">
        <f t="shared" si="138"/>
        <v>32</v>
      </c>
      <c r="H842" s="2">
        <f t="shared" si="139"/>
        <v>32</v>
      </c>
      <c r="I842" s="2">
        <v>0</v>
      </c>
      <c r="J842" s="44" t="s">
        <v>48</v>
      </c>
      <c r="K842" s="2" t="s">
        <v>49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/>
      <c r="AM842" s="2" t="s">
        <v>1568</v>
      </c>
      <c r="AN842" s="2">
        <f t="shared" si="131"/>
        <v>0</v>
      </c>
      <c r="AO842" s="2">
        <f t="shared" si="132"/>
        <v>0</v>
      </c>
      <c r="AP842" s="2">
        <f t="shared" si="133"/>
        <v>0</v>
      </c>
      <c r="AQ842" s="2">
        <f t="shared" si="134"/>
        <v>0</v>
      </c>
      <c r="AR842" s="2">
        <f t="shared" si="135"/>
        <v>0</v>
      </c>
      <c r="AS842" s="2">
        <f t="shared" si="136"/>
        <v>0</v>
      </c>
      <c r="AT842" s="25">
        <f t="shared" si="137"/>
        <v>0</v>
      </c>
    </row>
    <row r="843" spans="1:46">
      <c r="A843" s="24">
        <v>46136</v>
      </c>
      <c r="B843" s="23">
        <f t="shared" si="130"/>
        <v>46113</v>
      </c>
      <c r="C843" s="2" t="s">
        <v>160</v>
      </c>
      <c r="D843" s="2" t="s">
        <v>1513</v>
      </c>
      <c r="E843" s="2">
        <v>3326</v>
      </c>
      <c r="F843" s="2">
        <v>254</v>
      </c>
      <c r="G843" s="2">
        <f t="shared" si="138"/>
        <v>32</v>
      </c>
      <c r="H843" s="2">
        <f t="shared" si="139"/>
        <v>29</v>
      </c>
      <c r="I843" s="2">
        <v>3</v>
      </c>
      <c r="J843" s="44" t="s">
        <v>67</v>
      </c>
      <c r="K843" s="2" t="s">
        <v>49</v>
      </c>
      <c r="L843" s="2">
        <v>3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/>
      <c r="AM843" s="2" t="s">
        <v>93</v>
      </c>
      <c r="AN843" s="2">
        <f t="shared" si="131"/>
        <v>3</v>
      </c>
      <c r="AO843" s="2">
        <f t="shared" si="132"/>
        <v>0</v>
      </c>
      <c r="AP843" s="2">
        <f t="shared" si="133"/>
        <v>0</v>
      </c>
      <c r="AQ843" s="2">
        <f t="shared" si="134"/>
        <v>0</v>
      </c>
      <c r="AR843" s="2">
        <f t="shared" si="135"/>
        <v>0</v>
      </c>
      <c r="AS843" s="2">
        <f t="shared" si="136"/>
        <v>0</v>
      </c>
      <c r="AT843" s="25">
        <f t="shared" si="137"/>
        <v>0</v>
      </c>
    </row>
    <row r="844" spans="1:46">
      <c r="A844" s="24">
        <v>46136</v>
      </c>
      <c r="B844" s="23">
        <f t="shared" si="130"/>
        <v>46113</v>
      </c>
      <c r="C844" s="2" t="s">
        <v>160</v>
      </c>
      <c r="D844" s="2" t="s">
        <v>379</v>
      </c>
      <c r="E844" s="2">
        <v>6306</v>
      </c>
      <c r="F844" s="2">
        <v>193</v>
      </c>
      <c r="G844" s="2">
        <f t="shared" si="138"/>
        <v>32</v>
      </c>
      <c r="H844" s="2">
        <f t="shared" si="139"/>
        <v>30</v>
      </c>
      <c r="I844" s="2">
        <v>2</v>
      </c>
      <c r="J844" s="44" t="s">
        <v>48</v>
      </c>
      <c r="K844" s="2" t="s">
        <v>49</v>
      </c>
      <c r="L844" s="2">
        <v>2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/>
      <c r="AM844" s="2" t="s">
        <v>93</v>
      </c>
      <c r="AN844" s="2">
        <f t="shared" si="131"/>
        <v>2</v>
      </c>
      <c r="AO844" s="2">
        <f t="shared" si="132"/>
        <v>0</v>
      </c>
      <c r="AP844" s="2">
        <f t="shared" si="133"/>
        <v>0</v>
      </c>
      <c r="AQ844" s="2">
        <f t="shared" si="134"/>
        <v>0</v>
      </c>
      <c r="AR844" s="2">
        <f t="shared" si="135"/>
        <v>0</v>
      </c>
      <c r="AS844" s="2">
        <f t="shared" si="136"/>
        <v>0</v>
      </c>
      <c r="AT844" s="25">
        <f t="shared" si="137"/>
        <v>0</v>
      </c>
    </row>
    <row r="845" spans="1:46">
      <c r="A845" s="24">
        <v>46136</v>
      </c>
      <c r="B845" s="23">
        <f t="shared" si="130"/>
        <v>46113</v>
      </c>
      <c r="C845" s="2" t="s">
        <v>160</v>
      </c>
      <c r="D845" s="2" t="s">
        <v>1513</v>
      </c>
      <c r="E845" s="2">
        <v>3326</v>
      </c>
      <c r="F845" s="2">
        <v>250</v>
      </c>
      <c r="G845" s="2">
        <f t="shared" si="138"/>
        <v>32</v>
      </c>
      <c r="H845" s="2">
        <f t="shared" si="139"/>
        <v>32</v>
      </c>
      <c r="I845" s="2">
        <v>0</v>
      </c>
      <c r="J845" s="44" t="s">
        <v>48</v>
      </c>
      <c r="K845" s="2" t="s">
        <v>49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/>
      <c r="AM845" s="2" t="s">
        <v>93</v>
      </c>
      <c r="AN845" s="2">
        <f t="shared" si="131"/>
        <v>0</v>
      </c>
      <c r="AO845" s="2">
        <f t="shared" si="132"/>
        <v>0</v>
      </c>
      <c r="AP845" s="2">
        <f t="shared" si="133"/>
        <v>0</v>
      </c>
      <c r="AQ845" s="2">
        <f t="shared" si="134"/>
        <v>0</v>
      </c>
      <c r="AR845" s="2">
        <f t="shared" si="135"/>
        <v>0</v>
      </c>
      <c r="AS845" s="2">
        <f t="shared" si="136"/>
        <v>0</v>
      </c>
      <c r="AT845" s="25">
        <f t="shared" si="137"/>
        <v>0</v>
      </c>
    </row>
    <row r="846" spans="1:46">
      <c r="A846" s="24">
        <v>46136</v>
      </c>
      <c r="B846" s="23">
        <f t="shared" si="130"/>
        <v>46113</v>
      </c>
      <c r="C846" s="2" t="s">
        <v>82</v>
      </c>
      <c r="D846" s="2" t="s">
        <v>116</v>
      </c>
      <c r="E846" s="2">
        <v>2678</v>
      </c>
      <c r="F846" s="2">
        <v>816</v>
      </c>
      <c r="G846" s="2">
        <f t="shared" si="138"/>
        <v>80</v>
      </c>
      <c r="H846" s="2">
        <f t="shared" si="139"/>
        <v>80</v>
      </c>
      <c r="I846" s="2">
        <v>0</v>
      </c>
      <c r="J846" s="44" t="s">
        <v>48</v>
      </c>
      <c r="K846" s="2" t="s">
        <v>49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/>
      <c r="AM846" s="2" t="s">
        <v>93</v>
      </c>
      <c r="AN846" s="2">
        <f t="shared" si="131"/>
        <v>0</v>
      </c>
      <c r="AO846" s="2">
        <f t="shared" si="132"/>
        <v>0</v>
      </c>
      <c r="AP846" s="2">
        <f t="shared" si="133"/>
        <v>0</v>
      </c>
      <c r="AQ846" s="2">
        <f t="shared" si="134"/>
        <v>0</v>
      </c>
      <c r="AR846" s="2">
        <f t="shared" si="135"/>
        <v>0</v>
      </c>
      <c r="AS846" s="2">
        <f t="shared" si="136"/>
        <v>0</v>
      </c>
      <c r="AT846" s="25">
        <f t="shared" si="137"/>
        <v>0</v>
      </c>
    </row>
    <row r="847" spans="1:46">
      <c r="A847" s="24">
        <v>46136</v>
      </c>
      <c r="B847" s="23">
        <f t="shared" si="130"/>
        <v>46113</v>
      </c>
      <c r="C847" s="2" t="s">
        <v>82</v>
      </c>
      <c r="D847" s="2" t="s">
        <v>1409</v>
      </c>
      <c r="E847" s="2">
        <v>6248</v>
      </c>
      <c r="F847" s="2">
        <v>138</v>
      </c>
      <c r="G847" s="2">
        <f t="shared" si="138"/>
        <v>20</v>
      </c>
      <c r="H847" s="2">
        <f t="shared" si="139"/>
        <v>19</v>
      </c>
      <c r="I847" s="2">
        <v>1</v>
      </c>
      <c r="J847" s="44" t="s">
        <v>48</v>
      </c>
      <c r="K847" s="2" t="s">
        <v>49</v>
      </c>
      <c r="L847" s="2">
        <v>1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/>
      <c r="AM847" s="2" t="s">
        <v>93</v>
      </c>
      <c r="AN847" s="2">
        <f t="shared" si="131"/>
        <v>1</v>
      </c>
      <c r="AO847" s="2">
        <f t="shared" si="132"/>
        <v>0</v>
      </c>
      <c r="AP847" s="2">
        <f t="shared" si="133"/>
        <v>0</v>
      </c>
      <c r="AQ847" s="2">
        <f t="shared" si="134"/>
        <v>0</v>
      </c>
      <c r="AR847" s="2">
        <f t="shared" si="135"/>
        <v>0</v>
      </c>
      <c r="AS847" s="2">
        <f t="shared" si="136"/>
        <v>0</v>
      </c>
      <c r="AT847" s="25">
        <f t="shared" si="137"/>
        <v>0</v>
      </c>
    </row>
    <row r="848" spans="1:46">
      <c r="A848" s="24">
        <v>46136</v>
      </c>
      <c r="B848" s="23">
        <f t="shared" si="130"/>
        <v>46113</v>
      </c>
      <c r="C848" s="2" t="s">
        <v>82</v>
      </c>
      <c r="D848" s="2" t="s">
        <v>118</v>
      </c>
      <c r="E848" s="2">
        <v>1650</v>
      </c>
      <c r="F848" s="2">
        <v>71</v>
      </c>
      <c r="G848" s="2">
        <f t="shared" si="138"/>
        <v>20</v>
      </c>
      <c r="H848" s="2">
        <f t="shared" si="139"/>
        <v>17</v>
      </c>
      <c r="I848" s="2">
        <v>3</v>
      </c>
      <c r="J848" s="44" t="s">
        <v>67</v>
      </c>
      <c r="K848" s="2" t="s">
        <v>49</v>
      </c>
      <c r="L848" s="2">
        <v>3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/>
      <c r="AM848" s="2" t="s">
        <v>93</v>
      </c>
      <c r="AN848" s="2">
        <f t="shared" si="131"/>
        <v>3</v>
      </c>
      <c r="AO848" s="2">
        <f t="shared" si="132"/>
        <v>0</v>
      </c>
      <c r="AP848" s="2">
        <f t="shared" si="133"/>
        <v>0</v>
      </c>
      <c r="AQ848" s="2">
        <f t="shared" si="134"/>
        <v>0</v>
      </c>
      <c r="AR848" s="2">
        <f t="shared" si="135"/>
        <v>0</v>
      </c>
      <c r="AS848" s="2">
        <f t="shared" si="136"/>
        <v>0</v>
      </c>
      <c r="AT848" s="25">
        <f t="shared" si="137"/>
        <v>0</v>
      </c>
    </row>
    <row r="849" spans="1:46">
      <c r="A849" s="24">
        <v>46136</v>
      </c>
      <c r="B849" s="23">
        <f t="shared" si="130"/>
        <v>46113</v>
      </c>
      <c r="C849" s="2" t="s">
        <v>82</v>
      </c>
      <c r="D849" s="2" t="s">
        <v>1299</v>
      </c>
      <c r="E849" s="2">
        <v>1650</v>
      </c>
      <c r="F849" s="2">
        <v>109</v>
      </c>
      <c r="G849" s="2">
        <f t="shared" si="138"/>
        <v>20</v>
      </c>
      <c r="H849" s="2">
        <f t="shared" si="139"/>
        <v>20</v>
      </c>
      <c r="I849" s="2">
        <v>0</v>
      </c>
      <c r="J849" s="44" t="s">
        <v>48</v>
      </c>
      <c r="K849" s="2" t="s">
        <v>49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/>
      <c r="AM849" s="2" t="s">
        <v>93</v>
      </c>
      <c r="AN849" s="2">
        <f t="shared" si="131"/>
        <v>0</v>
      </c>
      <c r="AO849" s="2">
        <f t="shared" si="132"/>
        <v>0</v>
      </c>
      <c r="AP849" s="2">
        <f t="shared" si="133"/>
        <v>0</v>
      </c>
      <c r="AQ849" s="2">
        <f t="shared" si="134"/>
        <v>0</v>
      </c>
      <c r="AR849" s="2">
        <f t="shared" si="135"/>
        <v>0</v>
      </c>
      <c r="AS849" s="2">
        <f t="shared" si="136"/>
        <v>0</v>
      </c>
      <c r="AT849" s="25">
        <f t="shared" si="137"/>
        <v>0</v>
      </c>
    </row>
    <row r="850" spans="1:46">
      <c r="A850" s="24">
        <v>46136</v>
      </c>
      <c r="B850" s="23">
        <f t="shared" si="130"/>
        <v>46113</v>
      </c>
      <c r="C850" s="2" t="s">
        <v>160</v>
      </c>
      <c r="D850" s="2" t="s">
        <v>166</v>
      </c>
      <c r="E850" s="2">
        <v>3099</v>
      </c>
      <c r="F850" s="2">
        <v>143</v>
      </c>
      <c r="G850" s="2">
        <f t="shared" si="138"/>
        <v>20</v>
      </c>
      <c r="H850" s="2">
        <f t="shared" si="139"/>
        <v>18</v>
      </c>
      <c r="I850" s="2">
        <v>2</v>
      </c>
      <c r="J850" s="44" t="s">
        <v>67</v>
      </c>
      <c r="K850" s="2" t="s">
        <v>49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2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/>
      <c r="AM850" s="2" t="s">
        <v>93</v>
      </c>
      <c r="AN850" s="2">
        <f t="shared" si="131"/>
        <v>0</v>
      </c>
      <c r="AO850" s="2">
        <f t="shared" si="132"/>
        <v>2</v>
      </c>
      <c r="AP850" s="2">
        <f t="shared" si="133"/>
        <v>0</v>
      </c>
      <c r="AQ850" s="2">
        <f t="shared" si="134"/>
        <v>0</v>
      </c>
      <c r="AR850" s="2">
        <f t="shared" si="135"/>
        <v>0</v>
      </c>
      <c r="AS850" s="2">
        <f t="shared" si="136"/>
        <v>0</v>
      </c>
      <c r="AT850" s="25">
        <f t="shared" si="137"/>
        <v>0</v>
      </c>
    </row>
    <row r="851" spans="1:46">
      <c r="A851" s="24">
        <v>46136</v>
      </c>
      <c r="B851" s="23">
        <f t="shared" si="130"/>
        <v>46113</v>
      </c>
      <c r="C851" s="2" t="s">
        <v>160</v>
      </c>
      <c r="D851" s="2" t="s">
        <v>166</v>
      </c>
      <c r="E851" s="2">
        <v>3099</v>
      </c>
      <c r="F851" s="2">
        <v>143</v>
      </c>
      <c r="G851" s="2">
        <f t="shared" si="138"/>
        <v>20</v>
      </c>
      <c r="H851" s="2">
        <f t="shared" si="139"/>
        <v>19</v>
      </c>
      <c r="I851" s="2">
        <v>1</v>
      </c>
      <c r="J851" s="44" t="s">
        <v>48</v>
      </c>
      <c r="K851" s="2" t="s">
        <v>49</v>
      </c>
      <c r="L851" s="2">
        <v>1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/>
      <c r="AM851" s="2" t="s">
        <v>93</v>
      </c>
      <c r="AN851" s="2">
        <f t="shared" si="131"/>
        <v>1</v>
      </c>
      <c r="AO851" s="2">
        <f t="shared" si="132"/>
        <v>0</v>
      </c>
      <c r="AP851" s="2">
        <f t="shared" si="133"/>
        <v>0</v>
      </c>
      <c r="AQ851" s="2">
        <f t="shared" si="134"/>
        <v>0</v>
      </c>
      <c r="AR851" s="2">
        <f t="shared" si="135"/>
        <v>0</v>
      </c>
      <c r="AS851" s="2">
        <f t="shared" si="136"/>
        <v>0</v>
      </c>
      <c r="AT851" s="25">
        <f t="shared" si="137"/>
        <v>0</v>
      </c>
    </row>
    <row r="852" spans="1:46">
      <c r="A852" s="24">
        <v>46136</v>
      </c>
      <c r="B852" s="23">
        <f t="shared" si="130"/>
        <v>46113</v>
      </c>
      <c r="C852" s="2" t="s">
        <v>55</v>
      </c>
      <c r="D852" s="2" t="s">
        <v>222</v>
      </c>
      <c r="E852" s="2">
        <v>2593</v>
      </c>
      <c r="F852" s="2">
        <v>146</v>
      </c>
      <c r="G852" s="2">
        <f t="shared" si="138"/>
        <v>20</v>
      </c>
      <c r="H852" s="2">
        <f t="shared" si="139"/>
        <v>20</v>
      </c>
      <c r="I852" s="2">
        <v>0</v>
      </c>
      <c r="J852" s="44" t="s">
        <v>48</v>
      </c>
      <c r="K852" s="2" t="s">
        <v>49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/>
      <c r="AM852" s="2" t="s">
        <v>1566</v>
      </c>
      <c r="AN852" s="2">
        <f t="shared" si="131"/>
        <v>0</v>
      </c>
      <c r="AO852" s="2">
        <f t="shared" si="132"/>
        <v>0</v>
      </c>
      <c r="AP852" s="2">
        <f t="shared" si="133"/>
        <v>0</v>
      </c>
      <c r="AQ852" s="2">
        <f t="shared" si="134"/>
        <v>0</v>
      </c>
      <c r="AR852" s="2">
        <f t="shared" si="135"/>
        <v>0</v>
      </c>
      <c r="AS852" s="2">
        <f t="shared" si="136"/>
        <v>0</v>
      </c>
      <c r="AT852" s="25">
        <f t="shared" si="137"/>
        <v>0</v>
      </c>
    </row>
    <row r="853" spans="1:46">
      <c r="A853" s="24">
        <v>46136</v>
      </c>
      <c r="B853" s="23">
        <f t="shared" si="130"/>
        <v>46113</v>
      </c>
      <c r="C853" s="2" t="s">
        <v>55</v>
      </c>
      <c r="D853" s="2" t="s">
        <v>314</v>
      </c>
      <c r="E853" s="2">
        <v>87001</v>
      </c>
      <c r="F853" s="2">
        <v>199</v>
      </c>
      <c r="G853" s="2">
        <f t="shared" si="138"/>
        <v>32</v>
      </c>
      <c r="H853" s="2">
        <f t="shared" si="139"/>
        <v>32</v>
      </c>
      <c r="I853" s="2">
        <v>0</v>
      </c>
      <c r="J853" s="44" t="s">
        <v>48</v>
      </c>
      <c r="K853" s="2" t="s">
        <v>49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/>
      <c r="AM853" s="2" t="s">
        <v>1566</v>
      </c>
      <c r="AN853" s="2">
        <f t="shared" si="131"/>
        <v>0</v>
      </c>
      <c r="AO853" s="2">
        <f t="shared" si="132"/>
        <v>0</v>
      </c>
      <c r="AP853" s="2">
        <f t="shared" si="133"/>
        <v>0</v>
      </c>
      <c r="AQ853" s="2">
        <f t="shared" si="134"/>
        <v>0</v>
      </c>
      <c r="AR853" s="2">
        <f t="shared" si="135"/>
        <v>0</v>
      </c>
      <c r="AS853" s="2">
        <f t="shared" si="136"/>
        <v>0</v>
      </c>
      <c r="AT853" s="25">
        <f t="shared" si="137"/>
        <v>0</v>
      </c>
    </row>
    <row r="854" spans="1:46">
      <c r="A854" s="24">
        <v>46136</v>
      </c>
      <c r="B854" s="23">
        <f t="shared" si="130"/>
        <v>46113</v>
      </c>
      <c r="C854" s="2" t="s">
        <v>55</v>
      </c>
      <c r="D854" s="2" t="s">
        <v>65</v>
      </c>
      <c r="E854" s="2">
        <v>2598</v>
      </c>
      <c r="F854" s="2">
        <v>672</v>
      </c>
      <c r="G854" s="2">
        <f t="shared" si="138"/>
        <v>80</v>
      </c>
      <c r="H854" s="2">
        <f t="shared" si="139"/>
        <v>80</v>
      </c>
      <c r="I854" s="2">
        <v>0</v>
      </c>
      <c r="J854" s="44" t="s">
        <v>48</v>
      </c>
      <c r="K854" s="2" t="s">
        <v>49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/>
      <c r="AM854" s="2" t="s">
        <v>1566</v>
      </c>
      <c r="AN854" s="2">
        <f t="shared" si="131"/>
        <v>0</v>
      </c>
      <c r="AO854" s="2">
        <f t="shared" si="132"/>
        <v>0</v>
      </c>
      <c r="AP854" s="2">
        <f t="shared" si="133"/>
        <v>0</v>
      </c>
      <c r="AQ854" s="2">
        <f t="shared" si="134"/>
        <v>0</v>
      </c>
      <c r="AR854" s="2">
        <f t="shared" si="135"/>
        <v>0</v>
      </c>
      <c r="AS854" s="2">
        <f t="shared" si="136"/>
        <v>0</v>
      </c>
      <c r="AT854" s="25">
        <f t="shared" si="137"/>
        <v>0</v>
      </c>
    </row>
    <row r="855" spans="1:46">
      <c r="A855" s="24">
        <v>46136</v>
      </c>
      <c r="B855" s="23">
        <f t="shared" si="130"/>
        <v>46113</v>
      </c>
      <c r="C855" s="2" t="s">
        <v>55</v>
      </c>
      <c r="D855" s="2" t="s">
        <v>138</v>
      </c>
      <c r="E855" s="2">
        <v>2598</v>
      </c>
      <c r="F855" s="2">
        <v>524</v>
      </c>
      <c r="G855" s="2">
        <f t="shared" si="138"/>
        <v>80</v>
      </c>
      <c r="H855" s="2">
        <f t="shared" si="139"/>
        <v>79</v>
      </c>
      <c r="I855" s="2">
        <v>1</v>
      </c>
      <c r="J855" s="44" t="s">
        <v>48</v>
      </c>
      <c r="K855" s="2" t="s">
        <v>49</v>
      </c>
      <c r="L855" s="2">
        <v>1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/>
      <c r="AM855" s="2" t="s">
        <v>1566</v>
      </c>
      <c r="AN855" s="2">
        <f t="shared" si="131"/>
        <v>1</v>
      </c>
      <c r="AO855" s="2">
        <f t="shared" si="132"/>
        <v>0</v>
      </c>
      <c r="AP855" s="2">
        <f t="shared" si="133"/>
        <v>0</v>
      </c>
      <c r="AQ855" s="2">
        <f t="shared" si="134"/>
        <v>0</v>
      </c>
      <c r="AR855" s="2">
        <f t="shared" si="135"/>
        <v>0</v>
      </c>
      <c r="AS855" s="2">
        <f t="shared" si="136"/>
        <v>0</v>
      </c>
      <c r="AT855" s="25">
        <f t="shared" si="137"/>
        <v>0</v>
      </c>
    </row>
    <row r="856" spans="1:46">
      <c r="A856" s="24">
        <v>46136</v>
      </c>
      <c r="B856" s="23">
        <f t="shared" si="130"/>
        <v>46113</v>
      </c>
      <c r="C856" s="2" t="s">
        <v>55</v>
      </c>
      <c r="D856" s="2" t="s">
        <v>132</v>
      </c>
      <c r="E856" s="2">
        <v>1775</v>
      </c>
      <c r="F856" s="2">
        <v>188</v>
      </c>
      <c r="G856" s="2">
        <f t="shared" si="138"/>
        <v>32</v>
      </c>
      <c r="H856" s="2">
        <f t="shared" si="139"/>
        <v>31</v>
      </c>
      <c r="I856" s="2">
        <v>1</v>
      </c>
      <c r="J856" s="44" t="s">
        <v>48</v>
      </c>
      <c r="K856" s="2" t="s">
        <v>49</v>
      </c>
      <c r="L856" s="2">
        <v>1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/>
      <c r="AM856" s="2" t="s">
        <v>1566</v>
      </c>
      <c r="AN856" s="2">
        <f t="shared" si="131"/>
        <v>1</v>
      </c>
      <c r="AO856" s="2">
        <f t="shared" si="132"/>
        <v>0</v>
      </c>
      <c r="AP856" s="2">
        <f t="shared" si="133"/>
        <v>0</v>
      </c>
      <c r="AQ856" s="2">
        <f t="shared" si="134"/>
        <v>0</v>
      </c>
      <c r="AR856" s="2">
        <f t="shared" si="135"/>
        <v>0</v>
      </c>
      <c r="AS856" s="2">
        <f t="shared" si="136"/>
        <v>0</v>
      </c>
      <c r="AT856" s="25">
        <f t="shared" si="137"/>
        <v>0</v>
      </c>
    </row>
    <row r="857" spans="1:46">
      <c r="A857" s="24">
        <v>46136</v>
      </c>
      <c r="B857" s="23">
        <f t="shared" si="130"/>
        <v>46113</v>
      </c>
      <c r="C857" s="2" t="s">
        <v>62</v>
      </c>
      <c r="D857" s="2" t="s">
        <v>394</v>
      </c>
      <c r="E857" s="2">
        <v>6259</v>
      </c>
      <c r="F857" s="2">
        <v>128</v>
      </c>
      <c r="G857" s="2">
        <f t="shared" si="138"/>
        <v>20</v>
      </c>
      <c r="H857" s="2">
        <f t="shared" si="139"/>
        <v>20</v>
      </c>
      <c r="I857" s="2">
        <v>0</v>
      </c>
      <c r="J857" s="44" t="s">
        <v>48</v>
      </c>
      <c r="K857" s="2" t="s">
        <v>49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/>
      <c r="AM857" s="2" t="s">
        <v>110</v>
      </c>
      <c r="AN857" s="2">
        <f t="shared" si="131"/>
        <v>0</v>
      </c>
      <c r="AO857" s="2">
        <f t="shared" si="132"/>
        <v>0</v>
      </c>
      <c r="AP857" s="2">
        <f t="shared" si="133"/>
        <v>0</v>
      </c>
      <c r="AQ857" s="2">
        <f t="shared" si="134"/>
        <v>0</v>
      </c>
      <c r="AR857" s="2">
        <f t="shared" si="135"/>
        <v>0</v>
      </c>
      <c r="AS857" s="2">
        <f t="shared" si="136"/>
        <v>0</v>
      </c>
      <c r="AT857" s="25">
        <f t="shared" si="137"/>
        <v>0</v>
      </c>
    </row>
    <row r="858" spans="1:46">
      <c r="A858" s="24">
        <v>46136</v>
      </c>
      <c r="B858" s="23">
        <f t="shared" si="130"/>
        <v>46113</v>
      </c>
      <c r="C858" s="2" t="s">
        <v>97</v>
      </c>
      <c r="D858" s="2" t="s">
        <v>384</v>
      </c>
      <c r="E858" s="2">
        <v>7147</v>
      </c>
      <c r="F858" s="2">
        <v>108</v>
      </c>
      <c r="G858" s="2">
        <f t="shared" si="138"/>
        <v>20</v>
      </c>
      <c r="H858" s="2">
        <f t="shared" si="139"/>
        <v>19</v>
      </c>
      <c r="I858" s="2">
        <v>1</v>
      </c>
      <c r="J858" s="44" t="s">
        <v>48</v>
      </c>
      <c r="K858" s="2" t="s">
        <v>49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1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/>
      <c r="AM858" s="2" t="s">
        <v>110</v>
      </c>
      <c r="AN858" s="2">
        <f t="shared" si="131"/>
        <v>0</v>
      </c>
      <c r="AO858" s="2">
        <f t="shared" si="132"/>
        <v>1</v>
      </c>
      <c r="AP858" s="2">
        <f t="shared" si="133"/>
        <v>0</v>
      </c>
      <c r="AQ858" s="2">
        <f t="shared" si="134"/>
        <v>0</v>
      </c>
      <c r="AR858" s="2">
        <f t="shared" si="135"/>
        <v>0</v>
      </c>
      <c r="AS858" s="2">
        <f t="shared" si="136"/>
        <v>0</v>
      </c>
      <c r="AT858" s="25">
        <f t="shared" si="137"/>
        <v>0</v>
      </c>
    </row>
    <row r="859" spans="1:46">
      <c r="A859" s="24">
        <v>46136</v>
      </c>
      <c r="B859" s="23">
        <f t="shared" si="130"/>
        <v>46113</v>
      </c>
      <c r="C859" s="2" t="s">
        <v>97</v>
      </c>
      <c r="D859" s="2" t="s">
        <v>108</v>
      </c>
      <c r="E859" s="2">
        <v>3147</v>
      </c>
      <c r="F859" s="2">
        <v>150</v>
      </c>
      <c r="G859" s="2">
        <f t="shared" si="138"/>
        <v>20</v>
      </c>
      <c r="H859" s="2">
        <f t="shared" si="139"/>
        <v>20</v>
      </c>
      <c r="I859" s="2">
        <v>0</v>
      </c>
      <c r="J859" s="44" t="s">
        <v>48</v>
      </c>
      <c r="K859" s="2" t="s">
        <v>49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/>
      <c r="AM859" s="2" t="s">
        <v>110</v>
      </c>
      <c r="AN859" s="2">
        <f t="shared" si="131"/>
        <v>0</v>
      </c>
      <c r="AO859" s="2">
        <f t="shared" si="132"/>
        <v>0</v>
      </c>
      <c r="AP859" s="2">
        <f t="shared" si="133"/>
        <v>0</v>
      </c>
      <c r="AQ859" s="2">
        <f t="shared" si="134"/>
        <v>0</v>
      </c>
      <c r="AR859" s="2">
        <f t="shared" si="135"/>
        <v>0</v>
      </c>
      <c r="AS859" s="2">
        <f t="shared" si="136"/>
        <v>0</v>
      </c>
      <c r="AT859" s="25">
        <f t="shared" si="137"/>
        <v>0</v>
      </c>
    </row>
    <row r="860" spans="1:46">
      <c r="A860" s="24">
        <v>46136</v>
      </c>
      <c r="B860" s="23">
        <f t="shared" si="130"/>
        <v>46113</v>
      </c>
      <c r="C860" s="2" t="s">
        <v>66</v>
      </c>
      <c r="D860" s="2" t="s">
        <v>1572</v>
      </c>
      <c r="E860" s="2">
        <v>6328</v>
      </c>
      <c r="F860" s="2">
        <v>132</v>
      </c>
      <c r="G860" s="2">
        <f t="shared" si="138"/>
        <v>20</v>
      </c>
      <c r="H860" s="2">
        <f t="shared" si="139"/>
        <v>19</v>
      </c>
      <c r="I860" s="2">
        <v>1</v>
      </c>
      <c r="J860" s="44" t="s">
        <v>48</v>
      </c>
      <c r="K860" s="2" t="s">
        <v>49</v>
      </c>
      <c r="L860" s="2">
        <v>0</v>
      </c>
      <c r="M860" s="2">
        <v>0</v>
      </c>
      <c r="N860" s="2">
        <v>1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/>
      <c r="AM860" s="2" t="s">
        <v>110</v>
      </c>
      <c r="AN860" s="2">
        <f t="shared" si="131"/>
        <v>0</v>
      </c>
      <c r="AO860" s="2">
        <f t="shared" si="132"/>
        <v>1</v>
      </c>
      <c r="AP860" s="2">
        <f t="shared" si="133"/>
        <v>0</v>
      </c>
      <c r="AQ860" s="2">
        <f t="shared" si="134"/>
        <v>0</v>
      </c>
      <c r="AR860" s="2">
        <f t="shared" si="135"/>
        <v>0</v>
      </c>
      <c r="AS860" s="2">
        <f t="shared" si="136"/>
        <v>0</v>
      </c>
      <c r="AT860" s="25">
        <f t="shared" si="137"/>
        <v>0</v>
      </c>
    </row>
    <row r="861" spans="1:46">
      <c r="A861" s="24">
        <v>46136</v>
      </c>
      <c r="B861" s="23">
        <f t="shared" si="130"/>
        <v>46113</v>
      </c>
      <c r="C861" s="2" t="s">
        <v>66</v>
      </c>
      <c r="D861" s="2" t="s">
        <v>1571</v>
      </c>
      <c r="E861" s="2">
        <v>6328</v>
      </c>
      <c r="F861" s="2">
        <v>450</v>
      </c>
      <c r="G861" s="2">
        <f t="shared" si="138"/>
        <v>50</v>
      </c>
      <c r="H861" s="2">
        <f t="shared" si="139"/>
        <v>50</v>
      </c>
      <c r="I861" s="2">
        <v>0</v>
      </c>
      <c r="J861" s="44" t="s">
        <v>48</v>
      </c>
      <c r="K861" s="2" t="s">
        <v>49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/>
      <c r="AM861" s="2" t="s">
        <v>110</v>
      </c>
      <c r="AN861" s="2">
        <f t="shared" si="131"/>
        <v>0</v>
      </c>
      <c r="AO861" s="2">
        <f t="shared" si="132"/>
        <v>0</v>
      </c>
      <c r="AP861" s="2">
        <f t="shared" si="133"/>
        <v>0</v>
      </c>
      <c r="AQ861" s="2">
        <f t="shared" si="134"/>
        <v>0</v>
      </c>
      <c r="AR861" s="2">
        <f t="shared" si="135"/>
        <v>0</v>
      </c>
      <c r="AS861" s="2">
        <f t="shared" si="136"/>
        <v>0</v>
      </c>
      <c r="AT861" s="25">
        <f t="shared" si="137"/>
        <v>0</v>
      </c>
    </row>
    <row r="862" spans="1:46">
      <c r="A862" s="24">
        <v>46136</v>
      </c>
      <c r="B862" s="23">
        <f t="shared" si="130"/>
        <v>46113</v>
      </c>
      <c r="C862" s="2" t="s">
        <v>46</v>
      </c>
      <c r="D862" s="2" t="s">
        <v>339</v>
      </c>
      <c r="E862" s="2">
        <v>1825</v>
      </c>
      <c r="F862" s="2">
        <v>192</v>
      </c>
      <c r="G862" s="2">
        <f t="shared" si="138"/>
        <v>32</v>
      </c>
      <c r="H862" s="2">
        <f t="shared" si="139"/>
        <v>29</v>
      </c>
      <c r="I862" s="2">
        <v>3</v>
      </c>
      <c r="J862" s="44" t="s">
        <v>67</v>
      </c>
      <c r="K862" s="2" t="s">
        <v>49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3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/>
      <c r="AM862" s="2" t="s">
        <v>1567</v>
      </c>
      <c r="AN862" s="2">
        <f t="shared" si="131"/>
        <v>0</v>
      </c>
      <c r="AO862" s="2">
        <f t="shared" si="132"/>
        <v>0</v>
      </c>
      <c r="AP862" s="2">
        <f t="shared" si="133"/>
        <v>0</v>
      </c>
      <c r="AQ862" s="2">
        <f t="shared" si="134"/>
        <v>3</v>
      </c>
      <c r="AR862" s="2">
        <f t="shared" si="135"/>
        <v>0</v>
      </c>
      <c r="AS862" s="2">
        <f t="shared" si="136"/>
        <v>0</v>
      </c>
      <c r="AT862" s="25">
        <f t="shared" si="137"/>
        <v>0</v>
      </c>
    </row>
    <row r="863" spans="1:46">
      <c r="A863" s="24">
        <v>46136</v>
      </c>
      <c r="B863" s="23">
        <f t="shared" si="130"/>
        <v>46113</v>
      </c>
      <c r="C863" s="2" t="s">
        <v>95</v>
      </c>
      <c r="D863" s="2" t="s">
        <v>1228</v>
      </c>
      <c r="E863" s="2">
        <v>3322</v>
      </c>
      <c r="F863" s="2">
        <v>254</v>
      </c>
      <c r="G863" s="2">
        <f t="shared" si="138"/>
        <v>32</v>
      </c>
      <c r="H863" s="2">
        <f t="shared" si="139"/>
        <v>31</v>
      </c>
      <c r="I863" s="2">
        <v>1</v>
      </c>
      <c r="J863" s="44" t="s">
        <v>48</v>
      </c>
      <c r="K863" s="2" t="s">
        <v>49</v>
      </c>
      <c r="L863" s="2">
        <v>1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/>
      <c r="AM863" s="2" t="s">
        <v>1567</v>
      </c>
      <c r="AN863" s="2">
        <f t="shared" si="131"/>
        <v>1</v>
      </c>
      <c r="AO863" s="2">
        <f t="shared" si="132"/>
        <v>0</v>
      </c>
      <c r="AP863" s="2">
        <f t="shared" si="133"/>
        <v>0</v>
      </c>
      <c r="AQ863" s="2">
        <f t="shared" si="134"/>
        <v>0</v>
      </c>
      <c r="AR863" s="2">
        <f t="shared" si="135"/>
        <v>0</v>
      </c>
      <c r="AS863" s="2">
        <f t="shared" si="136"/>
        <v>0</v>
      </c>
      <c r="AT863" s="25">
        <f t="shared" si="137"/>
        <v>0</v>
      </c>
    </row>
    <row r="864" spans="1:46">
      <c r="A864" s="24">
        <v>46136</v>
      </c>
      <c r="B864" s="23">
        <f t="shared" si="130"/>
        <v>46113</v>
      </c>
      <c r="C864" s="2" t="s">
        <v>46</v>
      </c>
      <c r="D864" s="2" t="s">
        <v>339</v>
      </c>
      <c r="E864" s="2">
        <v>1825</v>
      </c>
      <c r="F864" s="2">
        <v>185</v>
      </c>
      <c r="G864" s="2">
        <f t="shared" si="138"/>
        <v>32</v>
      </c>
      <c r="H864" s="2">
        <f t="shared" si="139"/>
        <v>31</v>
      </c>
      <c r="I864" s="2">
        <v>1</v>
      </c>
      <c r="J864" s="44" t="s">
        <v>48</v>
      </c>
      <c r="K864" s="2" t="s">
        <v>49</v>
      </c>
      <c r="L864" s="2">
        <v>1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/>
      <c r="AM864" s="2" t="s">
        <v>1567</v>
      </c>
      <c r="AN864" s="2">
        <f t="shared" si="131"/>
        <v>1</v>
      </c>
      <c r="AO864" s="2">
        <f t="shared" si="132"/>
        <v>0</v>
      </c>
      <c r="AP864" s="2">
        <f t="shared" si="133"/>
        <v>0</v>
      </c>
      <c r="AQ864" s="2">
        <f t="shared" si="134"/>
        <v>0</v>
      </c>
      <c r="AR864" s="2">
        <f t="shared" si="135"/>
        <v>0</v>
      </c>
      <c r="AS864" s="2">
        <f t="shared" si="136"/>
        <v>0</v>
      </c>
      <c r="AT864" s="25">
        <f t="shared" si="137"/>
        <v>0</v>
      </c>
    </row>
    <row r="865" spans="1:46">
      <c r="A865" s="24">
        <v>46136</v>
      </c>
      <c r="B865" s="23">
        <f t="shared" si="130"/>
        <v>46113</v>
      </c>
      <c r="C865" s="2" t="s">
        <v>46</v>
      </c>
      <c r="D865" s="2" t="s">
        <v>300</v>
      </c>
      <c r="E865" s="2">
        <v>3222</v>
      </c>
      <c r="F865" s="2">
        <v>138</v>
      </c>
      <c r="G865" s="2">
        <f t="shared" si="138"/>
        <v>20</v>
      </c>
      <c r="H865" s="2">
        <f t="shared" si="139"/>
        <v>20</v>
      </c>
      <c r="I865" s="2">
        <v>0</v>
      </c>
      <c r="J865" s="44" t="s">
        <v>48</v>
      </c>
      <c r="K865" s="2" t="s">
        <v>49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/>
      <c r="AM865" s="2" t="s">
        <v>1567</v>
      </c>
      <c r="AN865" s="2">
        <f t="shared" si="131"/>
        <v>0</v>
      </c>
      <c r="AO865" s="2">
        <f t="shared" si="132"/>
        <v>0</v>
      </c>
      <c r="AP865" s="2">
        <f t="shared" si="133"/>
        <v>0</v>
      </c>
      <c r="AQ865" s="2">
        <f t="shared" si="134"/>
        <v>0</v>
      </c>
      <c r="AR865" s="2">
        <f t="shared" si="135"/>
        <v>0</v>
      </c>
      <c r="AS865" s="2">
        <f t="shared" si="136"/>
        <v>0</v>
      </c>
      <c r="AT865" s="25">
        <f t="shared" si="137"/>
        <v>0</v>
      </c>
    </row>
    <row r="866" spans="1:46">
      <c r="A866" s="24">
        <v>46136</v>
      </c>
      <c r="B866" s="23">
        <f t="shared" si="130"/>
        <v>46113</v>
      </c>
      <c r="C866" s="2" t="s">
        <v>46</v>
      </c>
      <c r="D866" s="2" t="s">
        <v>73</v>
      </c>
      <c r="E866" s="2">
        <v>2702</v>
      </c>
      <c r="F866" s="2">
        <v>67</v>
      </c>
      <c r="G866" s="2">
        <f t="shared" si="138"/>
        <v>20</v>
      </c>
      <c r="H866" s="2">
        <f t="shared" si="139"/>
        <v>18</v>
      </c>
      <c r="I866" s="2">
        <v>2</v>
      </c>
      <c r="J866" s="44" t="s">
        <v>67</v>
      </c>
      <c r="K866" s="2" t="s">
        <v>49</v>
      </c>
      <c r="L866" s="2">
        <v>2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/>
      <c r="AM866" s="2" t="s">
        <v>1567</v>
      </c>
      <c r="AN866" s="2">
        <f t="shared" si="131"/>
        <v>2</v>
      </c>
      <c r="AO866" s="2">
        <f t="shared" si="132"/>
        <v>0</v>
      </c>
      <c r="AP866" s="2">
        <f t="shared" si="133"/>
        <v>0</v>
      </c>
      <c r="AQ866" s="2">
        <f t="shared" si="134"/>
        <v>0</v>
      </c>
      <c r="AR866" s="2">
        <f t="shared" si="135"/>
        <v>0</v>
      </c>
      <c r="AS866" s="2">
        <f t="shared" si="136"/>
        <v>0</v>
      </c>
      <c r="AT866" s="25">
        <f t="shared" si="137"/>
        <v>0</v>
      </c>
    </row>
    <row r="867" spans="1:46">
      <c r="A867" s="24">
        <v>46136</v>
      </c>
      <c r="B867" s="23">
        <f t="shared" si="130"/>
        <v>46113</v>
      </c>
      <c r="C867" s="2" t="s">
        <v>46</v>
      </c>
      <c r="D867" s="2" t="s">
        <v>174</v>
      </c>
      <c r="E867" s="2">
        <v>2702</v>
      </c>
      <c r="F867" s="2">
        <v>60</v>
      </c>
      <c r="G867" s="2">
        <f t="shared" si="138"/>
        <v>20</v>
      </c>
      <c r="H867" s="2">
        <f t="shared" si="139"/>
        <v>20</v>
      </c>
      <c r="I867" s="2">
        <v>0</v>
      </c>
      <c r="J867" s="44" t="s">
        <v>48</v>
      </c>
      <c r="K867" s="2" t="s">
        <v>49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/>
      <c r="AM867" s="2" t="s">
        <v>1567</v>
      </c>
      <c r="AN867" s="2">
        <f t="shared" si="131"/>
        <v>0</v>
      </c>
      <c r="AO867" s="2">
        <f t="shared" si="132"/>
        <v>0</v>
      </c>
      <c r="AP867" s="2">
        <f t="shared" si="133"/>
        <v>0</v>
      </c>
      <c r="AQ867" s="2">
        <f t="shared" si="134"/>
        <v>0</v>
      </c>
      <c r="AR867" s="2">
        <f t="shared" si="135"/>
        <v>0</v>
      </c>
      <c r="AS867" s="2">
        <f t="shared" si="136"/>
        <v>0</v>
      </c>
      <c r="AT867" s="25">
        <f t="shared" si="137"/>
        <v>0</v>
      </c>
    </row>
    <row r="868" spans="1:46">
      <c r="A868" s="24">
        <v>46136</v>
      </c>
      <c r="B868" s="23">
        <f t="shared" si="130"/>
        <v>46113</v>
      </c>
      <c r="C868" s="2" t="s">
        <v>46</v>
      </c>
      <c r="D868" s="2" t="s">
        <v>73</v>
      </c>
      <c r="E868" s="2">
        <v>2702</v>
      </c>
      <c r="F868" s="2">
        <v>65</v>
      </c>
      <c r="G868" s="2">
        <f t="shared" si="138"/>
        <v>20</v>
      </c>
      <c r="H868" s="2">
        <f t="shared" si="139"/>
        <v>19</v>
      </c>
      <c r="I868" s="2">
        <v>1</v>
      </c>
      <c r="J868" s="44" t="s">
        <v>48</v>
      </c>
      <c r="K868" s="2" t="s">
        <v>49</v>
      </c>
      <c r="L868" s="2">
        <v>1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/>
      <c r="AM868" s="2" t="s">
        <v>1567</v>
      </c>
      <c r="AN868" s="2">
        <f t="shared" si="131"/>
        <v>1</v>
      </c>
      <c r="AO868" s="2">
        <f t="shared" si="132"/>
        <v>0</v>
      </c>
      <c r="AP868" s="2">
        <f t="shared" si="133"/>
        <v>0</v>
      </c>
      <c r="AQ868" s="2">
        <f t="shared" si="134"/>
        <v>0</v>
      </c>
      <c r="AR868" s="2">
        <f t="shared" si="135"/>
        <v>0</v>
      </c>
      <c r="AS868" s="2">
        <f t="shared" si="136"/>
        <v>0</v>
      </c>
      <c r="AT868" s="25">
        <f t="shared" si="137"/>
        <v>0</v>
      </c>
    </row>
    <row r="869" spans="1:46">
      <c r="A869" s="24">
        <v>46136</v>
      </c>
      <c r="B869" s="23">
        <f t="shared" si="130"/>
        <v>46113</v>
      </c>
      <c r="C869" s="2" t="s">
        <v>95</v>
      </c>
      <c r="D869" s="2" t="s">
        <v>326</v>
      </c>
      <c r="E869" s="2">
        <v>3322</v>
      </c>
      <c r="F869" s="2">
        <v>90</v>
      </c>
      <c r="G869" s="2">
        <f t="shared" si="138"/>
        <v>20</v>
      </c>
      <c r="H869" s="2">
        <f t="shared" si="139"/>
        <v>20</v>
      </c>
      <c r="I869" s="2">
        <v>0</v>
      </c>
      <c r="J869" s="44" t="s">
        <v>48</v>
      </c>
      <c r="K869" s="2" t="s">
        <v>49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/>
      <c r="AM869" s="2" t="s">
        <v>1567</v>
      </c>
      <c r="AN869" s="2">
        <f t="shared" si="131"/>
        <v>0</v>
      </c>
      <c r="AO869" s="2">
        <f t="shared" si="132"/>
        <v>0</v>
      </c>
      <c r="AP869" s="2">
        <f t="shared" si="133"/>
        <v>0</v>
      </c>
      <c r="AQ869" s="2">
        <f t="shared" si="134"/>
        <v>0</v>
      </c>
      <c r="AR869" s="2">
        <f t="shared" si="135"/>
        <v>0</v>
      </c>
      <c r="AS869" s="2">
        <f t="shared" si="136"/>
        <v>0</v>
      </c>
      <c r="AT869" s="25">
        <f t="shared" si="137"/>
        <v>0</v>
      </c>
    </row>
    <row r="870" spans="1:46">
      <c r="A870" s="24">
        <v>46136</v>
      </c>
      <c r="B870" s="23">
        <f t="shared" si="130"/>
        <v>46113</v>
      </c>
      <c r="C870" s="2" t="s">
        <v>95</v>
      </c>
      <c r="D870" s="2" t="s">
        <v>1306</v>
      </c>
      <c r="E870" s="2">
        <v>3322</v>
      </c>
      <c r="F870" s="2">
        <v>55</v>
      </c>
      <c r="G870" s="2">
        <f t="shared" si="138"/>
        <v>20</v>
      </c>
      <c r="H870" s="2">
        <f t="shared" si="139"/>
        <v>19</v>
      </c>
      <c r="I870" s="2">
        <v>1</v>
      </c>
      <c r="J870" s="44" t="s">
        <v>48</v>
      </c>
      <c r="K870" s="2" t="s">
        <v>49</v>
      </c>
      <c r="L870" s="2">
        <v>1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/>
      <c r="AM870" s="2" t="s">
        <v>1567</v>
      </c>
      <c r="AN870" s="2">
        <f t="shared" si="131"/>
        <v>1</v>
      </c>
      <c r="AO870" s="2">
        <f t="shared" si="132"/>
        <v>0</v>
      </c>
      <c r="AP870" s="2">
        <f t="shared" si="133"/>
        <v>0</v>
      </c>
      <c r="AQ870" s="2">
        <f t="shared" si="134"/>
        <v>0</v>
      </c>
      <c r="AR870" s="2">
        <f t="shared" si="135"/>
        <v>0</v>
      </c>
      <c r="AS870" s="2">
        <f t="shared" si="136"/>
        <v>0</v>
      </c>
      <c r="AT870" s="25">
        <f t="shared" si="137"/>
        <v>0</v>
      </c>
    </row>
    <row r="871" spans="1:46">
      <c r="A871" s="24">
        <v>46137</v>
      </c>
      <c r="B871" s="23">
        <f t="shared" si="130"/>
        <v>46113</v>
      </c>
      <c r="C871" s="2" t="s">
        <v>46</v>
      </c>
      <c r="D871" s="2" t="s">
        <v>193</v>
      </c>
      <c r="E871" s="2">
        <v>6221</v>
      </c>
      <c r="F871" s="2">
        <v>90</v>
      </c>
      <c r="G871" s="2">
        <f t="shared" si="138"/>
        <v>20</v>
      </c>
      <c r="H871" s="2">
        <f t="shared" si="139"/>
        <v>19</v>
      </c>
      <c r="I871" s="2">
        <v>1</v>
      </c>
      <c r="J871" s="44" t="s">
        <v>48</v>
      </c>
      <c r="K871" s="2" t="s">
        <v>49</v>
      </c>
      <c r="L871" s="2">
        <v>1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/>
      <c r="AM871" s="2" t="s">
        <v>1567</v>
      </c>
      <c r="AN871" s="2">
        <f t="shared" si="131"/>
        <v>1</v>
      </c>
      <c r="AO871" s="2">
        <f t="shared" si="132"/>
        <v>0</v>
      </c>
      <c r="AP871" s="2">
        <f t="shared" si="133"/>
        <v>0</v>
      </c>
      <c r="AQ871" s="2">
        <f t="shared" si="134"/>
        <v>0</v>
      </c>
      <c r="AR871" s="2">
        <f t="shared" si="135"/>
        <v>0</v>
      </c>
      <c r="AS871" s="2">
        <f t="shared" si="136"/>
        <v>0</v>
      </c>
      <c r="AT871" s="25">
        <f t="shared" si="137"/>
        <v>0</v>
      </c>
    </row>
    <row r="872" spans="1:46">
      <c r="A872" s="24">
        <v>46137</v>
      </c>
      <c r="B872" s="23">
        <f t="shared" si="130"/>
        <v>46113</v>
      </c>
      <c r="C872" s="2" t="s">
        <v>95</v>
      </c>
      <c r="D872" s="2" t="s">
        <v>302</v>
      </c>
      <c r="E872" s="2">
        <v>1713</v>
      </c>
      <c r="F872" s="2">
        <v>183</v>
      </c>
      <c r="G872" s="2">
        <f t="shared" si="138"/>
        <v>32</v>
      </c>
      <c r="H872" s="2">
        <f t="shared" si="139"/>
        <v>32</v>
      </c>
      <c r="I872" s="2">
        <v>0</v>
      </c>
      <c r="J872" s="44" t="s">
        <v>48</v>
      </c>
      <c r="K872" s="2" t="s">
        <v>49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/>
      <c r="AM872" s="2" t="s">
        <v>1567</v>
      </c>
      <c r="AN872" s="2">
        <f t="shared" si="131"/>
        <v>0</v>
      </c>
      <c r="AO872" s="2">
        <f t="shared" si="132"/>
        <v>0</v>
      </c>
      <c r="AP872" s="2">
        <f t="shared" si="133"/>
        <v>0</v>
      </c>
      <c r="AQ872" s="2">
        <f t="shared" si="134"/>
        <v>0</v>
      </c>
      <c r="AR872" s="2">
        <f t="shared" si="135"/>
        <v>0</v>
      </c>
      <c r="AS872" s="2">
        <f t="shared" si="136"/>
        <v>0</v>
      </c>
      <c r="AT872" s="25">
        <f t="shared" si="137"/>
        <v>0</v>
      </c>
    </row>
    <row r="873" spans="1:46">
      <c r="A873" s="24">
        <v>46137</v>
      </c>
      <c r="B873" s="23">
        <f t="shared" si="130"/>
        <v>46113</v>
      </c>
      <c r="C873" s="2" t="s">
        <v>95</v>
      </c>
      <c r="D873" s="2" t="s">
        <v>136</v>
      </c>
      <c r="E873" s="2">
        <v>2679</v>
      </c>
      <c r="F873" s="2">
        <v>96</v>
      </c>
      <c r="G873" s="2">
        <f t="shared" si="138"/>
        <v>20</v>
      </c>
      <c r="H873" s="2">
        <f t="shared" si="139"/>
        <v>20</v>
      </c>
      <c r="I873" s="2">
        <v>0</v>
      </c>
      <c r="J873" s="44" t="s">
        <v>48</v>
      </c>
      <c r="K873" s="2" t="s">
        <v>49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/>
      <c r="AM873" s="2" t="s">
        <v>1567</v>
      </c>
      <c r="AN873" s="2">
        <f t="shared" si="131"/>
        <v>0</v>
      </c>
      <c r="AO873" s="2">
        <f t="shared" si="132"/>
        <v>0</v>
      </c>
      <c r="AP873" s="2">
        <f t="shared" si="133"/>
        <v>0</v>
      </c>
      <c r="AQ873" s="2">
        <f t="shared" si="134"/>
        <v>0</v>
      </c>
      <c r="AR873" s="2">
        <f t="shared" si="135"/>
        <v>0</v>
      </c>
      <c r="AS873" s="2">
        <f t="shared" si="136"/>
        <v>0</v>
      </c>
      <c r="AT873" s="25">
        <f t="shared" si="137"/>
        <v>0</v>
      </c>
    </row>
    <row r="874" spans="1:46">
      <c r="A874" s="24">
        <v>46137</v>
      </c>
      <c r="B874" s="23">
        <f t="shared" si="130"/>
        <v>46113</v>
      </c>
      <c r="C874" s="2" t="s">
        <v>46</v>
      </c>
      <c r="D874" s="2" t="s">
        <v>47</v>
      </c>
      <c r="E874" s="2">
        <v>6296</v>
      </c>
      <c r="F874" s="2">
        <v>288</v>
      </c>
      <c r="G874" s="2">
        <f t="shared" si="138"/>
        <v>50</v>
      </c>
      <c r="H874" s="2">
        <f t="shared" si="139"/>
        <v>49</v>
      </c>
      <c r="I874" s="2">
        <v>1</v>
      </c>
      <c r="J874" s="44" t="s">
        <v>48</v>
      </c>
      <c r="K874" s="2" t="s">
        <v>49</v>
      </c>
      <c r="L874" s="2">
        <v>1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/>
      <c r="AM874" s="2" t="s">
        <v>1567</v>
      </c>
      <c r="AN874" s="2">
        <f t="shared" si="131"/>
        <v>1</v>
      </c>
      <c r="AO874" s="2">
        <f t="shared" si="132"/>
        <v>0</v>
      </c>
      <c r="AP874" s="2">
        <f t="shared" si="133"/>
        <v>0</v>
      </c>
      <c r="AQ874" s="2">
        <f t="shared" si="134"/>
        <v>0</v>
      </c>
      <c r="AR874" s="2">
        <f t="shared" si="135"/>
        <v>0</v>
      </c>
      <c r="AS874" s="2">
        <f t="shared" si="136"/>
        <v>0</v>
      </c>
      <c r="AT874" s="25">
        <f t="shared" si="137"/>
        <v>0</v>
      </c>
    </row>
    <row r="875" spans="1:46">
      <c r="A875" s="24">
        <v>46137</v>
      </c>
      <c r="B875" s="23">
        <f t="shared" si="130"/>
        <v>46113</v>
      </c>
      <c r="C875" s="2" t="s">
        <v>95</v>
      </c>
      <c r="D875" s="2" t="s">
        <v>105</v>
      </c>
      <c r="E875" s="2">
        <v>3291</v>
      </c>
      <c r="F875" s="2">
        <v>1000</v>
      </c>
      <c r="G875" s="2">
        <f t="shared" si="138"/>
        <v>80</v>
      </c>
      <c r="H875" s="2">
        <f t="shared" si="139"/>
        <v>79</v>
      </c>
      <c r="I875" s="2">
        <v>1</v>
      </c>
      <c r="J875" s="44" t="s">
        <v>48</v>
      </c>
      <c r="K875" s="2" t="s">
        <v>49</v>
      </c>
      <c r="L875" s="2">
        <v>1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/>
      <c r="AM875" s="2" t="s">
        <v>1567</v>
      </c>
      <c r="AN875" s="2">
        <f t="shared" si="131"/>
        <v>1</v>
      </c>
      <c r="AO875" s="2">
        <f t="shared" si="132"/>
        <v>0</v>
      </c>
      <c r="AP875" s="2">
        <f t="shared" si="133"/>
        <v>0</v>
      </c>
      <c r="AQ875" s="2">
        <f t="shared" si="134"/>
        <v>0</v>
      </c>
      <c r="AR875" s="2">
        <f t="shared" si="135"/>
        <v>0</v>
      </c>
      <c r="AS875" s="2">
        <f t="shared" si="136"/>
        <v>0</v>
      </c>
      <c r="AT875" s="25">
        <f t="shared" si="137"/>
        <v>0</v>
      </c>
    </row>
    <row r="876" spans="1:46">
      <c r="A876" s="24">
        <v>46137</v>
      </c>
      <c r="B876" s="23">
        <f t="shared" si="130"/>
        <v>46113</v>
      </c>
      <c r="C876" s="2" t="s">
        <v>95</v>
      </c>
      <c r="D876" s="2" t="s">
        <v>1228</v>
      </c>
      <c r="E876" s="2">
        <v>3322</v>
      </c>
      <c r="F876" s="2">
        <v>210</v>
      </c>
      <c r="G876" s="2">
        <f t="shared" si="138"/>
        <v>32</v>
      </c>
      <c r="H876" s="2">
        <f t="shared" si="139"/>
        <v>31</v>
      </c>
      <c r="I876" s="2">
        <v>1</v>
      </c>
      <c r="J876" s="44" t="s">
        <v>48</v>
      </c>
      <c r="K876" s="2" t="s">
        <v>49</v>
      </c>
      <c r="L876" s="2">
        <v>1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/>
      <c r="AM876" s="2" t="s">
        <v>1567</v>
      </c>
      <c r="AN876" s="2">
        <f t="shared" si="131"/>
        <v>1</v>
      </c>
      <c r="AO876" s="2">
        <f t="shared" si="132"/>
        <v>0</v>
      </c>
      <c r="AP876" s="2">
        <f t="shared" si="133"/>
        <v>0</v>
      </c>
      <c r="AQ876" s="2">
        <f t="shared" si="134"/>
        <v>0</v>
      </c>
      <c r="AR876" s="2">
        <f t="shared" si="135"/>
        <v>0</v>
      </c>
      <c r="AS876" s="2">
        <f t="shared" si="136"/>
        <v>0</v>
      </c>
      <c r="AT876" s="25">
        <f t="shared" si="137"/>
        <v>0</v>
      </c>
    </row>
    <row r="877" spans="1:46">
      <c r="A877" s="24">
        <v>46137</v>
      </c>
      <c r="B877" s="23">
        <f t="shared" si="130"/>
        <v>46113</v>
      </c>
      <c r="C877" s="2" t="s">
        <v>95</v>
      </c>
      <c r="D877" s="2" t="s">
        <v>326</v>
      </c>
      <c r="E877" s="2">
        <v>3322</v>
      </c>
      <c r="F877" s="2">
        <v>98</v>
      </c>
      <c r="G877" s="2">
        <f t="shared" si="138"/>
        <v>20</v>
      </c>
      <c r="H877" s="2">
        <f t="shared" si="139"/>
        <v>20</v>
      </c>
      <c r="I877" s="2">
        <v>0</v>
      </c>
      <c r="J877" s="44" t="s">
        <v>48</v>
      </c>
      <c r="K877" s="2" t="s">
        <v>49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/>
      <c r="AM877" s="2" t="s">
        <v>1567</v>
      </c>
      <c r="AN877" s="2">
        <f t="shared" si="131"/>
        <v>0</v>
      </c>
      <c r="AO877" s="2">
        <f t="shared" si="132"/>
        <v>0</v>
      </c>
      <c r="AP877" s="2">
        <f t="shared" si="133"/>
        <v>0</v>
      </c>
      <c r="AQ877" s="2">
        <f t="shared" si="134"/>
        <v>0</v>
      </c>
      <c r="AR877" s="2">
        <f t="shared" si="135"/>
        <v>0</v>
      </c>
      <c r="AS877" s="2">
        <f t="shared" si="136"/>
        <v>0</v>
      </c>
      <c r="AT877" s="25">
        <f t="shared" si="137"/>
        <v>0</v>
      </c>
    </row>
    <row r="878" spans="1:46">
      <c r="A878" s="24">
        <v>46137</v>
      </c>
      <c r="B878" s="23">
        <f t="shared" si="130"/>
        <v>46113</v>
      </c>
      <c r="C878" s="2" t="s">
        <v>72</v>
      </c>
      <c r="D878" s="2" t="s">
        <v>221</v>
      </c>
      <c r="E878" s="2">
        <v>6258</v>
      </c>
      <c r="F878" s="2">
        <v>74</v>
      </c>
      <c r="G878" s="2">
        <f t="shared" si="138"/>
        <v>20</v>
      </c>
      <c r="H878" s="2">
        <f t="shared" si="139"/>
        <v>20</v>
      </c>
      <c r="I878" s="2">
        <v>0</v>
      </c>
      <c r="J878" s="44" t="s">
        <v>48</v>
      </c>
      <c r="K878" s="2" t="s">
        <v>49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/>
      <c r="AM878" s="2" t="s">
        <v>103</v>
      </c>
      <c r="AN878" s="2">
        <f t="shared" si="131"/>
        <v>0</v>
      </c>
      <c r="AO878" s="2">
        <f t="shared" si="132"/>
        <v>0</v>
      </c>
      <c r="AP878" s="2">
        <f t="shared" si="133"/>
        <v>0</v>
      </c>
      <c r="AQ878" s="2">
        <f t="shared" si="134"/>
        <v>0</v>
      </c>
      <c r="AR878" s="2">
        <f t="shared" si="135"/>
        <v>0</v>
      </c>
      <c r="AS878" s="2">
        <f t="shared" si="136"/>
        <v>0</v>
      </c>
      <c r="AT878" s="25">
        <f t="shared" si="137"/>
        <v>0</v>
      </c>
    </row>
    <row r="879" spans="1:46">
      <c r="A879" s="24">
        <v>46137</v>
      </c>
      <c r="B879" s="23">
        <f t="shared" si="130"/>
        <v>46113</v>
      </c>
      <c r="C879" s="2" t="s">
        <v>72</v>
      </c>
      <c r="D879" s="2" t="s">
        <v>181</v>
      </c>
      <c r="E879" s="2">
        <v>3317</v>
      </c>
      <c r="F879" s="2">
        <v>116</v>
      </c>
      <c r="G879" s="2">
        <f t="shared" si="138"/>
        <v>20</v>
      </c>
      <c r="H879" s="2">
        <f t="shared" si="139"/>
        <v>20</v>
      </c>
      <c r="I879" s="2">
        <v>0</v>
      </c>
      <c r="J879" s="44" t="s">
        <v>48</v>
      </c>
      <c r="K879" s="2" t="s">
        <v>49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/>
      <c r="AM879" s="2" t="s">
        <v>103</v>
      </c>
      <c r="AN879" s="2">
        <f t="shared" si="131"/>
        <v>0</v>
      </c>
      <c r="AO879" s="2">
        <f t="shared" si="132"/>
        <v>0</v>
      </c>
      <c r="AP879" s="2">
        <f t="shared" si="133"/>
        <v>0</v>
      </c>
      <c r="AQ879" s="2">
        <f t="shared" si="134"/>
        <v>0</v>
      </c>
      <c r="AR879" s="2">
        <f t="shared" si="135"/>
        <v>0</v>
      </c>
      <c r="AS879" s="2">
        <f t="shared" si="136"/>
        <v>0</v>
      </c>
      <c r="AT879" s="25">
        <f t="shared" si="137"/>
        <v>0</v>
      </c>
    </row>
    <row r="880" spans="1:46">
      <c r="A880" s="24">
        <v>46137</v>
      </c>
      <c r="B880" s="23">
        <f t="shared" si="130"/>
        <v>46113</v>
      </c>
      <c r="C880" s="2" t="s">
        <v>114</v>
      </c>
      <c r="D880" s="2" t="s">
        <v>1386</v>
      </c>
      <c r="E880" s="2">
        <v>3327</v>
      </c>
      <c r="F880" s="2">
        <v>457</v>
      </c>
      <c r="G880" s="2">
        <f t="shared" si="138"/>
        <v>50</v>
      </c>
      <c r="H880" s="2">
        <f t="shared" si="139"/>
        <v>48</v>
      </c>
      <c r="I880" s="2">
        <v>2</v>
      </c>
      <c r="J880" s="44" t="s">
        <v>48</v>
      </c>
      <c r="K880" s="2" t="s">
        <v>49</v>
      </c>
      <c r="L880" s="2">
        <v>1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1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/>
      <c r="AM880" s="2" t="s">
        <v>103</v>
      </c>
      <c r="AN880" s="2">
        <f t="shared" si="131"/>
        <v>1</v>
      </c>
      <c r="AO880" s="2">
        <f t="shared" si="132"/>
        <v>1</v>
      </c>
      <c r="AP880" s="2">
        <f t="shared" si="133"/>
        <v>0</v>
      </c>
      <c r="AQ880" s="2">
        <f t="shared" si="134"/>
        <v>0</v>
      </c>
      <c r="AR880" s="2">
        <f t="shared" si="135"/>
        <v>0</v>
      </c>
      <c r="AS880" s="2">
        <f t="shared" si="136"/>
        <v>0</v>
      </c>
      <c r="AT880" s="25">
        <f t="shared" si="137"/>
        <v>0</v>
      </c>
    </row>
    <row r="881" spans="1:46">
      <c r="A881" s="24">
        <v>46137</v>
      </c>
      <c r="B881" s="23">
        <f t="shared" si="130"/>
        <v>46113</v>
      </c>
      <c r="C881" s="2" t="s">
        <v>114</v>
      </c>
      <c r="D881" s="2" t="s">
        <v>1219</v>
      </c>
      <c r="E881" s="2">
        <v>7155</v>
      </c>
      <c r="F881" s="2">
        <v>380</v>
      </c>
      <c r="G881" s="2">
        <f t="shared" si="138"/>
        <v>50</v>
      </c>
      <c r="H881" s="2">
        <f t="shared" si="139"/>
        <v>48</v>
      </c>
      <c r="I881" s="2">
        <v>2</v>
      </c>
      <c r="J881" s="44" t="s">
        <v>48</v>
      </c>
      <c r="K881" s="2" t="s">
        <v>49</v>
      </c>
      <c r="L881" s="2">
        <v>2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/>
      <c r="AM881" s="2" t="s">
        <v>103</v>
      </c>
      <c r="AN881" s="2">
        <f t="shared" si="131"/>
        <v>2</v>
      </c>
      <c r="AO881" s="2">
        <f t="shared" si="132"/>
        <v>0</v>
      </c>
      <c r="AP881" s="2">
        <f t="shared" si="133"/>
        <v>0</v>
      </c>
      <c r="AQ881" s="2">
        <f t="shared" si="134"/>
        <v>0</v>
      </c>
      <c r="AR881" s="2">
        <f t="shared" si="135"/>
        <v>0</v>
      </c>
      <c r="AS881" s="2">
        <f t="shared" si="136"/>
        <v>0</v>
      </c>
      <c r="AT881" s="25">
        <f t="shared" si="137"/>
        <v>0</v>
      </c>
    </row>
    <row r="882" spans="1:46">
      <c r="A882" s="24">
        <v>46137</v>
      </c>
      <c r="B882" s="23">
        <f t="shared" si="130"/>
        <v>46113</v>
      </c>
      <c r="C882" s="2" t="s">
        <v>72</v>
      </c>
      <c r="D882" s="2" t="s">
        <v>218</v>
      </c>
      <c r="E882" s="2">
        <v>7140</v>
      </c>
      <c r="F882" s="2">
        <v>181</v>
      </c>
      <c r="G882" s="2">
        <f t="shared" si="138"/>
        <v>32</v>
      </c>
      <c r="H882" s="2">
        <f t="shared" si="139"/>
        <v>32</v>
      </c>
      <c r="I882" s="2">
        <v>0</v>
      </c>
      <c r="J882" s="44" t="s">
        <v>48</v>
      </c>
      <c r="K882" s="2" t="s">
        <v>49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/>
      <c r="AM882" s="2" t="s">
        <v>103</v>
      </c>
      <c r="AN882" s="2">
        <f t="shared" si="131"/>
        <v>0</v>
      </c>
      <c r="AO882" s="2">
        <f t="shared" si="132"/>
        <v>0</v>
      </c>
      <c r="AP882" s="2">
        <f t="shared" si="133"/>
        <v>0</v>
      </c>
      <c r="AQ882" s="2">
        <f t="shared" si="134"/>
        <v>0</v>
      </c>
      <c r="AR882" s="2">
        <f t="shared" si="135"/>
        <v>0</v>
      </c>
      <c r="AS882" s="2">
        <f t="shared" si="136"/>
        <v>0</v>
      </c>
      <c r="AT882" s="25">
        <f t="shared" si="137"/>
        <v>0</v>
      </c>
    </row>
    <row r="883" spans="1:46">
      <c r="A883" s="24">
        <v>46137</v>
      </c>
      <c r="B883" s="23">
        <f t="shared" si="130"/>
        <v>46113</v>
      </c>
      <c r="C883" s="2" t="s">
        <v>63</v>
      </c>
      <c r="D883" s="2" t="s">
        <v>65</v>
      </c>
      <c r="E883" s="2">
        <v>2598</v>
      </c>
      <c r="F883" s="2">
        <v>225</v>
      </c>
      <c r="G883" s="2">
        <f t="shared" si="138"/>
        <v>32</v>
      </c>
      <c r="H883" s="2">
        <f t="shared" si="139"/>
        <v>32</v>
      </c>
      <c r="I883" s="2">
        <v>0</v>
      </c>
      <c r="J883" s="44" t="s">
        <v>48</v>
      </c>
      <c r="K883" s="2" t="s">
        <v>49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/>
      <c r="AM883" s="2" t="s">
        <v>1568</v>
      </c>
      <c r="AN883" s="2">
        <f t="shared" si="131"/>
        <v>0</v>
      </c>
      <c r="AO883" s="2">
        <f t="shared" si="132"/>
        <v>0</v>
      </c>
      <c r="AP883" s="2">
        <f t="shared" si="133"/>
        <v>0</v>
      </c>
      <c r="AQ883" s="2">
        <f t="shared" si="134"/>
        <v>0</v>
      </c>
      <c r="AR883" s="2">
        <f t="shared" si="135"/>
        <v>0</v>
      </c>
      <c r="AS883" s="2">
        <f t="shared" si="136"/>
        <v>0</v>
      </c>
      <c r="AT883" s="25">
        <f t="shared" si="137"/>
        <v>0</v>
      </c>
    </row>
    <row r="884" spans="1:46">
      <c r="A884" s="24">
        <v>46137</v>
      </c>
      <c r="B884" s="23">
        <f t="shared" si="130"/>
        <v>46113</v>
      </c>
      <c r="C884" s="2" t="s">
        <v>63</v>
      </c>
      <c r="D884" s="2" t="s">
        <v>113</v>
      </c>
      <c r="E884" s="2">
        <v>2598</v>
      </c>
      <c r="F884" s="2">
        <v>125</v>
      </c>
      <c r="G884" s="2">
        <f t="shared" si="138"/>
        <v>20</v>
      </c>
      <c r="H884" s="2">
        <f t="shared" si="139"/>
        <v>20</v>
      </c>
      <c r="I884" s="2">
        <v>0</v>
      </c>
      <c r="J884" s="44" t="s">
        <v>48</v>
      </c>
      <c r="K884" s="2" t="s">
        <v>49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/>
      <c r="AM884" s="2" t="s">
        <v>1568</v>
      </c>
      <c r="AN884" s="2">
        <f t="shared" si="131"/>
        <v>0</v>
      </c>
      <c r="AO884" s="2">
        <f t="shared" si="132"/>
        <v>0</v>
      </c>
      <c r="AP884" s="2">
        <f t="shared" si="133"/>
        <v>0</v>
      </c>
      <c r="AQ884" s="2">
        <f t="shared" si="134"/>
        <v>0</v>
      </c>
      <c r="AR884" s="2">
        <f t="shared" si="135"/>
        <v>0</v>
      </c>
      <c r="AS884" s="2">
        <f t="shared" si="136"/>
        <v>0</v>
      </c>
      <c r="AT884" s="25">
        <f t="shared" si="137"/>
        <v>0</v>
      </c>
    </row>
    <row r="885" spans="1:46">
      <c r="A885" s="24">
        <v>46137</v>
      </c>
      <c r="B885" s="23">
        <f t="shared" si="130"/>
        <v>46113</v>
      </c>
      <c r="C885" s="2" t="s">
        <v>62</v>
      </c>
      <c r="D885" s="2" t="s">
        <v>1406</v>
      </c>
      <c r="E885" s="2">
        <v>3330</v>
      </c>
      <c r="F885" s="2">
        <v>162</v>
      </c>
      <c r="G885" s="2">
        <f t="shared" si="138"/>
        <v>32</v>
      </c>
      <c r="H885" s="2">
        <f t="shared" si="139"/>
        <v>32</v>
      </c>
      <c r="I885" s="2">
        <v>0</v>
      </c>
      <c r="J885" s="44" t="s">
        <v>48</v>
      </c>
      <c r="K885" s="2" t="s">
        <v>49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/>
      <c r="AM885" s="2" t="s">
        <v>1568</v>
      </c>
      <c r="AN885" s="2">
        <f t="shared" si="131"/>
        <v>0</v>
      </c>
      <c r="AO885" s="2">
        <f t="shared" si="132"/>
        <v>0</v>
      </c>
      <c r="AP885" s="2">
        <f t="shared" si="133"/>
        <v>0</v>
      </c>
      <c r="AQ885" s="2">
        <f t="shared" si="134"/>
        <v>0</v>
      </c>
      <c r="AR885" s="2">
        <f t="shared" si="135"/>
        <v>0</v>
      </c>
      <c r="AS885" s="2">
        <f t="shared" si="136"/>
        <v>0</v>
      </c>
      <c r="AT885" s="25">
        <f t="shared" si="137"/>
        <v>0</v>
      </c>
    </row>
    <row r="886" spans="1:46">
      <c r="A886" s="24">
        <v>46137</v>
      </c>
      <c r="B886" s="23">
        <f t="shared" si="130"/>
        <v>46113</v>
      </c>
      <c r="C886" s="2" t="s">
        <v>63</v>
      </c>
      <c r="D886" s="2" t="s">
        <v>277</v>
      </c>
      <c r="E886" s="2">
        <v>3250</v>
      </c>
      <c r="F886" s="2">
        <v>700</v>
      </c>
      <c r="G886" s="2">
        <f t="shared" si="138"/>
        <v>80</v>
      </c>
      <c r="H886" s="2">
        <f t="shared" si="139"/>
        <v>80</v>
      </c>
      <c r="I886" s="2">
        <v>0</v>
      </c>
      <c r="J886" s="44" t="s">
        <v>48</v>
      </c>
      <c r="K886" s="2" t="s">
        <v>49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/>
      <c r="AM886" s="2" t="s">
        <v>1568</v>
      </c>
      <c r="AN886" s="2">
        <f t="shared" si="131"/>
        <v>0</v>
      </c>
      <c r="AO886" s="2">
        <f t="shared" si="132"/>
        <v>0</v>
      </c>
      <c r="AP886" s="2">
        <f t="shared" si="133"/>
        <v>0</v>
      </c>
      <c r="AQ886" s="2">
        <f t="shared" si="134"/>
        <v>0</v>
      </c>
      <c r="AR886" s="2">
        <f t="shared" si="135"/>
        <v>0</v>
      </c>
      <c r="AS886" s="2">
        <f t="shared" si="136"/>
        <v>0</v>
      </c>
      <c r="AT886" s="25">
        <f t="shared" si="137"/>
        <v>0</v>
      </c>
    </row>
    <row r="887" spans="1:46">
      <c r="A887" s="24">
        <v>46137</v>
      </c>
      <c r="B887" s="23">
        <f t="shared" si="130"/>
        <v>46113</v>
      </c>
      <c r="C887" s="2" t="s">
        <v>63</v>
      </c>
      <c r="D887" s="2" t="s">
        <v>96</v>
      </c>
      <c r="E887" s="2">
        <v>1802</v>
      </c>
      <c r="F887" s="2">
        <v>320</v>
      </c>
      <c r="G887" s="2">
        <f t="shared" si="138"/>
        <v>50</v>
      </c>
      <c r="H887" s="2">
        <f t="shared" si="139"/>
        <v>49</v>
      </c>
      <c r="I887" s="2">
        <v>1</v>
      </c>
      <c r="J887" s="44" t="s">
        <v>48</v>
      </c>
      <c r="K887" s="2" t="s">
        <v>49</v>
      </c>
      <c r="L887" s="2">
        <v>1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/>
      <c r="AM887" s="2" t="s">
        <v>1568</v>
      </c>
      <c r="AN887" s="2">
        <f t="shared" si="131"/>
        <v>1</v>
      </c>
      <c r="AO887" s="2">
        <f t="shared" si="132"/>
        <v>0</v>
      </c>
      <c r="AP887" s="2">
        <f t="shared" si="133"/>
        <v>0</v>
      </c>
      <c r="AQ887" s="2">
        <f t="shared" si="134"/>
        <v>0</v>
      </c>
      <c r="AR887" s="2">
        <f t="shared" si="135"/>
        <v>0</v>
      </c>
      <c r="AS887" s="2">
        <f t="shared" si="136"/>
        <v>0</v>
      </c>
      <c r="AT887" s="25">
        <f t="shared" si="137"/>
        <v>0</v>
      </c>
    </row>
    <row r="888" spans="1:46">
      <c r="A888" s="24">
        <v>46137</v>
      </c>
      <c r="B888" s="23">
        <f t="shared" si="130"/>
        <v>46113</v>
      </c>
      <c r="C888" s="2" t="s">
        <v>62</v>
      </c>
      <c r="D888" s="2" t="s">
        <v>144</v>
      </c>
      <c r="E888" s="2">
        <v>3305</v>
      </c>
      <c r="F888" s="2">
        <v>416</v>
      </c>
      <c r="G888" s="2">
        <f t="shared" si="138"/>
        <v>50</v>
      </c>
      <c r="H888" s="2">
        <f t="shared" si="139"/>
        <v>49</v>
      </c>
      <c r="I888" s="2">
        <v>1</v>
      </c>
      <c r="J888" s="44" t="s">
        <v>48</v>
      </c>
      <c r="K888" s="2" t="s">
        <v>49</v>
      </c>
      <c r="L888" s="2">
        <v>1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/>
      <c r="AM888" s="2" t="s">
        <v>1568</v>
      </c>
      <c r="AN888" s="2">
        <f t="shared" si="131"/>
        <v>1</v>
      </c>
      <c r="AO888" s="2">
        <f t="shared" si="132"/>
        <v>0</v>
      </c>
      <c r="AP888" s="2">
        <f t="shared" si="133"/>
        <v>0</v>
      </c>
      <c r="AQ888" s="2">
        <f t="shared" si="134"/>
        <v>0</v>
      </c>
      <c r="AR888" s="2">
        <f t="shared" si="135"/>
        <v>0</v>
      </c>
      <c r="AS888" s="2">
        <f t="shared" si="136"/>
        <v>0</v>
      </c>
      <c r="AT888" s="25">
        <f t="shared" si="137"/>
        <v>0</v>
      </c>
    </row>
    <row r="889" spans="1:46">
      <c r="A889" s="24">
        <v>46137</v>
      </c>
      <c r="B889" s="23">
        <f t="shared" si="130"/>
        <v>46113</v>
      </c>
      <c r="C889" s="2" t="s">
        <v>82</v>
      </c>
      <c r="D889" s="2" t="s">
        <v>1409</v>
      </c>
      <c r="E889" s="2">
        <v>6248</v>
      </c>
      <c r="F889" s="2">
        <v>104</v>
      </c>
      <c r="G889" s="2">
        <f t="shared" si="138"/>
        <v>20</v>
      </c>
      <c r="H889" s="2">
        <f t="shared" si="139"/>
        <v>20</v>
      </c>
      <c r="I889" s="2">
        <v>0</v>
      </c>
      <c r="J889" s="44" t="s">
        <v>48</v>
      </c>
      <c r="K889" s="2" t="s">
        <v>49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/>
      <c r="AM889" s="2" t="s">
        <v>93</v>
      </c>
      <c r="AN889" s="2">
        <f t="shared" si="131"/>
        <v>0</v>
      </c>
      <c r="AO889" s="2">
        <f t="shared" si="132"/>
        <v>0</v>
      </c>
      <c r="AP889" s="2">
        <f t="shared" si="133"/>
        <v>0</v>
      </c>
      <c r="AQ889" s="2">
        <f t="shared" si="134"/>
        <v>0</v>
      </c>
      <c r="AR889" s="2">
        <f t="shared" si="135"/>
        <v>0</v>
      </c>
      <c r="AS889" s="2">
        <f t="shared" si="136"/>
        <v>0</v>
      </c>
      <c r="AT889" s="25">
        <f t="shared" si="137"/>
        <v>0</v>
      </c>
    </row>
    <row r="890" spans="1:46">
      <c r="A890" s="24">
        <v>46137</v>
      </c>
      <c r="B890" s="23">
        <f t="shared" si="130"/>
        <v>46113</v>
      </c>
      <c r="C890" s="2" t="s">
        <v>82</v>
      </c>
      <c r="D890" s="2" t="s">
        <v>90</v>
      </c>
      <c r="E890" s="2">
        <v>8141</v>
      </c>
      <c r="F890" s="2">
        <v>494</v>
      </c>
      <c r="G890" s="2">
        <f t="shared" si="138"/>
        <v>50</v>
      </c>
      <c r="H890" s="2">
        <f t="shared" si="139"/>
        <v>49</v>
      </c>
      <c r="I890" s="2">
        <v>1</v>
      </c>
      <c r="J890" s="44" t="s">
        <v>48</v>
      </c>
      <c r="K890" s="2" t="s">
        <v>49</v>
      </c>
      <c r="L890" s="2">
        <v>1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/>
      <c r="AM890" s="2" t="s">
        <v>93</v>
      </c>
      <c r="AN890" s="2">
        <f t="shared" si="131"/>
        <v>1</v>
      </c>
      <c r="AO890" s="2">
        <f t="shared" si="132"/>
        <v>0</v>
      </c>
      <c r="AP890" s="2">
        <f t="shared" si="133"/>
        <v>0</v>
      </c>
      <c r="AQ890" s="2">
        <f t="shared" si="134"/>
        <v>0</v>
      </c>
      <c r="AR890" s="2">
        <f t="shared" si="135"/>
        <v>0</v>
      </c>
      <c r="AS890" s="2">
        <f t="shared" si="136"/>
        <v>0</v>
      </c>
      <c r="AT890" s="25">
        <f t="shared" si="137"/>
        <v>0</v>
      </c>
    </row>
    <row r="891" spans="1:46">
      <c r="A891" s="24">
        <v>46137</v>
      </c>
      <c r="B891" s="23">
        <f t="shared" si="130"/>
        <v>46113</v>
      </c>
      <c r="C891" s="2" t="s">
        <v>82</v>
      </c>
      <c r="D891" s="3" t="s">
        <v>1544</v>
      </c>
      <c r="E891" s="2">
        <v>6327</v>
      </c>
      <c r="F891" s="2">
        <v>300</v>
      </c>
      <c r="G891" s="2">
        <f t="shared" si="138"/>
        <v>50</v>
      </c>
      <c r="H891" s="2">
        <f t="shared" si="139"/>
        <v>50</v>
      </c>
      <c r="I891" s="2">
        <v>0</v>
      </c>
      <c r="J891" s="44" t="s">
        <v>48</v>
      </c>
      <c r="K891" s="2" t="s">
        <v>49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/>
      <c r="AM891" s="2" t="s">
        <v>93</v>
      </c>
      <c r="AN891" s="2">
        <f t="shared" si="131"/>
        <v>0</v>
      </c>
      <c r="AO891" s="2">
        <f t="shared" si="132"/>
        <v>0</v>
      </c>
      <c r="AP891" s="2">
        <f t="shared" si="133"/>
        <v>0</v>
      </c>
      <c r="AQ891" s="2">
        <f t="shared" si="134"/>
        <v>0</v>
      </c>
      <c r="AR891" s="2">
        <f t="shared" si="135"/>
        <v>0</v>
      </c>
      <c r="AS891" s="2">
        <f t="shared" si="136"/>
        <v>0</v>
      </c>
      <c r="AT891" s="25">
        <f t="shared" si="137"/>
        <v>0</v>
      </c>
    </row>
    <row r="892" spans="1:46">
      <c r="A892" s="24">
        <v>46137</v>
      </c>
      <c r="B892" s="23">
        <f t="shared" si="130"/>
        <v>46113</v>
      </c>
      <c r="C892" s="2" t="s">
        <v>160</v>
      </c>
      <c r="D892" s="2" t="s">
        <v>161</v>
      </c>
      <c r="E892" s="2">
        <v>3272</v>
      </c>
      <c r="F892" s="2">
        <v>78</v>
      </c>
      <c r="G892" s="2">
        <f t="shared" si="138"/>
        <v>20</v>
      </c>
      <c r="H892" s="2">
        <f t="shared" si="139"/>
        <v>13</v>
      </c>
      <c r="I892" s="2">
        <v>7</v>
      </c>
      <c r="J892" s="44" t="s">
        <v>67</v>
      </c>
      <c r="K892" s="2" t="s">
        <v>49</v>
      </c>
      <c r="L892" s="2">
        <v>1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3</v>
      </c>
      <c r="X892" s="2">
        <v>0</v>
      </c>
      <c r="Y892" s="2">
        <v>1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2</v>
      </c>
      <c r="AL892" s="2"/>
      <c r="AM892" s="2" t="s">
        <v>93</v>
      </c>
      <c r="AN892" s="2">
        <f t="shared" si="131"/>
        <v>1</v>
      </c>
      <c r="AO892" s="2">
        <f t="shared" si="132"/>
        <v>0</v>
      </c>
      <c r="AP892" s="2">
        <f t="shared" si="133"/>
        <v>0</v>
      </c>
      <c r="AQ892" s="2">
        <f t="shared" si="134"/>
        <v>2</v>
      </c>
      <c r="AR892" s="2">
        <f t="shared" si="135"/>
        <v>4</v>
      </c>
      <c r="AS892" s="2">
        <f t="shared" si="136"/>
        <v>0</v>
      </c>
      <c r="AT892" s="25">
        <f t="shared" si="137"/>
        <v>0</v>
      </c>
    </row>
    <row r="893" spans="1:46">
      <c r="A893" s="24">
        <v>46137</v>
      </c>
      <c r="B893" s="23">
        <f t="shared" si="130"/>
        <v>46113</v>
      </c>
      <c r="C893" s="2" t="s">
        <v>82</v>
      </c>
      <c r="D893" s="2" t="s">
        <v>105</v>
      </c>
      <c r="E893" s="2">
        <v>3291</v>
      </c>
      <c r="F893" s="2">
        <v>212</v>
      </c>
      <c r="G893" s="2">
        <f t="shared" si="138"/>
        <v>32</v>
      </c>
      <c r="H893" s="2">
        <f t="shared" si="139"/>
        <v>32</v>
      </c>
      <c r="I893" s="2">
        <v>0</v>
      </c>
      <c r="J893" s="44" t="s">
        <v>48</v>
      </c>
      <c r="K893" s="2" t="s">
        <v>49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/>
      <c r="AM893" s="2" t="s">
        <v>93</v>
      </c>
      <c r="AN893" s="2">
        <f t="shared" si="131"/>
        <v>0</v>
      </c>
      <c r="AO893" s="2">
        <f t="shared" si="132"/>
        <v>0</v>
      </c>
      <c r="AP893" s="2">
        <f t="shared" si="133"/>
        <v>0</v>
      </c>
      <c r="AQ893" s="2">
        <f t="shared" si="134"/>
        <v>0</v>
      </c>
      <c r="AR893" s="2">
        <f t="shared" si="135"/>
        <v>0</v>
      </c>
      <c r="AS893" s="2">
        <f t="shared" si="136"/>
        <v>0</v>
      </c>
      <c r="AT893" s="25">
        <f t="shared" si="137"/>
        <v>0</v>
      </c>
    </row>
    <row r="894" spans="1:46">
      <c r="A894" s="24">
        <v>46137</v>
      </c>
      <c r="B894" s="23">
        <f t="shared" si="130"/>
        <v>46113</v>
      </c>
      <c r="C894" s="2" t="s">
        <v>55</v>
      </c>
      <c r="D894" s="2" t="s">
        <v>377</v>
      </c>
      <c r="E894" s="2">
        <v>1585</v>
      </c>
      <c r="F894" s="2">
        <v>131</v>
      </c>
      <c r="G894" s="2">
        <f t="shared" si="138"/>
        <v>20</v>
      </c>
      <c r="H894" s="2">
        <f t="shared" si="139"/>
        <v>20</v>
      </c>
      <c r="I894" s="2">
        <v>0</v>
      </c>
      <c r="J894" s="44" t="s">
        <v>48</v>
      </c>
      <c r="K894" s="2" t="s">
        <v>49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/>
      <c r="AM894" s="2" t="s">
        <v>1566</v>
      </c>
      <c r="AN894" s="2">
        <f t="shared" si="131"/>
        <v>0</v>
      </c>
      <c r="AO894" s="2">
        <f t="shared" si="132"/>
        <v>0</v>
      </c>
      <c r="AP894" s="2">
        <f t="shared" si="133"/>
        <v>0</v>
      </c>
      <c r="AQ894" s="2">
        <f t="shared" si="134"/>
        <v>0</v>
      </c>
      <c r="AR894" s="2">
        <f t="shared" si="135"/>
        <v>0</v>
      </c>
      <c r="AS894" s="2">
        <f t="shared" si="136"/>
        <v>0</v>
      </c>
      <c r="AT894" s="25">
        <f t="shared" si="137"/>
        <v>0</v>
      </c>
    </row>
    <row r="895" spans="1:46">
      <c r="A895" s="24">
        <v>46137</v>
      </c>
      <c r="B895" s="23">
        <f t="shared" si="130"/>
        <v>46113</v>
      </c>
      <c r="C895" s="2" t="s">
        <v>55</v>
      </c>
      <c r="D895" s="2" t="s">
        <v>105</v>
      </c>
      <c r="E895" s="2">
        <v>3291</v>
      </c>
      <c r="F895" s="2">
        <v>701</v>
      </c>
      <c r="G895" s="2">
        <f t="shared" si="138"/>
        <v>80</v>
      </c>
      <c r="H895" s="2">
        <f t="shared" si="139"/>
        <v>77</v>
      </c>
      <c r="I895" s="2">
        <v>3</v>
      </c>
      <c r="J895" s="44" t="s">
        <v>48</v>
      </c>
      <c r="K895" s="2" t="s">
        <v>49</v>
      </c>
      <c r="L895" s="2">
        <v>3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/>
      <c r="AM895" s="2" t="s">
        <v>1566</v>
      </c>
      <c r="AN895" s="2">
        <f t="shared" si="131"/>
        <v>3</v>
      </c>
      <c r="AO895" s="2">
        <f t="shared" si="132"/>
        <v>0</v>
      </c>
      <c r="AP895" s="2">
        <f t="shared" si="133"/>
        <v>0</v>
      </c>
      <c r="AQ895" s="2">
        <f t="shared" si="134"/>
        <v>0</v>
      </c>
      <c r="AR895" s="2">
        <f t="shared" si="135"/>
        <v>0</v>
      </c>
      <c r="AS895" s="2">
        <f t="shared" si="136"/>
        <v>0</v>
      </c>
      <c r="AT895" s="25">
        <f t="shared" si="137"/>
        <v>0</v>
      </c>
    </row>
    <row r="896" spans="1:46">
      <c r="A896" s="24">
        <v>46137</v>
      </c>
      <c r="B896" s="23">
        <f t="shared" si="130"/>
        <v>46113</v>
      </c>
      <c r="C896" s="2" t="s">
        <v>55</v>
      </c>
      <c r="D896" s="2" t="s">
        <v>159</v>
      </c>
      <c r="E896" s="2">
        <v>6296</v>
      </c>
      <c r="F896" s="2">
        <v>1000</v>
      </c>
      <c r="G896" s="2">
        <f t="shared" si="138"/>
        <v>80</v>
      </c>
      <c r="H896" s="2">
        <f t="shared" si="139"/>
        <v>78</v>
      </c>
      <c r="I896" s="2">
        <v>2</v>
      </c>
      <c r="J896" s="44" t="s">
        <v>48</v>
      </c>
      <c r="K896" s="2" t="s">
        <v>49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2</v>
      </c>
      <c r="AL896" s="2"/>
      <c r="AM896" s="2" t="s">
        <v>1566</v>
      </c>
      <c r="AN896" s="2">
        <f t="shared" si="131"/>
        <v>0</v>
      </c>
      <c r="AO896" s="2">
        <f t="shared" si="132"/>
        <v>0</v>
      </c>
      <c r="AP896" s="2">
        <f t="shared" si="133"/>
        <v>0</v>
      </c>
      <c r="AQ896" s="2">
        <f t="shared" si="134"/>
        <v>2</v>
      </c>
      <c r="AR896" s="2">
        <f t="shared" si="135"/>
        <v>0</v>
      </c>
      <c r="AS896" s="2">
        <f t="shared" si="136"/>
        <v>0</v>
      </c>
      <c r="AT896" s="25">
        <f t="shared" si="137"/>
        <v>0</v>
      </c>
    </row>
    <row r="897" spans="1:46">
      <c r="A897" s="24">
        <v>46137</v>
      </c>
      <c r="B897" s="23">
        <f t="shared" si="130"/>
        <v>46113</v>
      </c>
      <c r="C897" s="2" t="s">
        <v>66</v>
      </c>
      <c r="D897" s="2" t="s">
        <v>191</v>
      </c>
      <c r="E897" s="2">
        <v>1899</v>
      </c>
      <c r="F897" s="2">
        <v>236</v>
      </c>
      <c r="G897" s="2">
        <f t="shared" si="138"/>
        <v>32</v>
      </c>
      <c r="H897" s="2">
        <f t="shared" si="139"/>
        <v>32</v>
      </c>
      <c r="I897" s="2">
        <v>0</v>
      </c>
      <c r="J897" s="44" t="s">
        <v>48</v>
      </c>
      <c r="K897" s="2" t="s">
        <v>49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/>
      <c r="AM897" s="2" t="s">
        <v>110</v>
      </c>
      <c r="AN897" s="2">
        <f t="shared" si="131"/>
        <v>0</v>
      </c>
      <c r="AO897" s="2">
        <f t="shared" si="132"/>
        <v>0</v>
      </c>
      <c r="AP897" s="2">
        <f t="shared" si="133"/>
        <v>0</v>
      </c>
      <c r="AQ897" s="2">
        <f t="shared" si="134"/>
        <v>0</v>
      </c>
      <c r="AR897" s="2">
        <f t="shared" si="135"/>
        <v>0</v>
      </c>
      <c r="AS897" s="2">
        <f t="shared" si="136"/>
        <v>0</v>
      </c>
      <c r="AT897" s="25">
        <f t="shared" si="137"/>
        <v>0</v>
      </c>
    </row>
    <row r="898" spans="1:46">
      <c r="A898" s="24">
        <v>46137</v>
      </c>
      <c r="B898" s="23">
        <f t="shared" ref="B898:B961" si="140">EOMONTH(A898,-1)+1</f>
        <v>46113</v>
      </c>
      <c r="C898" s="2" t="s">
        <v>66</v>
      </c>
      <c r="D898" s="2" t="s">
        <v>1401</v>
      </c>
      <c r="E898" s="2">
        <v>6319</v>
      </c>
      <c r="F898" s="2">
        <v>340</v>
      </c>
      <c r="G898" s="2">
        <f t="shared" si="138"/>
        <v>50</v>
      </c>
      <c r="H898" s="2">
        <f t="shared" si="139"/>
        <v>47</v>
      </c>
      <c r="I898" s="2">
        <v>3</v>
      </c>
      <c r="J898" s="44" t="s">
        <v>48</v>
      </c>
      <c r="K898" s="2" t="s">
        <v>49</v>
      </c>
      <c r="L898" s="2">
        <v>0</v>
      </c>
      <c r="M898" s="2">
        <v>0</v>
      </c>
      <c r="N898" s="2">
        <v>3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/>
      <c r="AM898" s="2" t="s">
        <v>110</v>
      </c>
      <c r="AN898" s="2">
        <f t="shared" ref="AN898:AN961" si="141">+L898+AI898</f>
        <v>0</v>
      </c>
      <c r="AO898" s="2">
        <f t="shared" ref="AO898:AO961" si="142">+M898+N898+O898+P898+Q898+R898+S898+T898+U898+V898</f>
        <v>3</v>
      </c>
      <c r="AP898" s="2">
        <f t="shared" ref="AP898:AP961" si="143">+AE898+AF898</f>
        <v>0</v>
      </c>
      <c r="AQ898" s="2">
        <f t="shared" ref="AQ898:AQ961" si="144">+AK898+AD898+AC898+AJ898</f>
        <v>0</v>
      </c>
      <c r="AR898" s="2">
        <f t="shared" ref="AR898:AR961" si="145">+W898+X898+Y898+Z898+AA898+AB898</f>
        <v>0</v>
      </c>
      <c r="AS898" s="2">
        <f t="shared" ref="AS898:AS961" si="146">+AG898</f>
        <v>0</v>
      </c>
      <c r="AT898" s="25">
        <f t="shared" ref="AT898:AT961" si="147">+AH898</f>
        <v>0</v>
      </c>
    </row>
    <row r="899" spans="1:46">
      <c r="A899" s="24">
        <v>46137</v>
      </c>
      <c r="B899" s="23">
        <f t="shared" si="140"/>
        <v>46113</v>
      </c>
      <c r="C899" s="2" t="s">
        <v>97</v>
      </c>
      <c r="D899" s="2" t="s">
        <v>384</v>
      </c>
      <c r="E899" s="2">
        <v>7147</v>
      </c>
      <c r="F899" s="2">
        <v>130</v>
      </c>
      <c r="G899" s="2">
        <f t="shared" ref="G899:G962" si="148">IF(F899&lt;1001,IF(F899&gt;500,80,IF(F899&gt;280,50,IF(F899&gt;150,32,IF(F899&lt;51,F899,20)))),125)</f>
        <v>20</v>
      </c>
      <c r="H899" s="2">
        <f t="shared" ref="H899:H962" si="149">G899-I899</f>
        <v>20</v>
      </c>
      <c r="I899" s="2">
        <v>0</v>
      </c>
      <c r="J899" s="44" t="s">
        <v>48</v>
      </c>
      <c r="K899" s="2" t="s">
        <v>49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/>
      <c r="AM899" s="2" t="s">
        <v>110</v>
      </c>
      <c r="AN899" s="2">
        <f t="shared" si="141"/>
        <v>0</v>
      </c>
      <c r="AO899" s="2">
        <f t="shared" si="142"/>
        <v>0</v>
      </c>
      <c r="AP899" s="2">
        <f t="shared" si="143"/>
        <v>0</v>
      </c>
      <c r="AQ899" s="2">
        <f t="shared" si="144"/>
        <v>0</v>
      </c>
      <c r="AR899" s="2">
        <f t="shared" si="145"/>
        <v>0</v>
      </c>
      <c r="AS899" s="2">
        <f t="shared" si="146"/>
        <v>0</v>
      </c>
      <c r="AT899" s="25">
        <f t="shared" si="147"/>
        <v>0</v>
      </c>
    </row>
    <row r="900" spans="1:46">
      <c r="A900" s="24">
        <v>46137</v>
      </c>
      <c r="B900" s="23">
        <f t="shared" si="140"/>
        <v>46113</v>
      </c>
      <c r="C900" s="2" t="s">
        <v>66</v>
      </c>
      <c r="D900" s="2" t="s">
        <v>1300</v>
      </c>
      <c r="E900" s="2">
        <v>1899</v>
      </c>
      <c r="F900" s="2">
        <v>611</v>
      </c>
      <c r="G900" s="2">
        <f t="shared" si="148"/>
        <v>80</v>
      </c>
      <c r="H900" s="2">
        <f t="shared" si="149"/>
        <v>79</v>
      </c>
      <c r="I900" s="2">
        <v>1</v>
      </c>
      <c r="J900" s="44" t="s">
        <v>48</v>
      </c>
      <c r="K900" s="2" t="s">
        <v>49</v>
      </c>
      <c r="L900" s="2">
        <v>1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/>
      <c r="AM900" s="2" t="s">
        <v>110</v>
      </c>
      <c r="AN900" s="2">
        <f t="shared" si="141"/>
        <v>1</v>
      </c>
      <c r="AO900" s="2">
        <f t="shared" si="142"/>
        <v>0</v>
      </c>
      <c r="AP900" s="2">
        <f t="shared" si="143"/>
        <v>0</v>
      </c>
      <c r="AQ900" s="2">
        <f t="shared" si="144"/>
        <v>0</v>
      </c>
      <c r="AR900" s="2">
        <f t="shared" si="145"/>
        <v>0</v>
      </c>
      <c r="AS900" s="2">
        <f t="shared" si="146"/>
        <v>0</v>
      </c>
      <c r="AT900" s="25">
        <f t="shared" si="147"/>
        <v>0</v>
      </c>
    </row>
    <row r="901" spans="1:46">
      <c r="A901" s="24">
        <v>46137</v>
      </c>
      <c r="B901" s="23">
        <f t="shared" si="140"/>
        <v>46113</v>
      </c>
      <c r="C901" s="2" t="s">
        <v>66</v>
      </c>
      <c r="D901" s="2" t="s">
        <v>1571</v>
      </c>
      <c r="E901" s="2">
        <v>6328</v>
      </c>
      <c r="F901" s="2">
        <v>405</v>
      </c>
      <c r="G901" s="2">
        <f t="shared" si="148"/>
        <v>50</v>
      </c>
      <c r="H901" s="2">
        <f t="shared" si="149"/>
        <v>50</v>
      </c>
      <c r="I901" s="2">
        <v>0</v>
      </c>
      <c r="J901" s="44" t="s">
        <v>48</v>
      </c>
      <c r="K901" s="2" t="s">
        <v>49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/>
      <c r="AM901" s="2" t="s">
        <v>110</v>
      </c>
      <c r="AN901" s="2">
        <f t="shared" si="141"/>
        <v>0</v>
      </c>
      <c r="AO901" s="2">
        <f t="shared" si="142"/>
        <v>0</v>
      </c>
      <c r="AP901" s="2">
        <f t="shared" si="143"/>
        <v>0</v>
      </c>
      <c r="AQ901" s="2">
        <f t="shared" si="144"/>
        <v>0</v>
      </c>
      <c r="AR901" s="2">
        <f t="shared" si="145"/>
        <v>0</v>
      </c>
      <c r="AS901" s="2">
        <f t="shared" si="146"/>
        <v>0</v>
      </c>
      <c r="AT901" s="25">
        <f t="shared" si="147"/>
        <v>0</v>
      </c>
    </row>
    <row r="902" spans="1:46">
      <c r="A902" s="24">
        <v>46137</v>
      </c>
      <c r="B902" s="23">
        <f t="shared" si="140"/>
        <v>46113</v>
      </c>
      <c r="C902" s="2" t="s">
        <v>66</v>
      </c>
      <c r="D902" s="2" t="s">
        <v>1571</v>
      </c>
      <c r="E902" s="2">
        <v>6328</v>
      </c>
      <c r="F902" s="2">
        <v>315</v>
      </c>
      <c r="G902" s="2">
        <f t="shared" si="148"/>
        <v>50</v>
      </c>
      <c r="H902" s="2">
        <f t="shared" si="149"/>
        <v>50</v>
      </c>
      <c r="I902" s="2">
        <v>0</v>
      </c>
      <c r="J902" s="44" t="s">
        <v>48</v>
      </c>
      <c r="K902" s="2" t="s">
        <v>49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/>
      <c r="AM902" s="2" t="s">
        <v>110</v>
      </c>
      <c r="AN902" s="2">
        <f t="shared" si="141"/>
        <v>0</v>
      </c>
      <c r="AO902" s="2">
        <f t="shared" si="142"/>
        <v>0</v>
      </c>
      <c r="AP902" s="2">
        <f t="shared" si="143"/>
        <v>0</v>
      </c>
      <c r="AQ902" s="2">
        <f t="shared" si="144"/>
        <v>0</v>
      </c>
      <c r="AR902" s="2">
        <f t="shared" si="145"/>
        <v>0</v>
      </c>
      <c r="AS902" s="2">
        <f t="shared" si="146"/>
        <v>0</v>
      </c>
      <c r="AT902" s="25">
        <f t="shared" si="147"/>
        <v>0</v>
      </c>
    </row>
    <row r="903" spans="1:46">
      <c r="A903" s="24">
        <v>46137</v>
      </c>
      <c r="B903" s="23">
        <f t="shared" si="140"/>
        <v>46113</v>
      </c>
      <c r="C903" s="2" t="s">
        <v>97</v>
      </c>
      <c r="D903" s="2" t="s">
        <v>1318</v>
      </c>
      <c r="E903" s="2">
        <v>3327</v>
      </c>
      <c r="F903" s="2">
        <v>150</v>
      </c>
      <c r="G903" s="2">
        <f t="shared" si="148"/>
        <v>20</v>
      </c>
      <c r="H903" s="2">
        <f t="shared" si="149"/>
        <v>20</v>
      </c>
      <c r="I903" s="2">
        <v>0</v>
      </c>
      <c r="J903" s="44" t="s">
        <v>48</v>
      </c>
      <c r="K903" s="2" t="s">
        <v>49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/>
      <c r="AM903" s="2" t="s">
        <v>110</v>
      </c>
      <c r="AN903" s="2">
        <f t="shared" si="141"/>
        <v>0</v>
      </c>
      <c r="AO903" s="2">
        <f t="shared" si="142"/>
        <v>0</v>
      </c>
      <c r="AP903" s="2">
        <f t="shared" si="143"/>
        <v>0</v>
      </c>
      <c r="AQ903" s="2">
        <f t="shared" si="144"/>
        <v>0</v>
      </c>
      <c r="AR903" s="2">
        <f t="shared" si="145"/>
        <v>0</v>
      </c>
      <c r="AS903" s="2">
        <f t="shared" si="146"/>
        <v>0</v>
      </c>
      <c r="AT903" s="25">
        <f t="shared" si="147"/>
        <v>0</v>
      </c>
    </row>
    <row r="904" spans="1:46">
      <c r="A904" s="24">
        <v>46137</v>
      </c>
      <c r="B904" s="23">
        <f t="shared" si="140"/>
        <v>46113</v>
      </c>
      <c r="C904" s="2" t="s">
        <v>97</v>
      </c>
      <c r="D904" s="2" t="s">
        <v>284</v>
      </c>
      <c r="E904" s="2">
        <v>3304</v>
      </c>
      <c r="F904" s="2">
        <v>51</v>
      </c>
      <c r="G904" s="2">
        <f t="shared" si="148"/>
        <v>20</v>
      </c>
      <c r="H904" s="2">
        <f t="shared" si="149"/>
        <v>20</v>
      </c>
      <c r="I904" s="2">
        <v>0</v>
      </c>
      <c r="J904" s="44" t="s">
        <v>48</v>
      </c>
      <c r="K904" s="2" t="s">
        <v>49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/>
      <c r="AM904" s="2" t="s">
        <v>110</v>
      </c>
      <c r="AN904" s="2">
        <f t="shared" si="141"/>
        <v>0</v>
      </c>
      <c r="AO904" s="2">
        <f t="shared" si="142"/>
        <v>0</v>
      </c>
      <c r="AP904" s="2">
        <f t="shared" si="143"/>
        <v>0</v>
      </c>
      <c r="AQ904" s="2">
        <f t="shared" si="144"/>
        <v>0</v>
      </c>
      <c r="AR904" s="2">
        <f t="shared" si="145"/>
        <v>0</v>
      </c>
      <c r="AS904" s="2">
        <f t="shared" si="146"/>
        <v>0</v>
      </c>
      <c r="AT904" s="25">
        <f t="shared" si="147"/>
        <v>0</v>
      </c>
    </row>
    <row r="905" spans="1:46">
      <c r="A905" s="24">
        <v>46137</v>
      </c>
      <c r="B905" s="23">
        <f t="shared" si="140"/>
        <v>46113</v>
      </c>
      <c r="C905" s="2" t="s">
        <v>97</v>
      </c>
      <c r="D905" s="2" t="s">
        <v>384</v>
      </c>
      <c r="E905" s="2">
        <v>7147</v>
      </c>
      <c r="F905" s="2">
        <v>150</v>
      </c>
      <c r="G905" s="2">
        <f t="shared" si="148"/>
        <v>20</v>
      </c>
      <c r="H905" s="2">
        <f t="shared" si="149"/>
        <v>20</v>
      </c>
      <c r="I905" s="2">
        <v>0</v>
      </c>
      <c r="J905" s="44" t="s">
        <v>48</v>
      </c>
      <c r="K905" s="2" t="s">
        <v>49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/>
      <c r="AM905" s="2" t="s">
        <v>110</v>
      </c>
      <c r="AN905" s="2">
        <f t="shared" si="141"/>
        <v>0</v>
      </c>
      <c r="AO905" s="2">
        <f t="shared" si="142"/>
        <v>0</v>
      </c>
      <c r="AP905" s="2">
        <f t="shared" si="143"/>
        <v>0</v>
      </c>
      <c r="AQ905" s="2">
        <f t="shared" si="144"/>
        <v>0</v>
      </c>
      <c r="AR905" s="2">
        <f t="shared" si="145"/>
        <v>0</v>
      </c>
      <c r="AS905" s="2">
        <f t="shared" si="146"/>
        <v>0</v>
      </c>
      <c r="AT905" s="25">
        <f t="shared" si="147"/>
        <v>0</v>
      </c>
    </row>
    <row r="906" spans="1:46">
      <c r="A906" s="24">
        <v>46139</v>
      </c>
      <c r="B906" s="23">
        <f t="shared" si="140"/>
        <v>46113</v>
      </c>
      <c r="C906" s="2" t="s">
        <v>160</v>
      </c>
      <c r="D906" s="2" t="s">
        <v>239</v>
      </c>
      <c r="E906" s="2">
        <v>3089</v>
      </c>
      <c r="F906" s="2">
        <v>200</v>
      </c>
      <c r="G906" s="2">
        <f t="shared" si="148"/>
        <v>32</v>
      </c>
      <c r="H906" s="2">
        <f t="shared" si="149"/>
        <v>29</v>
      </c>
      <c r="I906" s="2">
        <v>3</v>
      </c>
      <c r="J906" s="44" t="s">
        <v>67</v>
      </c>
      <c r="K906" s="2" t="s">
        <v>49</v>
      </c>
      <c r="L906" s="2">
        <v>2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1</v>
      </c>
      <c r="AL906" s="2"/>
      <c r="AM906" s="2" t="s">
        <v>77</v>
      </c>
      <c r="AN906" s="2">
        <f t="shared" si="141"/>
        <v>2</v>
      </c>
      <c r="AO906" s="2">
        <f t="shared" si="142"/>
        <v>0</v>
      </c>
      <c r="AP906" s="2">
        <f t="shared" si="143"/>
        <v>0</v>
      </c>
      <c r="AQ906" s="2">
        <f t="shared" si="144"/>
        <v>1</v>
      </c>
      <c r="AR906" s="2">
        <f t="shared" si="145"/>
        <v>0</v>
      </c>
      <c r="AS906" s="2">
        <f t="shared" si="146"/>
        <v>0</v>
      </c>
      <c r="AT906" s="25">
        <f t="shared" si="147"/>
        <v>0</v>
      </c>
    </row>
    <row r="907" spans="1:46">
      <c r="A907" s="24">
        <v>46139</v>
      </c>
      <c r="B907" s="23">
        <f t="shared" si="140"/>
        <v>46113</v>
      </c>
      <c r="C907" s="2" t="s">
        <v>160</v>
      </c>
      <c r="D907" s="2" t="s">
        <v>239</v>
      </c>
      <c r="E907" s="2">
        <v>3089</v>
      </c>
      <c r="F907" s="2">
        <v>150</v>
      </c>
      <c r="G907" s="2">
        <f t="shared" si="148"/>
        <v>20</v>
      </c>
      <c r="H907" s="2">
        <f t="shared" si="149"/>
        <v>19</v>
      </c>
      <c r="I907" s="2">
        <v>1</v>
      </c>
      <c r="J907" s="44" t="s">
        <v>48</v>
      </c>
      <c r="K907" s="2" t="s">
        <v>49</v>
      </c>
      <c r="L907" s="2">
        <v>1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/>
      <c r="AM907" s="2" t="s">
        <v>77</v>
      </c>
      <c r="AN907" s="2">
        <f t="shared" si="141"/>
        <v>1</v>
      </c>
      <c r="AO907" s="2">
        <f t="shared" si="142"/>
        <v>0</v>
      </c>
      <c r="AP907" s="2">
        <f t="shared" si="143"/>
        <v>0</v>
      </c>
      <c r="AQ907" s="2">
        <f t="shared" si="144"/>
        <v>0</v>
      </c>
      <c r="AR907" s="2">
        <f t="shared" si="145"/>
        <v>0</v>
      </c>
      <c r="AS907" s="2">
        <f t="shared" si="146"/>
        <v>0</v>
      </c>
      <c r="AT907" s="25">
        <f t="shared" si="147"/>
        <v>0</v>
      </c>
    </row>
    <row r="908" spans="1:46">
      <c r="A908" s="24">
        <v>46139</v>
      </c>
      <c r="B908" s="23">
        <f t="shared" si="140"/>
        <v>46113</v>
      </c>
      <c r="C908" s="2" t="s">
        <v>72</v>
      </c>
      <c r="D908" s="3" t="s">
        <v>105</v>
      </c>
      <c r="E908" s="2">
        <v>3291</v>
      </c>
      <c r="F908" s="2">
        <v>609</v>
      </c>
      <c r="G908" s="2">
        <f t="shared" si="148"/>
        <v>80</v>
      </c>
      <c r="H908" s="2">
        <f t="shared" si="149"/>
        <v>79</v>
      </c>
      <c r="I908" s="2">
        <v>1</v>
      </c>
      <c r="J908" s="44" t="s">
        <v>48</v>
      </c>
      <c r="K908" s="2" t="s">
        <v>49</v>
      </c>
      <c r="L908" s="2">
        <v>1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/>
      <c r="AM908" s="2" t="s">
        <v>103</v>
      </c>
      <c r="AN908" s="2">
        <f t="shared" si="141"/>
        <v>1</v>
      </c>
      <c r="AO908" s="2">
        <f t="shared" si="142"/>
        <v>0</v>
      </c>
      <c r="AP908" s="2">
        <f t="shared" si="143"/>
        <v>0</v>
      </c>
      <c r="AQ908" s="2">
        <f t="shared" si="144"/>
        <v>0</v>
      </c>
      <c r="AR908" s="2">
        <f t="shared" si="145"/>
        <v>0</v>
      </c>
      <c r="AS908" s="2">
        <f t="shared" si="146"/>
        <v>0</v>
      </c>
      <c r="AT908" s="25">
        <f t="shared" si="147"/>
        <v>0</v>
      </c>
    </row>
    <row r="909" spans="1:46">
      <c r="A909" s="24">
        <v>46139</v>
      </c>
      <c r="B909" s="23">
        <f t="shared" si="140"/>
        <v>46113</v>
      </c>
      <c r="C909" s="2" t="s">
        <v>72</v>
      </c>
      <c r="D909" s="2" t="s">
        <v>86</v>
      </c>
      <c r="E909" s="2">
        <v>6303</v>
      </c>
      <c r="F909" s="2">
        <v>139</v>
      </c>
      <c r="G909" s="2">
        <f t="shared" si="148"/>
        <v>20</v>
      </c>
      <c r="H909" s="2">
        <f t="shared" si="149"/>
        <v>20</v>
      </c>
      <c r="I909" s="2">
        <v>0</v>
      </c>
      <c r="J909" s="44" t="s">
        <v>48</v>
      </c>
      <c r="K909" s="2" t="s">
        <v>49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/>
      <c r="AM909" s="2" t="s">
        <v>103</v>
      </c>
      <c r="AN909" s="2">
        <f t="shared" si="141"/>
        <v>0</v>
      </c>
      <c r="AO909" s="2">
        <f t="shared" si="142"/>
        <v>0</v>
      </c>
      <c r="AP909" s="2">
        <f t="shared" si="143"/>
        <v>0</v>
      </c>
      <c r="AQ909" s="2">
        <f t="shared" si="144"/>
        <v>0</v>
      </c>
      <c r="AR909" s="2">
        <f t="shared" si="145"/>
        <v>0</v>
      </c>
      <c r="AS909" s="2">
        <f t="shared" si="146"/>
        <v>0</v>
      </c>
      <c r="AT909" s="25">
        <f t="shared" si="147"/>
        <v>0</v>
      </c>
    </row>
    <row r="910" spans="1:46">
      <c r="A910" s="24">
        <v>46139</v>
      </c>
      <c r="B910" s="23">
        <f t="shared" si="140"/>
        <v>46113</v>
      </c>
      <c r="C910" s="2" t="s">
        <v>114</v>
      </c>
      <c r="D910" s="3" t="s">
        <v>179</v>
      </c>
      <c r="E910" s="2">
        <v>3165</v>
      </c>
      <c r="F910" s="2">
        <v>292</v>
      </c>
      <c r="G910" s="2">
        <f t="shared" si="148"/>
        <v>50</v>
      </c>
      <c r="H910" s="2">
        <f t="shared" si="149"/>
        <v>50</v>
      </c>
      <c r="I910" s="2">
        <v>0</v>
      </c>
      <c r="J910" s="44" t="s">
        <v>48</v>
      </c>
      <c r="K910" s="2" t="s">
        <v>49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/>
      <c r="AM910" s="2" t="s">
        <v>103</v>
      </c>
      <c r="AN910" s="2">
        <f t="shared" si="141"/>
        <v>0</v>
      </c>
      <c r="AO910" s="2">
        <f t="shared" si="142"/>
        <v>0</v>
      </c>
      <c r="AP910" s="2">
        <f t="shared" si="143"/>
        <v>0</v>
      </c>
      <c r="AQ910" s="2">
        <f t="shared" si="144"/>
        <v>0</v>
      </c>
      <c r="AR910" s="2">
        <f t="shared" si="145"/>
        <v>0</v>
      </c>
      <c r="AS910" s="2">
        <f t="shared" si="146"/>
        <v>0</v>
      </c>
      <c r="AT910" s="25">
        <f t="shared" si="147"/>
        <v>0</v>
      </c>
    </row>
    <row r="911" spans="1:46">
      <c r="A911" s="24">
        <v>46139</v>
      </c>
      <c r="B911" s="23">
        <f t="shared" si="140"/>
        <v>46113</v>
      </c>
      <c r="C911" s="2" t="s">
        <v>114</v>
      </c>
      <c r="D911" s="2" t="s">
        <v>1220</v>
      </c>
      <c r="E911" s="2">
        <v>7155</v>
      </c>
      <c r="F911" s="2">
        <v>87</v>
      </c>
      <c r="G911" s="2">
        <f t="shared" si="148"/>
        <v>20</v>
      </c>
      <c r="H911" s="2">
        <f t="shared" si="149"/>
        <v>20</v>
      </c>
      <c r="I911" s="2">
        <v>0</v>
      </c>
      <c r="J911" s="44" t="s">
        <v>48</v>
      </c>
      <c r="K911" s="2" t="s">
        <v>49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/>
      <c r="AM911" s="2" t="s">
        <v>103</v>
      </c>
      <c r="AN911" s="2">
        <f t="shared" si="141"/>
        <v>0</v>
      </c>
      <c r="AO911" s="2">
        <f t="shared" si="142"/>
        <v>0</v>
      </c>
      <c r="AP911" s="2">
        <f t="shared" si="143"/>
        <v>0</v>
      </c>
      <c r="AQ911" s="2">
        <f t="shared" si="144"/>
        <v>0</v>
      </c>
      <c r="AR911" s="2">
        <f t="shared" si="145"/>
        <v>0</v>
      </c>
      <c r="AS911" s="2">
        <f t="shared" si="146"/>
        <v>0</v>
      </c>
      <c r="AT911" s="25">
        <f t="shared" si="147"/>
        <v>0</v>
      </c>
    </row>
    <row r="912" spans="1:46">
      <c r="A912" s="24">
        <v>46139</v>
      </c>
      <c r="B912" s="23">
        <f t="shared" si="140"/>
        <v>46113</v>
      </c>
      <c r="C912" s="2" t="s">
        <v>114</v>
      </c>
      <c r="D912" s="2" t="s">
        <v>180</v>
      </c>
      <c r="E912" s="2">
        <v>3165</v>
      </c>
      <c r="F912" s="2">
        <v>74</v>
      </c>
      <c r="G912" s="2">
        <f t="shared" si="148"/>
        <v>20</v>
      </c>
      <c r="H912" s="2">
        <f t="shared" si="149"/>
        <v>20</v>
      </c>
      <c r="I912" s="2">
        <v>0</v>
      </c>
      <c r="J912" s="44" t="s">
        <v>48</v>
      </c>
      <c r="K912" s="2" t="s">
        <v>49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/>
      <c r="AM912" s="2" t="s">
        <v>103</v>
      </c>
      <c r="AN912" s="2">
        <f t="shared" si="141"/>
        <v>0</v>
      </c>
      <c r="AO912" s="2">
        <f t="shared" si="142"/>
        <v>0</v>
      </c>
      <c r="AP912" s="2">
        <f t="shared" si="143"/>
        <v>0</v>
      </c>
      <c r="AQ912" s="2">
        <f t="shared" si="144"/>
        <v>0</v>
      </c>
      <c r="AR912" s="2">
        <f t="shared" si="145"/>
        <v>0</v>
      </c>
      <c r="AS912" s="2">
        <f t="shared" si="146"/>
        <v>0</v>
      </c>
      <c r="AT912" s="25">
        <f t="shared" si="147"/>
        <v>0</v>
      </c>
    </row>
    <row r="913" spans="1:46">
      <c r="A913" s="24">
        <v>46139</v>
      </c>
      <c r="B913" s="23">
        <f t="shared" si="140"/>
        <v>46113</v>
      </c>
      <c r="C913" s="2" t="s">
        <v>114</v>
      </c>
      <c r="D913" s="2" t="s">
        <v>322</v>
      </c>
      <c r="E913" s="2">
        <v>3089</v>
      </c>
      <c r="F913" s="2">
        <v>233</v>
      </c>
      <c r="G913" s="2">
        <f t="shared" si="148"/>
        <v>32</v>
      </c>
      <c r="H913" s="2">
        <f t="shared" si="149"/>
        <v>32</v>
      </c>
      <c r="I913" s="2">
        <v>0</v>
      </c>
      <c r="J913" s="44" t="s">
        <v>48</v>
      </c>
      <c r="K913" s="2" t="s">
        <v>49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/>
      <c r="AM913" s="2" t="s">
        <v>103</v>
      </c>
      <c r="AN913" s="2">
        <f t="shared" si="141"/>
        <v>0</v>
      </c>
      <c r="AO913" s="2">
        <f t="shared" si="142"/>
        <v>0</v>
      </c>
      <c r="AP913" s="2">
        <f t="shared" si="143"/>
        <v>0</v>
      </c>
      <c r="AQ913" s="2">
        <f t="shared" si="144"/>
        <v>0</v>
      </c>
      <c r="AR913" s="2">
        <f t="shared" si="145"/>
        <v>0</v>
      </c>
      <c r="AS913" s="2">
        <f t="shared" si="146"/>
        <v>0</v>
      </c>
      <c r="AT913" s="25">
        <f t="shared" si="147"/>
        <v>0</v>
      </c>
    </row>
    <row r="914" spans="1:46">
      <c r="A914" s="24">
        <v>46139</v>
      </c>
      <c r="B914" s="23">
        <f t="shared" si="140"/>
        <v>46113</v>
      </c>
      <c r="C914" s="2" t="s">
        <v>72</v>
      </c>
      <c r="D914" s="2" t="s">
        <v>210</v>
      </c>
      <c r="E914" s="2">
        <v>6219</v>
      </c>
      <c r="F914" s="2">
        <v>300</v>
      </c>
      <c r="G914" s="2">
        <f t="shared" si="148"/>
        <v>50</v>
      </c>
      <c r="H914" s="2">
        <f t="shared" si="149"/>
        <v>50</v>
      </c>
      <c r="I914" s="2">
        <v>0</v>
      </c>
      <c r="J914" s="44" t="s">
        <v>48</v>
      </c>
      <c r="K914" s="2" t="s">
        <v>49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/>
      <c r="AM914" s="2" t="s">
        <v>103</v>
      </c>
      <c r="AN914" s="2">
        <f t="shared" si="141"/>
        <v>0</v>
      </c>
      <c r="AO914" s="2">
        <f t="shared" si="142"/>
        <v>0</v>
      </c>
      <c r="AP914" s="2">
        <f t="shared" si="143"/>
        <v>0</v>
      </c>
      <c r="AQ914" s="2">
        <f t="shared" si="144"/>
        <v>0</v>
      </c>
      <c r="AR914" s="2">
        <f t="shared" si="145"/>
        <v>0</v>
      </c>
      <c r="AS914" s="2">
        <f t="shared" si="146"/>
        <v>0</v>
      </c>
      <c r="AT914" s="25">
        <f t="shared" si="147"/>
        <v>0</v>
      </c>
    </row>
    <row r="915" spans="1:46">
      <c r="A915" s="24">
        <v>46139</v>
      </c>
      <c r="B915" s="23">
        <f t="shared" si="140"/>
        <v>46113</v>
      </c>
      <c r="C915" s="2" t="s">
        <v>72</v>
      </c>
      <c r="D915" s="2" t="s">
        <v>323</v>
      </c>
      <c r="E915" s="2">
        <v>6265</v>
      </c>
      <c r="F915" s="2">
        <v>390</v>
      </c>
      <c r="G915" s="2">
        <f t="shared" si="148"/>
        <v>50</v>
      </c>
      <c r="H915" s="2">
        <f t="shared" si="149"/>
        <v>48</v>
      </c>
      <c r="I915" s="2">
        <v>2</v>
      </c>
      <c r="J915" s="44" t="s">
        <v>48</v>
      </c>
      <c r="K915" s="2" t="s">
        <v>49</v>
      </c>
      <c r="L915" s="2">
        <v>2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/>
      <c r="AM915" s="2" t="s">
        <v>103</v>
      </c>
      <c r="AN915" s="2">
        <f t="shared" si="141"/>
        <v>2</v>
      </c>
      <c r="AO915" s="2">
        <f t="shared" si="142"/>
        <v>0</v>
      </c>
      <c r="AP915" s="2">
        <f t="shared" si="143"/>
        <v>0</v>
      </c>
      <c r="AQ915" s="2">
        <f t="shared" si="144"/>
        <v>0</v>
      </c>
      <c r="AR915" s="2">
        <f t="shared" si="145"/>
        <v>0</v>
      </c>
      <c r="AS915" s="2">
        <f t="shared" si="146"/>
        <v>0</v>
      </c>
      <c r="AT915" s="25">
        <f t="shared" si="147"/>
        <v>0</v>
      </c>
    </row>
    <row r="916" spans="1:46">
      <c r="A916" s="24">
        <v>46139</v>
      </c>
      <c r="B916" s="23">
        <f t="shared" si="140"/>
        <v>46113</v>
      </c>
      <c r="C916" s="2" t="s">
        <v>114</v>
      </c>
      <c r="D916" s="2" t="s">
        <v>242</v>
      </c>
      <c r="E916" s="2">
        <v>6296</v>
      </c>
      <c r="F916" s="2">
        <v>810</v>
      </c>
      <c r="G916" s="2">
        <f t="shared" si="148"/>
        <v>80</v>
      </c>
      <c r="H916" s="2">
        <f t="shared" si="149"/>
        <v>80</v>
      </c>
      <c r="I916" s="2">
        <v>0</v>
      </c>
      <c r="J916" s="44" t="s">
        <v>48</v>
      </c>
      <c r="K916" s="2" t="s">
        <v>49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/>
      <c r="AM916" s="2" t="s">
        <v>103</v>
      </c>
      <c r="AN916" s="2">
        <f t="shared" si="141"/>
        <v>0</v>
      </c>
      <c r="AO916" s="2">
        <f t="shared" si="142"/>
        <v>0</v>
      </c>
      <c r="AP916" s="2">
        <f t="shared" si="143"/>
        <v>0</v>
      </c>
      <c r="AQ916" s="2">
        <f t="shared" si="144"/>
        <v>0</v>
      </c>
      <c r="AR916" s="2">
        <f t="shared" si="145"/>
        <v>0</v>
      </c>
      <c r="AS916" s="2">
        <f t="shared" si="146"/>
        <v>0</v>
      </c>
      <c r="AT916" s="25">
        <f t="shared" si="147"/>
        <v>0</v>
      </c>
    </row>
    <row r="917" spans="1:46">
      <c r="A917" s="24">
        <v>46139</v>
      </c>
      <c r="B917" s="23">
        <f t="shared" si="140"/>
        <v>46113</v>
      </c>
      <c r="C917" s="2" t="s">
        <v>114</v>
      </c>
      <c r="D917" s="2" t="s">
        <v>244</v>
      </c>
      <c r="E917" s="2">
        <v>6296</v>
      </c>
      <c r="F917" s="2">
        <v>419</v>
      </c>
      <c r="G917" s="2">
        <f t="shared" si="148"/>
        <v>50</v>
      </c>
      <c r="H917" s="2">
        <f t="shared" si="149"/>
        <v>49</v>
      </c>
      <c r="I917" s="2">
        <v>1</v>
      </c>
      <c r="J917" s="44" t="s">
        <v>48</v>
      </c>
      <c r="K917" s="2" t="s">
        <v>49</v>
      </c>
      <c r="L917" s="2">
        <v>1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/>
      <c r="AM917" s="2" t="s">
        <v>103</v>
      </c>
      <c r="AN917" s="2">
        <f t="shared" si="141"/>
        <v>1</v>
      </c>
      <c r="AO917" s="2">
        <f t="shared" si="142"/>
        <v>0</v>
      </c>
      <c r="AP917" s="2">
        <f t="shared" si="143"/>
        <v>0</v>
      </c>
      <c r="AQ917" s="2">
        <f t="shared" si="144"/>
        <v>0</v>
      </c>
      <c r="AR917" s="2">
        <f t="shared" si="145"/>
        <v>0</v>
      </c>
      <c r="AS917" s="2">
        <f t="shared" si="146"/>
        <v>0</v>
      </c>
      <c r="AT917" s="25">
        <f t="shared" si="147"/>
        <v>0</v>
      </c>
    </row>
    <row r="918" spans="1:46">
      <c r="A918" s="24">
        <v>46139</v>
      </c>
      <c r="B918" s="23">
        <f t="shared" si="140"/>
        <v>46113</v>
      </c>
      <c r="C918" s="2" t="s">
        <v>114</v>
      </c>
      <c r="D918" s="2" t="s">
        <v>205</v>
      </c>
      <c r="E918" s="2">
        <v>3224</v>
      </c>
      <c r="F918" s="2">
        <v>197</v>
      </c>
      <c r="G918" s="2">
        <f t="shared" si="148"/>
        <v>32</v>
      </c>
      <c r="H918" s="2">
        <f t="shared" si="149"/>
        <v>30</v>
      </c>
      <c r="I918" s="2">
        <v>2</v>
      </c>
      <c r="J918" s="44" t="s">
        <v>48</v>
      </c>
      <c r="K918" s="2" t="s">
        <v>49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2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/>
      <c r="AM918" s="2" t="s">
        <v>103</v>
      </c>
      <c r="AN918" s="2">
        <f t="shared" si="141"/>
        <v>0</v>
      </c>
      <c r="AO918" s="2">
        <f t="shared" si="142"/>
        <v>2</v>
      </c>
      <c r="AP918" s="2">
        <f t="shared" si="143"/>
        <v>0</v>
      </c>
      <c r="AQ918" s="2">
        <f t="shared" si="144"/>
        <v>0</v>
      </c>
      <c r="AR918" s="2">
        <f t="shared" si="145"/>
        <v>0</v>
      </c>
      <c r="AS918" s="2">
        <f t="shared" si="146"/>
        <v>0</v>
      </c>
      <c r="AT918" s="25">
        <f t="shared" si="147"/>
        <v>0</v>
      </c>
    </row>
    <row r="919" spans="1:46">
      <c r="A919" s="24">
        <v>46139</v>
      </c>
      <c r="B919" s="23">
        <f t="shared" si="140"/>
        <v>46113</v>
      </c>
      <c r="C919" s="2" t="s">
        <v>160</v>
      </c>
      <c r="D919" s="2" t="s">
        <v>162</v>
      </c>
      <c r="E919" s="2">
        <v>3227</v>
      </c>
      <c r="F919" s="2">
        <v>95</v>
      </c>
      <c r="G919" s="2">
        <f t="shared" si="148"/>
        <v>20</v>
      </c>
      <c r="H919" s="2">
        <f t="shared" si="149"/>
        <v>20</v>
      </c>
      <c r="I919" s="2">
        <v>0</v>
      </c>
      <c r="J919" s="44" t="s">
        <v>48</v>
      </c>
      <c r="K919" s="2" t="s">
        <v>49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/>
      <c r="AM919" s="2" t="s">
        <v>93</v>
      </c>
      <c r="AN919" s="2">
        <f t="shared" si="141"/>
        <v>0</v>
      </c>
      <c r="AO919" s="2">
        <f t="shared" si="142"/>
        <v>0</v>
      </c>
      <c r="AP919" s="2">
        <f t="shared" si="143"/>
        <v>0</v>
      </c>
      <c r="AQ919" s="2">
        <f t="shared" si="144"/>
        <v>0</v>
      </c>
      <c r="AR919" s="2">
        <f t="shared" si="145"/>
        <v>0</v>
      </c>
      <c r="AS919" s="2">
        <f t="shared" si="146"/>
        <v>0</v>
      </c>
      <c r="AT919" s="25">
        <f t="shared" si="147"/>
        <v>0</v>
      </c>
    </row>
    <row r="920" spans="1:46">
      <c r="A920" s="24">
        <v>46139</v>
      </c>
      <c r="B920" s="23">
        <f t="shared" si="140"/>
        <v>46113</v>
      </c>
      <c r="C920" s="2" t="s">
        <v>160</v>
      </c>
      <c r="D920" s="2" t="s">
        <v>1512</v>
      </c>
      <c r="E920" s="2">
        <v>3326</v>
      </c>
      <c r="F920" s="2">
        <v>128</v>
      </c>
      <c r="G920" s="2">
        <f t="shared" si="148"/>
        <v>20</v>
      </c>
      <c r="H920" s="2">
        <f t="shared" si="149"/>
        <v>20</v>
      </c>
      <c r="I920" s="2">
        <v>0</v>
      </c>
      <c r="J920" s="44" t="s">
        <v>48</v>
      </c>
      <c r="K920" s="2" t="s">
        <v>49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/>
      <c r="AM920" s="2" t="s">
        <v>93</v>
      </c>
      <c r="AN920" s="2">
        <f t="shared" si="141"/>
        <v>0</v>
      </c>
      <c r="AO920" s="2">
        <f t="shared" si="142"/>
        <v>0</v>
      </c>
      <c r="AP920" s="2">
        <f t="shared" si="143"/>
        <v>0</v>
      </c>
      <c r="AQ920" s="2">
        <f t="shared" si="144"/>
        <v>0</v>
      </c>
      <c r="AR920" s="2">
        <f t="shared" si="145"/>
        <v>0</v>
      </c>
      <c r="AS920" s="2">
        <f t="shared" si="146"/>
        <v>0</v>
      </c>
      <c r="AT920" s="25">
        <f t="shared" si="147"/>
        <v>0</v>
      </c>
    </row>
    <row r="921" spans="1:46">
      <c r="A921" s="24">
        <v>46139</v>
      </c>
      <c r="B921" s="23">
        <f t="shared" si="140"/>
        <v>46113</v>
      </c>
      <c r="C921" s="2" t="s">
        <v>55</v>
      </c>
      <c r="D921" s="2" t="s">
        <v>155</v>
      </c>
      <c r="E921" s="2">
        <v>1775</v>
      </c>
      <c r="F921" s="2">
        <v>135</v>
      </c>
      <c r="G921" s="2">
        <f t="shared" si="148"/>
        <v>20</v>
      </c>
      <c r="H921" s="2">
        <f t="shared" si="149"/>
        <v>20</v>
      </c>
      <c r="I921" s="2">
        <v>0</v>
      </c>
      <c r="J921" s="44" t="s">
        <v>48</v>
      </c>
      <c r="K921" s="2" t="s">
        <v>49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/>
      <c r="AM921" s="2" t="s">
        <v>1566</v>
      </c>
      <c r="AN921" s="2">
        <f t="shared" si="141"/>
        <v>0</v>
      </c>
      <c r="AO921" s="2">
        <f t="shared" si="142"/>
        <v>0</v>
      </c>
      <c r="AP921" s="2">
        <f t="shared" si="143"/>
        <v>0</v>
      </c>
      <c r="AQ921" s="2">
        <f t="shared" si="144"/>
        <v>0</v>
      </c>
      <c r="AR921" s="2">
        <f t="shared" si="145"/>
        <v>0</v>
      </c>
      <c r="AS921" s="2">
        <f t="shared" si="146"/>
        <v>0</v>
      </c>
      <c r="AT921" s="25">
        <f t="shared" si="147"/>
        <v>0</v>
      </c>
    </row>
    <row r="922" spans="1:46">
      <c r="A922" s="24">
        <v>46139</v>
      </c>
      <c r="B922" s="23">
        <f t="shared" si="140"/>
        <v>46113</v>
      </c>
      <c r="C922" s="2" t="s">
        <v>55</v>
      </c>
      <c r="D922" s="2" t="s">
        <v>183</v>
      </c>
      <c r="E922" s="2">
        <v>1729</v>
      </c>
      <c r="F922" s="2">
        <v>330</v>
      </c>
      <c r="G922" s="2">
        <f t="shared" si="148"/>
        <v>50</v>
      </c>
      <c r="H922" s="2">
        <f t="shared" si="149"/>
        <v>49</v>
      </c>
      <c r="I922" s="2">
        <v>1</v>
      </c>
      <c r="J922" s="44" t="s">
        <v>48</v>
      </c>
      <c r="K922" s="2" t="s">
        <v>49</v>
      </c>
      <c r="L922" s="2">
        <v>1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/>
      <c r="AM922" s="2" t="s">
        <v>1566</v>
      </c>
      <c r="AN922" s="2">
        <f t="shared" si="141"/>
        <v>1</v>
      </c>
      <c r="AO922" s="2">
        <f t="shared" si="142"/>
        <v>0</v>
      </c>
      <c r="AP922" s="2">
        <f t="shared" si="143"/>
        <v>0</v>
      </c>
      <c r="AQ922" s="2">
        <f t="shared" si="144"/>
        <v>0</v>
      </c>
      <c r="AR922" s="2">
        <f t="shared" si="145"/>
        <v>0</v>
      </c>
      <c r="AS922" s="2">
        <f t="shared" si="146"/>
        <v>0</v>
      </c>
      <c r="AT922" s="25">
        <f t="shared" si="147"/>
        <v>0</v>
      </c>
    </row>
    <row r="923" spans="1:46">
      <c r="A923" s="24">
        <v>46139</v>
      </c>
      <c r="B923" s="23">
        <f t="shared" si="140"/>
        <v>46113</v>
      </c>
      <c r="C923" s="2" t="s">
        <v>55</v>
      </c>
      <c r="D923" s="2" t="s">
        <v>60</v>
      </c>
      <c r="E923" s="2">
        <v>2593</v>
      </c>
      <c r="F923" s="2">
        <v>285</v>
      </c>
      <c r="G923" s="2">
        <f t="shared" si="148"/>
        <v>50</v>
      </c>
      <c r="H923" s="2">
        <f t="shared" si="149"/>
        <v>49</v>
      </c>
      <c r="I923" s="2">
        <v>1</v>
      </c>
      <c r="J923" s="44" t="s">
        <v>48</v>
      </c>
      <c r="K923" s="2" t="s">
        <v>49</v>
      </c>
      <c r="L923" s="2">
        <v>1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/>
      <c r="AM923" s="2" t="s">
        <v>1566</v>
      </c>
      <c r="AN923" s="2">
        <f t="shared" si="141"/>
        <v>1</v>
      </c>
      <c r="AO923" s="2">
        <f t="shared" si="142"/>
        <v>0</v>
      </c>
      <c r="AP923" s="2">
        <f t="shared" si="143"/>
        <v>0</v>
      </c>
      <c r="AQ923" s="2">
        <f t="shared" si="144"/>
        <v>0</v>
      </c>
      <c r="AR923" s="2">
        <f t="shared" si="145"/>
        <v>0</v>
      </c>
      <c r="AS923" s="2">
        <f t="shared" si="146"/>
        <v>0</v>
      </c>
      <c r="AT923" s="25">
        <f t="shared" si="147"/>
        <v>0</v>
      </c>
    </row>
    <row r="924" spans="1:46">
      <c r="A924" s="24">
        <v>46139</v>
      </c>
      <c r="B924" s="23">
        <f t="shared" si="140"/>
        <v>46113</v>
      </c>
      <c r="C924" s="2" t="s">
        <v>55</v>
      </c>
      <c r="D924" s="2" t="s">
        <v>282</v>
      </c>
      <c r="E924" s="2">
        <v>2760</v>
      </c>
      <c r="F924" s="2">
        <v>176</v>
      </c>
      <c r="G924" s="2">
        <f t="shared" si="148"/>
        <v>32</v>
      </c>
      <c r="H924" s="2">
        <f t="shared" si="149"/>
        <v>32</v>
      </c>
      <c r="I924" s="2">
        <v>0</v>
      </c>
      <c r="J924" s="44" t="s">
        <v>48</v>
      </c>
      <c r="K924" s="2" t="s">
        <v>49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/>
      <c r="AM924" s="2" t="s">
        <v>1566</v>
      </c>
      <c r="AN924" s="2">
        <f t="shared" si="141"/>
        <v>0</v>
      </c>
      <c r="AO924" s="2">
        <f t="shared" si="142"/>
        <v>0</v>
      </c>
      <c r="AP924" s="2">
        <f t="shared" si="143"/>
        <v>0</v>
      </c>
      <c r="AQ924" s="2">
        <f t="shared" si="144"/>
        <v>0</v>
      </c>
      <c r="AR924" s="2">
        <f t="shared" si="145"/>
        <v>0</v>
      </c>
      <c r="AS924" s="2">
        <f t="shared" si="146"/>
        <v>0</v>
      </c>
      <c r="AT924" s="25">
        <f t="shared" si="147"/>
        <v>0</v>
      </c>
    </row>
    <row r="925" spans="1:46">
      <c r="A925" s="24">
        <v>46139</v>
      </c>
      <c r="B925" s="23">
        <f t="shared" si="140"/>
        <v>46113</v>
      </c>
      <c r="C925" s="2" t="s">
        <v>55</v>
      </c>
      <c r="D925" s="2" t="s">
        <v>132</v>
      </c>
      <c r="E925" s="2">
        <v>1775</v>
      </c>
      <c r="F925" s="2">
        <v>350</v>
      </c>
      <c r="G925" s="2">
        <f t="shared" si="148"/>
        <v>50</v>
      </c>
      <c r="H925" s="2">
        <f t="shared" si="149"/>
        <v>49</v>
      </c>
      <c r="I925" s="2">
        <v>1</v>
      </c>
      <c r="J925" s="44" t="s">
        <v>48</v>
      </c>
      <c r="K925" s="2" t="s">
        <v>49</v>
      </c>
      <c r="L925" s="2">
        <v>1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/>
      <c r="AM925" s="2" t="s">
        <v>1566</v>
      </c>
      <c r="AN925" s="2">
        <f t="shared" si="141"/>
        <v>1</v>
      </c>
      <c r="AO925" s="2">
        <f t="shared" si="142"/>
        <v>0</v>
      </c>
      <c r="AP925" s="2">
        <f t="shared" si="143"/>
        <v>0</v>
      </c>
      <c r="AQ925" s="2">
        <f t="shared" si="144"/>
        <v>0</v>
      </c>
      <c r="AR925" s="2">
        <f t="shared" si="145"/>
        <v>0</v>
      </c>
      <c r="AS925" s="2">
        <f t="shared" si="146"/>
        <v>0</v>
      </c>
      <c r="AT925" s="25">
        <f t="shared" si="147"/>
        <v>0</v>
      </c>
    </row>
    <row r="926" spans="1:46">
      <c r="A926" s="24">
        <v>46139</v>
      </c>
      <c r="B926" s="23">
        <f t="shared" si="140"/>
        <v>46113</v>
      </c>
      <c r="C926" s="2" t="s">
        <v>55</v>
      </c>
      <c r="D926" s="2" t="s">
        <v>222</v>
      </c>
      <c r="E926" s="2">
        <v>2593</v>
      </c>
      <c r="F926" s="2">
        <v>583</v>
      </c>
      <c r="G926" s="2">
        <f t="shared" si="148"/>
        <v>80</v>
      </c>
      <c r="H926" s="2">
        <f t="shared" si="149"/>
        <v>79</v>
      </c>
      <c r="I926" s="2">
        <v>1</v>
      </c>
      <c r="J926" s="44" t="s">
        <v>48</v>
      </c>
      <c r="K926" s="2" t="s">
        <v>49</v>
      </c>
      <c r="L926" s="2">
        <v>1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/>
      <c r="AM926" s="2" t="s">
        <v>1566</v>
      </c>
      <c r="AN926" s="2">
        <f t="shared" si="141"/>
        <v>1</v>
      </c>
      <c r="AO926" s="2">
        <f t="shared" si="142"/>
        <v>0</v>
      </c>
      <c r="AP926" s="2">
        <f t="shared" si="143"/>
        <v>0</v>
      </c>
      <c r="AQ926" s="2">
        <f t="shared" si="144"/>
        <v>0</v>
      </c>
      <c r="AR926" s="2">
        <f t="shared" si="145"/>
        <v>0</v>
      </c>
      <c r="AS926" s="2">
        <f t="shared" si="146"/>
        <v>0</v>
      </c>
      <c r="AT926" s="25">
        <f t="shared" si="147"/>
        <v>0</v>
      </c>
    </row>
    <row r="927" spans="1:46">
      <c r="A927" s="24">
        <v>46139</v>
      </c>
      <c r="B927" s="23">
        <f t="shared" si="140"/>
        <v>46113</v>
      </c>
      <c r="C927" s="2" t="s">
        <v>55</v>
      </c>
      <c r="D927" s="2" t="s">
        <v>169</v>
      </c>
      <c r="E927" s="2">
        <v>2593</v>
      </c>
      <c r="F927" s="2">
        <v>100</v>
      </c>
      <c r="G927" s="2">
        <f t="shared" si="148"/>
        <v>20</v>
      </c>
      <c r="H927" s="2">
        <f t="shared" si="149"/>
        <v>19</v>
      </c>
      <c r="I927" s="2">
        <v>1</v>
      </c>
      <c r="J927" s="44" t="s">
        <v>48</v>
      </c>
      <c r="K927" s="2" t="s">
        <v>49</v>
      </c>
      <c r="L927" s="2">
        <v>1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/>
      <c r="AM927" s="2" t="s">
        <v>1566</v>
      </c>
      <c r="AN927" s="2">
        <f t="shared" si="141"/>
        <v>1</v>
      </c>
      <c r="AO927" s="2">
        <f t="shared" si="142"/>
        <v>0</v>
      </c>
      <c r="AP927" s="2">
        <f t="shared" si="143"/>
        <v>0</v>
      </c>
      <c r="AQ927" s="2">
        <f t="shared" si="144"/>
        <v>0</v>
      </c>
      <c r="AR927" s="2">
        <f t="shared" si="145"/>
        <v>0</v>
      </c>
      <c r="AS927" s="2">
        <f t="shared" si="146"/>
        <v>0</v>
      </c>
      <c r="AT927" s="25">
        <f t="shared" si="147"/>
        <v>0</v>
      </c>
    </row>
    <row r="928" spans="1:46">
      <c r="A928" s="24">
        <v>46139</v>
      </c>
      <c r="B928" s="23">
        <f t="shared" si="140"/>
        <v>46113</v>
      </c>
      <c r="C928" s="2" t="s">
        <v>55</v>
      </c>
      <c r="D928" s="2" t="s">
        <v>152</v>
      </c>
      <c r="E928" s="2">
        <v>2593</v>
      </c>
      <c r="F928" s="2">
        <v>102</v>
      </c>
      <c r="G928" s="2">
        <f t="shared" si="148"/>
        <v>20</v>
      </c>
      <c r="H928" s="2">
        <f t="shared" si="149"/>
        <v>20</v>
      </c>
      <c r="I928" s="2">
        <v>0</v>
      </c>
      <c r="J928" s="44" t="s">
        <v>48</v>
      </c>
      <c r="K928" s="2" t="s">
        <v>49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/>
      <c r="AM928" s="2" t="s">
        <v>1566</v>
      </c>
      <c r="AN928" s="2">
        <f t="shared" si="141"/>
        <v>0</v>
      </c>
      <c r="AO928" s="2">
        <f t="shared" si="142"/>
        <v>0</v>
      </c>
      <c r="AP928" s="2">
        <f t="shared" si="143"/>
        <v>0</v>
      </c>
      <c r="AQ928" s="2">
        <f t="shared" si="144"/>
        <v>0</v>
      </c>
      <c r="AR928" s="2">
        <f t="shared" si="145"/>
        <v>0</v>
      </c>
      <c r="AS928" s="2">
        <f t="shared" si="146"/>
        <v>0</v>
      </c>
      <c r="AT928" s="25">
        <f t="shared" si="147"/>
        <v>0</v>
      </c>
    </row>
    <row r="929" spans="1:46">
      <c r="A929" s="24">
        <v>46139</v>
      </c>
      <c r="B929" s="23">
        <f t="shared" si="140"/>
        <v>46113</v>
      </c>
      <c r="C929" s="2" t="s">
        <v>46</v>
      </c>
      <c r="D929" s="2" t="s">
        <v>1415</v>
      </c>
      <c r="E929" s="2">
        <v>6207</v>
      </c>
      <c r="F929" s="2">
        <v>68</v>
      </c>
      <c r="G929" s="2">
        <f t="shared" si="148"/>
        <v>20</v>
      </c>
      <c r="H929" s="2">
        <f t="shared" si="149"/>
        <v>19</v>
      </c>
      <c r="I929" s="2">
        <v>1</v>
      </c>
      <c r="J929" s="44" t="s">
        <v>48</v>
      </c>
      <c r="K929" s="2" t="s">
        <v>49</v>
      </c>
      <c r="L929" s="2">
        <v>1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/>
      <c r="AM929" s="2" t="s">
        <v>1567</v>
      </c>
      <c r="AN929" s="2">
        <f t="shared" si="141"/>
        <v>1</v>
      </c>
      <c r="AO929" s="2">
        <f t="shared" si="142"/>
        <v>0</v>
      </c>
      <c r="AP929" s="2">
        <f t="shared" si="143"/>
        <v>0</v>
      </c>
      <c r="AQ929" s="2">
        <f t="shared" si="144"/>
        <v>0</v>
      </c>
      <c r="AR929" s="2">
        <f t="shared" si="145"/>
        <v>0</v>
      </c>
      <c r="AS929" s="2">
        <f t="shared" si="146"/>
        <v>0</v>
      </c>
      <c r="AT929" s="25">
        <f t="shared" si="147"/>
        <v>0</v>
      </c>
    </row>
    <row r="930" spans="1:46">
      <c r="A930" s="24">
        <v>46139</v>
      </c>
      <c r="B930" s="23">
        <f t="shared" si="140"/>
        <v>46113</v>
      </c>
      <c r="C930" s="2" t="s">
        <v>95</v>
      </c>
      <c r="D930" s="2" t="s">
        <v>226</v>
      </c>
      <c r="E930" s="2">
        <v>6277</v>
      </c>
      <c r="F930" s="2">
        <v>830</v>
      </c>
      <c r="G930" s="2">
        <f t="shared" si="148"/>
        <v>80</v>
      </c>
      <c r="H930" s="2">
        <f t="shared" si="149"/>
        <v>80</v>
      </c>
      <c r="I930" s="2">
        <v>0</v>
      </c>
      <c r="J930" s="44" t="s">
        <v>48</v>
      </c>
      <c r="K930" s="2" t="s">
        <v>49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/>
      <c r="AM930" s="2" t="s">
        <v>1567</v>
      </c>
      <c r="AN930" s="2">
        <f t="shared" si="141"/>
        <v>0</v>
      </c>
      <c r="AO930" s="2">
        <f t="shared" si="142"/>
        <v>0</v>
      </c>
      <c r="AP930" s="2">
        <f t="shared" si="143"/>
        <v>0</v>
      </c>
      <c r="AQ930" s="2">
        <f t="shared" si="144"/>
        <v>0</v>
      </c>
      <c r="AR930" s="2">
        <f t="shared" si="145"/>
        <v>0</v>
      </c>
      <c r="AS930" s="2">
        <f t="shared" si="146"/>
        <v>0</v>
      </c>
      <c r="AT930" s="25">
        <f t="shared" si="147"/>
        <v>0</v>
      </c>
    </row>
    <row r="931" spans="1:46">
      <c r="A931" s="24">
        <v>46139</v>
      </c>
      <c r="B931" s="23">
        <f t="shared" si="140"/>
        <v>46113</v>
      </c>
      <c r="C931" s="2" t="s">
        <v>46</v>
      </c>
      <c r="D931" s="2" t="s">
        <v>47</v>
      </c>
      <c r="E931" s="2">
        <v>6296</v>
      </c>
      <c r="F931" s="2">
        <v>209</v>
      </c>
      <c r="G931" s="2">
        <f t="shared" si="148"/>
        <v>32</v>
      </c>
      <c r="H931" s="2">
        <f t="shared" si="149"/>
        <v>30</v>
      </c>
      <c r="I931" s="2">
        <v>2</v>
      </c>
      <c r="J931" s="44" t="s">
        <v>48</v>
      </c>
      <c r="K931" s="2" t="s">
        <v>49</v>
      </c>
      <c r="L931" s="2">
        <v>2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/>
      <c r="AM931" s="2" t="s">
        <v>1567</v>
      </c>
      <c r="AN931" s="2">
        <f t="shared" si="141"/>
        <v>2</v>
      </c>
      <c r="AO931" s="2">
        <f t="shared" si="142"/>
        <v>0</v>
      </c>
      <c r="AP931" s="2">
        <f t="shared" si="143"/>
        <v>0</v>
      </c>
      <c r="AQ931" s="2">
        <f t="shared" si="144"/>
        <v>0</v>
      </c>
      <c r="AR931" s="2">
        <f t="shared" si="145"/>
        <v>0</v>
      </c>
      <c r="AS931" s="2">
        <f t="shared" si="146"/>
        <v>0</v>
      </c>
      <c r="AT931" s="25">
        <f t="shared" si="147"/>
        <v>0</v>
      </c>
    </row>
    <row r="932" spans="1:46">
      <c r="A932" s="24">
        <v>46139</v>
      </c>
      <c r="B932" s="23">
        <f t="shared" si="140"/>
        <v>46113</v>
      </c>
      <c r="C932" s="2" t="s">
        <v>46</v>
      </c>
      <c r="D932" s="2" t="s">
        <v>418</v>
      </c>
      <c r="E932" s="2">
        <v>7152</v>
      </c>
      <c r="F932" s="2">
        <v>280</v>
      </c>
      <c r="G932" s="2">
        <f t="shared" si="148"/>
        <v>32</v>
      </c>
      <c r="H932" s="2">
        <f t="shared" si="149"/>
        <v>31</v>
      </c>
      <c r="I932" s="2">
        <v>1</v>
      </c>
      <c r="J932" s="44" t="s">
        <v>48</v>
      </c>
      <c r="K932" s="2" t="s">
        <v>49</v>
      </c>
      <c r="L932" s="2">
        <v>1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/>
      <c r="AM932" s="2" t="s">
        <v>1567</v>
      </c>
      <c r="AN932" s="2">
        <f t="shared" si="141"/>
        <v>1</v>
      </c>
      <c r="AO932" s="2">
        <f t="shared" si="142"/>
        <v>0</v>
      </c>
      <c r="AP932" s="2">
        <f t="shared" si="143"/>
        <v>0</v>
      </c>
      <c r="AQ932" s="2">
        <f t="shared" si="144"/>
        <v>0</v>
      </c>
      <c r="AR932" s="2">
        <f t="shared" si="145"/>
        <v>0</v>
      </c>
      <c r="AS932" s="2">
        <f t="shared" si="146"/>
        <v>0</v>
      </c>
      <c r="AT932" s="25">
        <f t="shared" si="147"/>
        <v>0</v>
      </c>
    </row>
    <row r="933" spans="1:46">
      <c r="A933" s="24">
        <v>46139</v>
      </c>
      <c r="B933" s="23">
        <f t="shared" si="140"/>
        <v>46113</v>
      </c>
      <c r="C933" s="2" t="s">
        <v>95</v>
      </c>
      <c r="D933" s="2" t="s">
        <v>1385</v>
      </c>
      <c r="E933" s="2">
        <v>6222</v>
      </c>
      <c r="F933" s="2">
        <v>61</v>
      </c>
      <c r="G933" s="2">
        <f t="shared" si="148"/>
        <v>20</v>
      </c>
      <c r="H933" s="2">
        <f t="shared" si="149"/>
        <v>20</v>
      </c>
      <c r="I933" s="2">
        <v>0</v>
      </c>
      <c r="J933" s="44" t="s">
        <v>48</v>
      </c>
      <c r="K933" s="2" t="s">
        <v>49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/>
      <c r="AM933" s="2" t="s">
        <v>1567</v>
      </c>
      <c r="AN933" s="2">
        <f t="shared" si="141"/>
        <v>0</v>
      </c>
      <c r="AO933" s="2">
        <f t="shared" si="142"/>
        <v>0</v>
      </c>
      <c r="AP933" s="2">
        <f t="shared" si="143"/>
        <v>0</v>
      </c>
      <c r="AQ933" s="2">
        <f t="shared" si="144"/>
        <v>0</v>
      </c>
      <c r="AR933" s="2">
        <f t="shared" si="145"/>
        <v>0</v>
      </c>
      <c r="AS933" s="2">
        <f t="shared" si="146"/>
        <v>0</v>
      </c>
      <c r="AT933" s="25">
        <f t="shared" si="147"/>
        <v>0</v>
      </c>
    </row>
    <row r="934" spans="1:46">
      <c r="A934" s="24">
        <v>46139</v>
      </c>
      <c r="B934" s="23">
        <f t="shared" si="140"/>
        <v>46113</v>
      </c>
      <c r="C934" s="2" t="s">
        <v>95</v>
      </c>
      <c r="D934" s="2" t="s">
        <v>303</v>
      </c>
      <c r="E934" s="2">
        <v>6222</v>
      </c>
      <c r="F934" s="2">
        <v>96</v>
      </c>
      <c r="G934" s="2">
        <f t="shared" si="148"/>
        <v>20</v>
      </c>
      <c r="H934" s="2">
        <f t="shared" si="149"/>
        <v>20</v>
      </c>
      <c r="I934" s="2">
        <v>0</v>
      </c>
      <c r="J934" s="44" t="s">
        <v>48</v>
      </c>
      <c r="K934" s="2" t="s">
        <v>49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/>
      <c r="AM934" s="2" t="s">
        <v>1567</v>
      </c>
      <c r="AN934" s="2">
        <f t="shared" si="141"/>
        <v>0</v>
      </c>
      <c r="AO934" s="2">
        <f t="shared" si="142"/>
        <v>0</v>
      </c>
      <c r="AP934" s="2">
        <f t="shared" si="143"/>
        <v>0</v>
      </c>
      <c r="AQ934" s="2">
        <f t="shared" si="144"/>
        <v>0</v>
      </c>
      <c r="AR934" s="2">
        <f t="shared" si="145"/>
        <v>0</v>
      </c>
      <c r="AS934" s="2">
        <f t="shared" si="146"/>
        <v>0</v>
      </c>
      <c r="AT934" s="25">
        <f t="shared" si="147"/>
        <v>0</v>
      </c>
    </row>
    <row r="935" spans="1:46">
      <c r="A935" s="24">
        <v>46139</v>
      </c>
      <c r="B935" s="23">
        <f t="shared" si="140"/>
        <v>46113</v>
      </c>
      <c r="C935" s="2" t="s">
        <v>46</v>
      </c>
      <c r="D935" s="2" t="s">
        <v>244</v>
      </c>
      <c r="E935" s="2">
        <v>6296</v>
      </c>
      <c r="F935" s="2">
        <v>500</v>
      </c>
      <c r="G935" s="2">
        <f t="shared" si="148"/>
        <v>50</v>
      </c>
      <c r="H935" s="2">
        <f t="shared" si="149"/>
        <v>50</v>
      </c>
      <c r="I935" s="2">
        <v>0</v>
      </c>
      <c r="J935" s="44" t="s">
        <v>48</v>
      </c>
      <c r="K935" s="2" t="s">
        <v>49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/>
      <c r="AM935" s="2" t="s">
        <v>1567</v>
      </c>
      <c r="AN935" s="2">
        <f t="shared" si="141"/>
        <v>0</v>
      </c>
      <c r="AO935" s="2">
        <f t="shared" si="142"/>
        <v>0</v>
      </c>
      <c r="AP935" s="2">
        <f t="shared" si="143"/>
        <v>0</v>
      </c>
      <c r="AQ935" s="2">
        <f t="shared" si="144"/>
        <v>0</v>
      </c>
      <c r="AR935" s="2">
        <f t="shared" si="145"/>
        <v>0</v>
      </c>
      <c r="AS935" s="2">
        <f t="shared" si="146"/>
        <v>0</v>
      </c>
      <c r="AT935" s="25">
        <f t="shared" si="147"/>
        <v>0</v>
      </c>
    </row>
    <row r="936" spans="1:46">
      <c r="A936" s="24">
        <v>46139</v>
      </c>
      <c r="B936" s="23">
        <f t="shared" si="140"/>
        <v>46113</v>
      </c>
      <c r="C936" s="2" t="s">
        <v>63</v>
      </c>
      <c r="D936" s="2" t="s">
        <v>56</v>
      </c>
      <c r="E936" s="2">
        <v>3255</v>
      </c>
      <c r="F936" s="2">
        <v>128</v>
      </c>
      <c r="G936" s="2">
        <f t="shared" si="148"/>
        <v>20</v>
      </c>
      <c r="H936" s="2">
        <f t="shared" si="149"/>
        <v>20</v>
      </c>
      <c r="I936" s="2">
        <v>0</v>
      </c>
      <c r="J936" s="44" t="s">
        <v>48</v>
      </c>
      <c r="K936" s="2" t="s">
        <v>49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/>
      <c r="AM936" s="2" t="s">
        <v>1568</v>
      </c>
      <c r="AN936" s="2">
        <f t="shared" si="141"/>
        <v>0</v>
      </c>
      <c r="AO936" s="2">
        <f t="shared" si="142"/>
        <v>0</v>
      </c>
      <c r="AP936" s="2">
        <f t="shared" si="143"/>
        <v>0</v>
      </c>
      <c r="AQ936" s="2">
        <f t="shared" si="144"/>
        <v>0</v>
      </c>
      <c r="AR936" s="2">
        <f t="shared" si="145"/>
        <v>0</v>
      </c>
      <c r="AS936" s="2">
        <f t="shared" si="146"/>
        <v>0</v>
      </c>
      <c r="AT936" s="25">
        <f t="shared" si="147"/>
        <v>0</v>
      </c>
    </row>
    <row r="937" spans="1:46">
      <c r="A937" s="24">
        <v>46139</v>
      </c>
      <c r="B937" s="23">
        <f t="shared" si="140"/>
        <v>46113</v>
      </c>
      <c r="C937" s="2" t="s">
        <v>63</v>
      </c>
      <c r="D937" s="2" t="s">
        <v>148</v>
      </c>
      <c r="E937" s="2">
        <v>77031</v>
      </c>
      <c r="F937" s="2">
        <v>184</v>
      </c>
      <c r="G937" s="2">
        <f t="shared" si="148"/>
        <v>32</v>
      </c>
      <c r="H937" s="2">
        <f t="shared" si="149"/>
        <v>31</v>
      </c>
      <c r="I937" s="2">
        <v>1</v>
      </c>
      <c r="J937" s="44" t="s">
        <v>48</v>
      </c>
      <c r="K937" s="2" t="s">
        <v>49</v>
      </c>
      <c r="L937" s="2">
        <v>0</v>
      </c>
      <c r="M937" s="2">
        <v>1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/>
      <c r="AM937" s="2" t="s">
        <v>1568</v>
      </c>
      <c r="AN937" s="2">
        <f t="shared" si="141"/>
        <v>0</v>
      </c>
      <c r="AO937" s="2">
        <f t="shared" si="142"/>
        <v>1</v>
      </c>
      <c r="AP937" s="2">
        <f t="shared" si="143"/>
        <v>0</v>
      </c>
      <c r="AQ937" s="2">
        <f t="shared" si="144"/>
        <v>0</v>
      </c>
      <c r="AR937" s="2">
        <f t="shared" si="145"/>
        <v>0</v>
      </c>
      <c r="AS937" s="2">
        <f t="shared" si="146"/>
        <v>0</v>
      </c>
      <c r="AT937" s="25">
        <f t="shared" si="147"/>
        <v>0</v>
      </c>
    </row>
    <row r="938" spans="1:46">
      <c r="A938" s="24">
        <v>46139</v>
      </c>
      <c r="B938" s="23">
        <f t="shared" si="140"/>
        <v>46113</v>
      </c>
      <c r="C938" s="2" t="s">
        <v>63</v>
      </c>
      <c r="D938" s="2" t="s">
        <v>1304</v>
      </c>
      <c r="E938" s="2">
        <v>6027</v>
      </c>
      <c r="F938" s="2">
        <v>169</v>
      </c>
      <c r="G938" s="2">
        <f t="shared" si="148"/>
        <v>32</v>
      </c>
      <c r="H938" s="2">
        <f t="shared" si="149"/>
        <v>32</v>
      </c>
      <c r="I938" s="2">
        <v>0</v>
      </c>
      <c r="J938" s="44" t="s">
        <v>48</v>
      </c>
      <c r="K938" s="2" t="s">
        <v>49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/>
      <c r="AM938" s="2" t="s">
        <v>1568</v>
      </c>
      <c r="AN938" s="2">
        <f t="shared" si="141"/>
        <v>0</v>
      </c>
      <c r="AO938" s="2">
        <f t="shared" si="142"/>
        <v>0</v>
      </c>
      <c r="AP938" s="2">
        <f t="shared" si="143"/>
        <v>0</v>
      </c>
      <c r="AQ938" s="2">
        <f t="shared" si="144"/>
        <v>0</v>
      </c>
      <c r="AR938" s="2">
        <f t="shared" si="145"/>
        <v>0</v>
      </c>
      <c r="AS938" s="2">
        <f t="shared" si="146"/>
        <v>0</v>
      </c>
      <c r="AT938" s="25">
        <f t="shared" si="147"/>
        <v>0</v>
      </c>
    </row>
    <row r="939" spans="1:46">
      <c r="A939" s="24">
        <v>46139</v>
      </c>
      <c r="B939" s="23">
        <f t="shared" si="140"/>
        <v>46113</v>
      </c>
      <c r="C939" s="2" t="s">
        <v>63</v>
      </c>
      <c r="D939" s="2" t="s">
        <v>65</v>
      </c>
      <c r="E939" s="2">
        <v>2598</v>
      </c>
      <c r="F939" s="2">
        <v>125</v>
      </c>
      <c r="G939" s="2">
        <f t="shared" si="148"/>
        <v>20</v>
      </c>
      <c r="H939" s="2">
        <f t="shared" si="149"/>
        <v>20</v>
      </c>
      <c r="I939" s="2">
        <v>0</v>
      </c>
      <c r="J939" s="44" t="s">
        <v>48</v>
      </c>
      <c r="K939" s="2" t="s">
        <v>49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/>
      <c r="AM939" s="2" t="s">
        <v>1568</v>
      </c>
      <c r="AN939" s="2">
        <f t="shared" si="141"/>
        <v>0</v>
      </c>
      <c r="AO939" s="2">
        <f t="shared" si="142"/>
        <v>0</v>
      </c>
      <c r="AP939" s="2">
        <f t="shared" si="143"/>
        <v>0</v>
      </c>
      <c r="AQ939" s="2">
        <f t="shared" si="144"/>
        <v>0</v>
      </c>
      <c r="AR939" s="2">
        <f t="shared" si="145"/>
        <v>0</v>
      </c>
      <c r="AS939" s="2">
        <f t="shared" si="146"/>
        <v>0</v>
      </c>
      <c r="AT939" s="25">
        <f t="shared" si="147"/>
        <v>0</v>
      </c>
    </row>
    <row r="940" spans="1:46">
      <c r="A940" s="24">
        <v>46139</v>
      </c>
      <c r="B940" s="23">
        <f t="shared" si="140"/>
        <v>46113</v>
      </c>
      <c r="C940" s="2" t="s">
        <v>63</v>
      </c>
      <c r="D940" s="2" t="s">
        <v>65</v>
      </c>
      <c r="E940" s="2">
        <v>2598</v>
      </c>
      <c r="F940" s="2">
        <v>225</v>
      </c>
      <c r="G940" s="2">
        <f t="shared" si="148"/>
        <v>32</v>
      </c>
      <c r="H940" s="2">
        <f t="shared" si="149"/>
        <v>27</v>
      </c>
      <c r="I940" s="2">
        <v>5</v>
      </c>
      <c r="J940" s="44" t="s">
        <v>67</v>
      </c>
      <c r="K940" s="2" t="s">
        <v>49</v>
      </c>
      <c r="L940" s="2">
        <v>5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/>
      <c r="AM940" s="2" t="s">
        <v>1568</v>
      </c>
      <c r="AN940" s="2">
        <f t="shared" si="141"/>
        <v>5</v>
      </c>
      <c r="AO940" s="2">
        <f t="shared" si="142"/>
        <v>0</v>
      </c>
      <c r="AP940" s="2">
        <f t="shared" si="143"/>
        <v>0</v>
      </c>
      <c r="AQ940" s="2">
        <f t="shared" si="144"/>
        <v>0</v>
      </c>
      <c r="AR940" s="2">
        <f t="shared" si="145"/>
        <v>0</v>
      </c>
      <c r="AS940" s="2">
        <f t="shared" si="146"/>
        <v>0</v>
      </c>
      <c r="AT940" s="25">
        <f t="shared" si="147"/>
        <v>0</v>
      </c>
    </row>
    <row r="941" spans="1:46">
      <c r="A941" s="24">
        <v>46139</v>
      </c>
      <c r="B941" s="23">
        <f t="shared" si="140"/>
        <v>46113</v>
      </c>
      <c r="C941" s="2" t="s">
        <v>62</v>
      </c>
      <c r="D941" s="2" t="s">
        <v>130</v>
      </c>
      <c r="E941" s="2">
        <v>2656</v>
      </c>
      <c r="F941" s="2">
        <v>51</v>
      </c>
      <c r="G941" s="2">
        <f t="shared" si="148"/>
        <v>20</v>
      </c>
      <c r="H941" s="2">
        <f t="shared" si="149"/>
        <v>20</v>
      </c>
      <c r="I941" s="2">
        <v>0</v>
      </c>
      <c r="J941" s="44" t="s">
        <v>48</v>
      </c>
      <c r="K941" s="2" t="s">
        <v>49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/>
      <c r="AM941" s="2" t="s">
        <v>1568</v>
      </c>
      <c r="AN941" s="2">
        <f t="shared" si="141"/>
        <v>0</v>
      </c>
      <c r="AO941" s="2">
        <f t="shared" si="142"/>
        <v>0</v>
      </c>
      <c r="AP941" s="2">
        <f t="shared" si="143"/>
        <v>0</v>
      </c>
      <c r="AQ941" s="2">
        <f t="shared" si="144"/>
        <v>0</v>
      </c>
      <c r="AR941" s="2">
        <f t="shared" si="145"/>
        <v>0</v>
      </c>
      <c r="AS941" s="2">
        <f t="shared" si="146"/>
        <v>0</v>
      </c>
      <c r="AT941" s="25">
        <f t="shared" si="147"/>
        <v>0</v>
      </c>
    </row>
    <row r="942" spans="1:46">
      <c r="A942" s="24">
        <v>46139</v>
      </c>
      <c r="B942" s="23">
        <f t="shared" si="140"/>
        <v>46113</v>
      </c>
      <c r="C942" s="2" t="s">
        <v>63</v>
      </c>
      <c r="D942" s="2" t="s">
        <v>1391</v>
      </c>
      <c r="E942" s="2">
        <v>1802</v>
      </c>
      <c r="F942" s="2">
        <v>150</v>
      </c>
      <c r="G942" s="2">
        <f t="shared" si="148"/>
        <v>20</v>
      </c>
      <c r="H942" s="2">
        <f t="shared" si="149"/>
        <v>20</v>
      </c>
      <c r="I942" s="2">
        <v>0</v>
      </c>
      <c r="J942" s="44" t="s">
        <v>48</v>
      </c>
      <c r="K942" s="2" t="s">
        <v>49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/>
      <c r="AM942" s="2" t="s">
        <v>1568</v>
      </c>
      <c r="AN942" s="2">
        <f t="shared" si="141"/>
        <v>0</v>
      </c>
      <c r="AO942" s="2">
        <f t="shared" si="142"/>
        <v>0</v>
      </c>
      <c r="AP942" s="2">
        <f t="shared" si="143"/>
        <v>0</v>
      </c>
      <c r="AQ942" s="2">
        <f t="shared" si="144"/>
        <v>0</v>
      </c>
      <c r="AR942" s="2">
        <f t="shared" si="145"/>
        <v>0</v>
      </c>
      <c r="AS942" s="2">
        <f t="shared" si="146"/>
        <v>0</v>
      </c>
      <c r="AT942" s="25">
        <f t="shared" si="147"/>
        <v>0</v>
      </c>
    </row>
    <row r="943" spans="1:46">
      <c r="A943" s="24">
        <v>46139</v>
      </c>
      <c r="B943" s="23">
        <f t="shared" si="140"/>
        <v>46113</v>
      </c>
      <c r="C943" s="2" t="s">
        <v>63</v>
      </c>
      <c r="D943" s="2" t="s">
        <v>225</v>
      </c>
      <c r="E943" s="2">
        <v>2598</v>
      </c>
      <c r="F943" s="2">
        <v>510</v>
      </c>
      <c r="G943" s="2">
        <f t="shared" si="148"/>
        <v>80</v>
      </c>
      <c r="H943" s="2">
        <f t="shared" si="149"/>
        <v>77</v>
      </c>
      <c r="I943" s="2">
        <v>3</v>
      </c>
      <c r="J943" s="44" t="s">
        <v>48</v>
      </c>
      <c r="K943" s="2" t="s">
        <v>49</v>
      </c>
      <c r="L943" s="2">
        <v>3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/>
      <c r="AM943" s="2" t="s">
        <v>1568</v>
      </c>
      <c r="AN943" s="2">
        <f t="shared" si="141"/>
        <v>3</v>
      </c>
      <c r="AO943" s="2">
        <f t="shared" si="142"/>
        <v>0</v>
      </c>
      <c r="AP943" s="2">
        <f t="shared" si="143"/>
        <v>0</v>
      </c>
      <c r="AQ943" s="2">
        <f t="shared" si="144"/>
        <v>0</v>
      </c>
      <c r="AR943" s="2">
        <f t="shared" si="145"/>
        <v>0</v>
      </c>
      <c r="AS943" s="2">
        <f t="shared" si="146"/>
        <v>0</v>
      </c>
      <c r="AT943" s="25">
        <f t="shared" si="147"/>
        <v>0</v>
      </c>
    </row>
    <row r="944" spans="1:46">
      <c r="A944" s="24">
        <v>46139</v>
      </c>
      <c r="B944" s="23">
        <f t="shared" si="140"/>
        <v>46113</v>
      </c>
      <c r="C944" s="2" t="s">
        <v>62</v>
      </c>
      <c r="D944" s="2" t="s">
        <v>78</v>
      </c>
      <c r="E944" s="2">
        <v>3305</v>
      </c>
      <c r="F944" s="2">
        <v>53</v>
      </c>
      <c r="G944" s="2">
        <f t="shared" si="148"/>
        <v>20</v>
      </c>
      <c r="H944" s="2">
        <f t="shared" si="149"/>
        <v>20</v>
      </c>
      <c r="I944" s="2">
        <v>0</v>
      </c>
      <c r="J944" s="44" t="s">
        <v>48</v>
      </c>
      <c r="K944" s="2" t="s">
        <v>49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/>
      <c r="AM944" s="2" t="s">
        <v>1568</v>
      </c>
      <c r="AN944" s="2">
        <f t="shared" si="141"/>
        <v>0</v>
      </c>
      <c r="AO944" s="2">
        <f t="shared" si="142"/>
        <v>0</v>
      </c>
      <c r="AP944" s="2">
        <f t="shared" si="143"/>
        <v>0</v>
      </c>
      <c r="AQ944" s="2">
        <f t="shared" si="144"/>
        <v>0</v>
      </c>
      <c r="AR944" s="2">
        <f t="shared" si="145"/>
        <v>0</v>
      </c>
      <c r="AS944" s="2">
        <f t="shared" si="146"/>
        <v>0</v>
      </c>
      <c r="AT944" s="25">
        <f t="shared" si="147"/>
        <v>0</v>
      </c>
    </row>
    <row r="945" spans="1:46">
      <c r="A945" s="24">
        <v>46139</v>
      </c>
      <c r="B945" s="23">
        <f t="shared" si="140"/>
        <v>46113</v>
      </c>
      <c r="C945" s="2" t="s">
        <v>62</v>
      </c>
      <c r="D945" s="2" t="s">
        <v>78</v>
      </c>
      <c r="E945" s="2">
        <v>3305</v>
      </c>
      <c r="F945" s="2">
        <v>56</v>
      </c>
      <c r="G945" s="2">
        <f t="shared" si="148"/>
        <v>20</v>
      </c>
      <c r="H945" s="2">
        <f t="shared" si="149"/>
        <v>20</v>
      </c>
      <c r="I945" s="2">
        <v>0</v>
      </c>
      <c r="J945" s="44" t="s">
        <v>48</v>
      </c>
      <c r="K945" s="2" t="s">
        <v>49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/>
      <c r="AM945" s="2" t="s">
        <v>1568</v>
      </c>
      <c r="AN945" s="2">
        <f t="shared" si="141"/>
        <v>0</v>
      </c>
      <c r="AO945" s="2">
        <f t="shared" si="142"/>
        <v>0</v>
      </c>
      <c r="AP945" s="2">
        <f t="shared" si="143"/>
        <v>0</v>
      </c>
      <c r="AQ945" s="2">
        <f t="shared" si="144"/>
        <v>0</v>
      </c>
      <c r="AR945" s="2">
        <f t="shared" si="145"/>
        <v>0</v>
      </c>
      <c r="AS945" s="2">
        <f t="shared" si="146"/>
        <v>0</v>
      </c>
      <c r="AT945" s="25">
        <f t="shared" si="147"/>
        <v>0</v>
      </c>
    </row>
    <row r="946" spans="1:46">
      <c r="A946" s="24">
        <v>46139</v>
      </c>
      <c r="B946" s="23">
        <f t="shared" si="140"/>
        <v>46113</v>
      </c>
      <c r="C946" s="2" t="s">
        <v>63</v>
      </c>
      <c r="D946" s="2" t="s">
        <v>225</v>
      </c>
      <c r="E946" s="2">
        <v>2598</v>
      </c>
      <c r="F946" s="2">
        <v>870</v>
      </c>
      <c r="G946" s="2">
        <f t="shared" si="148"/>
        <v>80</v>
      </c>
      <c r="H946" s="2">
        <f t="shared" si="149"/>
        <v>79</v>
      </c>
      <c r="I946" s="2">
        <v>1</v>
      </c>
      <c r="J946" s="44" t="s">
        <v>48</v>
      </c>
      <c r="K946" s="2" t="s">
        <v>49</v>
      </c>
      <c r="L946" s="2">
        <v>1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/>
      <c r="AM946" s="2" t="s">
        <v>1568</v>
      </c>
      <c r="AN946" s="2">
        <f t="shared" si="141"/>
        <v>1</v>
      </c>
      <c r="AO946" s="2">
        <f t="shared" si="142"/>
        <v>0</v>
      </c>
      <c r="AP946" s="2">
        <f t="shared" si="143"/>
        <v>0</v>
      </c>
      <c r="AQ946" s="2">
        <f t="shared" si="144"/>
        <v>0</v>
      </c>
      <c r="AR946" s="2">
        <f t="shared" si="145"/>
        <v>0</v>
      </c>
      <c r="AS946" s="2">
        <f t="shared" si="146"/>
        <v>0</v>
      </c>
      <c r="AT946" s="25">
        <f t="shared" si="147"/>
        <v>0</v>
      </c>
    </row>
    <row r="947" spans="1:46">
      <c r="A947" s="24">
        <v>46139</v>
      </c>
      <c r="B947" s="23">
        <f t="shared" si="140"/>
        <v>46113</v>
      </c>
      <c r="C947" s="2" t="s">
        <v>63</v>
      </c>
      <c r="D947" s="2" t="s">
        <v>105</v>
      </c>
      <c r="E947" s="2">
        <v>3291</v>
      </c>
      <c r="F947" s="2">
        <v>939</v>
      </c>
      <c r="G947" s="2">
        <f t="shared" si="148"/>
        <v>80</v>
      </c>
      <c r="H947" s="2">
        <f t="shared" si="149"/>
        <v>79</v>
      </c>
      <c r="I947" s="2">
        <v>1</v>
      </c>
      <c r="J947" s="44" t="s">
        <v>48</v>
      </c>
      <c r="K947" s="2" t="s">
        <v>49</v>
      </c>
      <c r="L947" s="2">
        <v>1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/>
      <c r="AM947" s="2" t="s">
        <v>1568</v>
      </c>
      <c r="AN947" s="2">
        <f t="shared" si="141"/>
        <v>1</v>
      </c>
      <c r="AO947" s="2">
        <f t="shared" si="142"/>
        <v>0</v>
      </c>
      <c r="AP947" s="2">
        <f t="shared" si="143"/>
        <v>0</v>
      </c>
      <c r="AQ947" s="2">
        <f t="shared" si="144"/>
        <v>0</v>
      </c>
      <c r="AR947" s="2">
        <f t="shared" si="145"/>
        <v>0</v>
      </c>
      <c r="AS947" s="2">
        <f t="shared" si="146"/>
        <v>0</v>
      </c>
      <c r="AT947" s="25">
        <f t="shared" si="147"/>
        <v>0</v>
      </c>
    </row>
    <row r="948" spans="1:46">
      <c r="A948" s="24">
        <v>46139</v>
      </c>
      <c r="B948" s="23">
        <f t="shared" si="140"/>
        <v>46113</v>
      </c>
      <c r="C948" s="2" t="s">
        <v>62</v>
      </c>
      <c r="D948" s="2" t="s">
        <v>144</v>
      </c>
      <c r="E948" s="2">
        <v>3305</v>
      </c>
      <c r="F948" s="2">
        <v>150</v>
      </c>
      <c r="G948" s="2">
        <f t="shared" si="148"/>
        <v>20</v>
      </c>
      <c r="H948" s="2">
        <f t="shared" si="149"/>
        <v>19</v>
      </c>
      <c r="I948" s="2">
        <v>1</v>
      </c>
      <c r="J948" s="44" t="s">
        <v>48</v>
      </c>
      <c r="K948" s="2" t="s">
        <v>49</v>
      </c>
      <c r="L948" s="2">
        <v>1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/>
      <c r="AM948" s="2" t="s">
        <v>1568</v>
      </c>
      <c r="AN948" s="2">
        <f t="shared" si="141"/>
        <v>1</v>
      </c>
      <c r="AO948" s="2">
        <f t="shared" si="142"/>
        <v>0</v>
      </c>
      <c r="AP948" s="2">
        <f t="shared" si="143"/>
        <v>0</v>
      </c>
      <c r="AQ948" s="2">
        <f t="shared" si="144"/>
        <v>0</v>
      </c>
      <c r="AR948" s="2">
        <f t="shared" si="145"/>
        <v>0</v>
      </c>
      <c r="AS948" s="2">
        <f t="shared" si="146"/>
        <v>0</v>
      </c>
      <c r="AT948" s="25">
        <f t="shared" si="147"/>
        <v>0</v>
      </c>
    </row>
    <row r="949" spans="1:46">
      <c r="A949" s="24">
        <v>46139</v>
      </c>
      <c r="B949" s="23">
        <f t="shared" si="140"/>
        <v>46113</v>
      </c>
      <c r="C949" s="2" t="s">
        <v>62</v>
      </c>
      <c r="D949" s="2" t="s">
        <v>151</v>
      </c>
      <c r="E949" s="2">
        <v>3290</v>
      </c>
      <c r="F949" s="2">
        <v>93</v>
      </c>
      <c r="G949" s="2">
        <f t="shared" si="148"/>
        <v>20</v>
      </c>
      <c r="H949" s="2">
        <f t="shared" si="149"/>
        <v>19</v>
      </c>
      <c r="I949" s="2">
        <v>1</v>
      </c>
      <c r="J949" s="44" t="s">
        <v>48</v>
      </c>
      <c r="K949" s="2" t="s">
        <v>49</v>
      </c>
      <c r="L949" s="2">
        <v>1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/>
      <c r="AM949" s="2" t="s">
        <v>1568</v>
      </c>
      <c r="AN949" s="2">
        <f t="shared" si="141"/>
        <v>1</v>
      </c>
      <c r="AO949" s="2">
        <f t="shared" si="142"/>
        <v>0</v>
      </c>
      <c r="AP949" s="2">
        <f t="shared" si="143"/>
        <v>0</v>
      </c>
      <c r="AQ949" s="2">
        <f t="shared" si="144"/>
        <v>0</v>
      </c>
      <c r="AR949" s="2">
        <f t="shared" si="145"/>
        <v>0</v>
      </c>
      <c r="AS949" s="2">
        <f t="shared" si="146"/>
        <v>0</v>
      </c>
      <c r="AT949" s="25">
        <f t="shared" si="147"/>
        <v>0</v>
      </c>
    </row>
    <row r="950" spans="1:46">
      <c r="A950" s="24">
        <v>46139</v>
      </c>
      <c r="B950" s="23">
        <f t="shared" si="140"/>
        <v>46113</v>
      </c>
      <c r="C950" s="2" t="s">
        <v>66</v>
      </c>
      <c r="D950" s="2" t="s">
        <v>68</v>
      </c>
      <c r="E950" s="2">
        <v>2638</v>
      </c>
      <c r="F950" s="2">
        <v>470</v>
      </c>
      <c r="G950" s="2">
        <f t="shared" si="148"/>
        <v>50</v>
      </c>
      <c r="H950" s="2">
        <f t="shared" si="149"/>
        <v>50</v>
      </c>
      <c r="I950" s="2">
        <v>0</v>
      </c>
      <c r="J950" s="44" t="s">
        <v>48</v>
      </c>
      <c r="K950" s="2" t="s">
        <v>49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/>
      <c r="AM950" s="2" t="s">
        <v>110</v>
      </c>
      <c r="AN950" s="2">
        <f t="shared" si="141"/>
        <v>0</v>
      </c>
      <c r="AO950" s="2">
        <f t="shared" si="142"/>
        <v>0</v>
      </c>
      <c r="AP950" s="2">
        <f t="shared" si="143"/>
        <v>0</v>
      </c>
      <c r="AQ950" s="2">
        <f t="shared" si="144"/>
        <v>0</v>
      </c>
      <c r="AR950" s="2">
        <f t="shared" si="145"/>
        <v>0</v>
      </c>
      <c r="AS950" s="2">
        <f t="shared" si="146"/>
        <v>0</v>
      </c>
      <c r="AT950" s="25">
        <f t="shared" si="147"/>
        <v>0</v>
      </c>
    </row>
    <row r="951" spans="1:46">
      <c r="A951" s="24">
        <v>46139</v>
      </c>
      <c r="B951" s="23">
        <f t="shared" si="140"/>
        <v>46113</v>
      </c>
      <c r="C951" s="2" t="s">
        <v>66</v>
      </c>
      <c r="D951" s="2" t="s">
        <v>230</v>
      </c>
      <c r="E951" s="2">
        <v>2131</v>
      </c>
      <c r="F951" s="2">
        <v>68</v>
      </c>
      <c r="G951" s="2">
        <f t="shared" si="148"/>
        <v>20</v>
      </c>
      <c r="H951" s="2">
        <f t="shared" si="149"/>
        <v>18</v>
      </c>
      <c r="I951" s="2">
        <v>2</v>
      </c>
      <c r="J951" s="44" t="s">
        <v>67</v>
      </c>
      <c r="K951" s="2" t="s">
        <v>49</v>
      </c>
      <c r="L951" s="2">
        <v>2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/>
      <c r="AM951" s="2" t="s">
        <v>110</v>
      </c>
      <c r="AN951" s="2">
        <f t="shared" si="141"/>
        <v>2</v>
      </c>
      <c r="AO951" s="2">
        <f t="shared" si="142"/>
        <v>0</v>
      </c>
      <c r="AP951" s="2">
        <f t="shared" si="143"/>
        <v>0</v>
      </c>
      <c r="AQ951" s="2">
        <f t="shared" si="144"/>
        <v>0</v>
      </c>
      <c r="AR951" s="2">
        <f t="shared" si="145"/>
        <v>0</v>
      </c>
      <c r="AS951" s="2">
        <f t="shared" si="146"/>
        <v>0</v>
      </c>
      <c r="AT951" s="25">
        <f t="shared" si="147"/>
        <v>0</v>
      </c>
    </row>
    <row r="952" spans="1:46">
      <c r="A952" s="24">
        <v>46139</v>
      </c>
      <c r="B952" s="23">
        <f t="shared" si="140"/>
        <v>46113</v>
      </c>
      <c r="C952" s="2" t="s">
        <v>66</v>
      </c>
      <c r="D952" s="2" t="s">
        <v>191</v>
      </c>
      <c r="E952" s="2">
        <v>1899</v>
      </c>
      <c r="F952" s="2">
        <v>144</v>
      </c>
      <c r="G952" s="2">
        <f t="shared" si="148"/>
        <v>20</v>
      </c>
      <c r="H952" s="2">
        <f t="shared" si="149"/>
        <v>19</v>
      </c>
      <c r="I952" s="2">
        <v>1</v>
      </c>
      <c r="J952" s="44" t="s">
        <v>48</v>
      </c>
      <c r="K952" s="2" t="s">
        <v>49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1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/>
      <c r="AM952" s="2" t="s">
        <v>110</v>
      </c>
      <c r="AN952" s="2">
        <f t="shared" si="141"/>
        <v>0</v>
      </c>
      <c r="AO952" s="2">
        <f t="shared" si="142"/>
        <v>1</v>
      </c>
      <c r="AP952" s="2">
        <f t="shared" si="143"/>
        <v>0</v>
      </c>
      <c r="AQ952" s="2">
        <f t="shared" si="144"/>
        <v>0</v>
      </c>
      <c r="AR952" s="2">
        <f t="shared" si="145"/>
        <v>0</v>
      </c>
      <c r="AS952" s="2">
        <f t="shared" si="146"/>
        <v>0</v>
      </c>
      <c r="AT952" s="25">
        <f t="shared" si="147"/>
        <v>0</v>
      </c>
    </row>
    <row r="953" spans="1:46">
      <c r="A953" s="24">
        <v>46139</v>
      </c>
      <c r="B953" s="23">
        <f t="shared" si="140"/>
        <v>46113</v>
      </c>
      <c r="C953" s="2" t="s">
        <v>66</v>
      </c>
      <c r="D953" s="2" t="s">
        <v>189</v>
      </c>
      <c r="E953" s="2">
        <v>1770</v>
      </c>
      <c r="F953" s="2">
        <v>460</v>
      </c>
      <c r="G953" s="2">
        <f t="shared" si="148"/>
        <v>50</v>
      </c>
      <c r="H953" s="2">
        <f t="shared" si="149"/>
        <v>50</v>
      </c>
      <c r="I953" s="2">
        <v>0</v>
      </c>
      <c r="J953" s="44" t="s">
        <v>48</v>
      </c>
      <c r="K953" s="2" t="s">
        <v>49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/>
      <c r="AM953" s="2" t="s">
        <v>110</v>
      </c>
      <c r="AN953" s="2">
        <f t="shared" si="141"/>
        <v>0</v>
      </c>
      <c r="AO953" s="2">
        <f t="shared" si="142"/>
        <v>0</v>
      </c>
      <c r="AP953" s="2">
        <f t="shared" si="143"/>
        <v>0</v>
      </c>
      <c r="AQ953" s="2">
        <f t="shared" si="144"/>
        <v>0</v>
      </c>
      <c r="AR953" s="2">
        <f t="shared" si="145"/>
        <v>0</v>
      </c>
      <c r="AS953" s="2">
        <f t="shared" si="146"/>
        <v>0</v>
      </c>
      <c r="AT953" s="25">
        <f t="shared" si="147"/>
        <v>0</v>
      </c>
    </row>
    <row r="954" spans="1:46">
      <c r="A954" s="24">
        <v>46139</v>
      </c>
      <c r="B954" s="23">
        <f t="shared" si="140"/>
        <v>46113</v>
      </c>
      <c r="C954" s="2" t="s">
        <v>66</v>
      </c>
      <c r="D954" s="2" t="s">
        <v>230</v>
      </c>
      <c r="E954" s="2">
        <v>2131</v>
      </c>
      <c r="F954" s="2">
        <v>66</v>
      </c>
      <c r="G954" s="2">
        <f t="shared" si="148"/>
        <v>20</v>
      </c>
      <c r="H954" s="2">
        <f t="shared" si="149"/>
        <v>20</v>
      </c>
      <c r="I954" s="2">
        <v>0</v>
      </c>
      <c r="J954" s="44" t="s">
        <v>48</v>
      </c>
      <c r="K954" s="2" t="s">
        <v>49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/>
      <c r="AM954" s="2" t="s">
        <v>110</v>
      </c>
      <c r="AN954" s="2">
        <f t="shared" si="141"/>
        <v>0</v>
      </c>
      <c r="AO954" s="2">
        <f t="shared" si="142"/>
        <v>0</v>
      </c>
      <c r="AP954" s="2">
        <f t="shared" si="143"/>
        <v>0</v>
      </c>
      <c r="AQ954" s="2">
        <f t="shared" si="144"/>
        <v>0</v>
      </c>
      <c r="AR954" s="2">
        <f t="shared" si="145"/>
        <v>0</v>
      </c>
      <c r="AS954" s="2">
        <f t="shared" si="146"/>
        <v>0</v>
      </c>
      <c r="AT954" s="25">
        <f t="shared" si="147"/>
        <v>0</v>
      </c>
    </row>
    <row r="955" spans="1:46">
      <c r="A955" s="24">
        <v>46140</v>
      </c>
      <c r="B955" s="23">
        <f t="shared" si="140"/>
        <v>46113</v>
      </c>
      <c r="C955" s="2" t="s">
        <v>62</v>
      </c>
      <c r="D955" s="2" t="s">
        <v>329</v>
      </c>
      <c r="E955" s="2">
        <v>3305</v>
      </c>
      <c r="F955" s="2">
        <v>104</v>
      </c>
      <c r="G955" s="2">
        <f t="shared" si="148"/>
        <v>20</v>
      </c>
      <c r="H955" s="2">
        <f t="shared" si="149"/>
        <v>19</v>
      </c>
      <c r="I955" s="2">
        <v>1</v>
      </c>
      <c r="J955" s="44" t="s">
        <v>48</v>
      </c>
      <c r="K955" s="2" t="s">
        <v>49</v>
      </c>
      <c r="L955" s="2">
        <v>1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/>
      <c r="AM955" s="2" t="s">
        <v>77</v>
      </c>
      <c r="AN955" s="2">
        <f t="shared" si="141"/>
        <v>1</v>
      </c>
      <c r="AO955" s="2">
        <f t="shared" si="142"/>
        <v>0</v>
      </c>
      <c r="AP955" s="2">
        <f t="shared" si="143"/>
        <v>0</v>
      </c>
      <c r="AQ955" s="2">
        <f t="shared" si="144"/>
        <v>0</v>
      </c>
      <c r="AR955" s="2">
        <f t="shared" si="145"/>
        <v>0</v>
      </c>
      <c r="AS955" s="2">
        <f t="shared" si="146"/>
        <v>0</v>
      </c>
      <c r="AT955" s="25">
        <f t="shared" si="147"/>
        <v>0</v>
      </c>
    </row>
    <row r="956" spans="1:46">
      <c r="A956" s="24">
        <v>46140</v>
      </c>
      <c r="B956" s="23">
        <f t="shared" si="140"/>
        <v>46113</v>
      </c>
      <c r="C956" s="2" t="s">
        <v>63</v>
      </c>
      <c r="D956" s="2" t="s">
        <v>257</v>
      </c>
      <c r="E956" s="2">
        <v>2574</v>
      </c>
      <c r="F956" s="2">
        <v>230</v>
      </c>
      <c r="G956" s="2">
        <f t="shared" si="148"/>
        <v>32</v>
      </c>
      <c r="H956" s="2">
        <f t="shared" si="149"/>
        <v>32</v>
      </c>
      <c r="I956" s="2">
        <v>0</v>
      </c>
      <c r="J956" s="44" t="s">
        <v>48</v>
      </c>
      <c r="K956" s="2" t="s">
        <v>49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/>
      <c r="AM956" s="2" t="s">
        <v>77</v>
      </c>
      <c r="AN956" s="2">
        <f t="shared" si="141"/>
        <v>0</v>
      </c>
      <c r="AO956" s="2">
        <f t="shared" si="142"/>
        <v>0</v>
      </c>
      <c r="AP956" s="2">
        <f t="shared" si="143"/>
        <v>0</v>
      </c>
      <c r="AQ956" s="2">
        <f t="shared" si="144"/>
        <v>0</v>
      </c>
      <c r="AR956" s="2">
        <f t="shared" si="145"/>
        <v>0</v>
      </c>
      <c r="AS956" s="2">
        <f t="shared" si="146"/>
        <v>0</v>
      </c>
      <c r="AT956" s="25">
        <f t="shared" si="147"/>
        <v>0</v>
      </c>
    </row>
    <row r="957" spans="1:46">
      <c r="A957" s="24">
        <v>46140</v>
      </c>
      <c r="B957" s="23">
        <f t="shared" si="140"/>
        <v>46113</v>
      </c>
      <c r="C957" s="2" t="s">
        <v>62</v>
      </c>
      <c r="D957" s="2" t="s">
        <v>194</v>
      </c>
      <c r="E957" s="2">
        <v>3305</v>
      </c>
      <c r="F957" s="2">
        <v>450</v>
      </c>
      <c r="G957" s="2">
        <f t="shared" si="148"/>
        <v>50</v>
      </c>
      <c r="H957" s="2">
        <f t="shared" si="149"/>
        <v>50</v>
      </c>
      <c r="I957" s="2">
        <v>0</v>
      </c>
      <c r="J957" s="44" t="s">
        <v>48</v>
      </c>
      <c r="K957" s="2" t="s">
        <v>49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/>
      <c r="AM957" s="2" t="s">
        <v>77</v>
      </c>
      <c r="AN957" s="2">
        <f t="shared" si="141"/>
        <v>0</v>
      </c>
      <c r="AO957" s="2">
        <f t="shared" si="142"/>
        <v>0</v>
      </c>
      <c r="AP957" s="2">
        <f t="shared" si="143"/>
        <v>0</v>
      </c>
      <c r="AQ957" s="2">
        <f t="shared" si="144"/>
        <v>0</v>
      </c>
      <c r="AR957" s="2">
        <f t="shared" si="145"/>
        <v>0</v>
      </c>
      <c r="AS957" s="2">
        <f t="shared" si="146"/>
        <v>0</v>
      </c>
      <c r="AT957" s="25">
        <f t="shared" si="147"/>
        <v>0</v>
      </c>
    </row>
    <row r="958" spans="1:46">
      <c r="A958" s="24">
        <v>46140</v>
      </c>
      <c r="B958" s="23">
        <f t="shared" si="140"/>
        <v>46113</v>
      </c>
      <c r="C958" s="2" t="s">
        <v>62</v>
      </c>
      <c r="D958" s="2" t="s">
        <v>1408</v>
      </c>
      <c r="E958" s="2">
        <v>3330</v>
      </c>
      <c r="F958" s="2">
        <v>78</v>
      </c>
      <c r="G958" s="2">
        <f t="shared" si="148"/>
        <v>20</v>
      </c>
      <c r="H958" s="2">
        <f t="shared" si="149"/>
        <v>20</v>
      </c>
      <c r="I958" s="2">
        <v>0</v>
      </c>
      <c r="J958" s="44" t="s">
        <v>48</v>
      </c>
      <c r="K958" s="2" t="s">
        <v>49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/>
      <c r="AM958" s="2" t="s">
        <v>77</v>
      </c>
      <c r="AN958" s="2">
        <f t="shared" si="141"/>
        <v>0</v>
      </c>
      <c r="AO958" s="2">
        <f t="shared" si="142"/>
        <v>0</v>
      </c>
      <c r="AP958" s="2">
        <f t="shared" si="143"/>
        <v>0</v>
      </c>
      <c r="AQ958" s="2">
        <f t="shared" si="144"/>
        <v>0</v>
      </c>
      <c r="AR958" s="2">
        <f t="shared" si="145"/>
        <v>0</v>
      </c>
      <c r="AS958" s="2">
        <f t="shared" si="146"/>
        <v>0</v>
      </c>
      <c r="AT958" s="25">
        <f t="shared" si="147"/>
        <v>0</v>
      </c>
    </row>
    <row r="959" spans="1:46">
      <c r="A959" s="24">
        <v>46140</v>
      </c>
      <c r="B959" s="23">
        <f t="shared" si="140"/>
        <v>46113</v>
      </c>
      <c r="C959" s="2" t="s">
        <v>62</v>
      </c>
      <c r="D959" s="2" t="s">
        <v>1406</v>
      </c>
      <c r="E959" s="2">
        <v>3330</v>
      </c>
      <c r="F959" s="2">
        <v>56</v>
      </c>
      <c r="G959" s="2">
        <f t="shared" si="148"/>
        <v>20</v>
      </c>
      <c r="H959" s="2">
        <f t="shared" si="149"/>
        <v>20</v>
      </c>
      <c r="I959" s="2">
        <v>0</v>
      </c>
      <c r="J959" s="44" t="s">
        <v>48</v>
      </c>
      <c r="K959" s="2" t="s">
        <v>49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/>
      <c r="AM959" s="2" t="s">
        <v>77</v>
      </c>
      <c r="AN959" s="2">
        <f t="shared" si="141"/>
        <v>0</v>
      </c>
      <c r="AO959" s="2">
        <f t="shared" si="142"/>
        <v>0</v>
      </c>
      <c r="AP959" s="2">
        <f t="shared" si="143"/>
        <v>0</v>
      </c>
      <c r="AQ959" s="2">
        <f t="shared" si="144"/>
        <v>0</v>
      </c>
      <c r="AR959" s="2">
        <f t="shared" si="145"/>
        <v>0</v>
      </c>
      <c r="AS959" s="2">
        <f t="shared" si="146"/>
        <v>0</v>
      </c>
      <c r="AT959" s="25">
        <f t="shared" si="147"/>
        <v>0</v>
      </c>
    </row>
    <row r="960" spans="1:46">
      <c r="A960" s="24">
        <v>46140</v>
      </c>
      <c r="B960" s="23">
        <f t="shared" si="140"/>
        <v>46113</v>
      </c>
      <c r="C960" s="2" t="s">
        <v>63</v>
      </c>
      <c r="D960" s="2" t="s">
        <v>143</v>
      </c>
      <c r="E960" s="2">
        <v>3255</v>
      </c>
      <c r="F960" s="2">
        <v>100</v>
      </c>
      <c r="G960" s="2">
        <f t="shared" si="148"/>
        <v>20</v>
      </c>
      <c r="H960" s="2">
        <f t="shared" si="149"/>
        <v>19</v>
      </c>
      <c r="I960" s="2">
        <v>1</v>
      </c>
      <c r="J960" s="44" t="s">
        <v>48</v>
      </c>
      <c r="K960" s="2" t="s">
        <v>49</v>
      </c>
      <c r="L960" s="2">
        <v>1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/>
      <c r="AM960" s="2" t="s">
        <v>77</v>
      </c>
      <c r="AN960" s="2">
        <f t="shared" si="141"/>
        <v>1</v>
      </c>
      <c r="AO960" s="2">
        <f t="shared" si="142"/>
        <v>0</v>
      </c>
      <c r="AP960" s="2">
        <f t="shared" si="143"/>
        <v>0</v>
      </c>
      <c r="AQ960" s="2">
        <f t="shared" si="144"/>
        <v>0</v>
      </c>
      <c r="AR960" s="2">
        <f t="shared" si="145"/>
        <v>0</v>
      </c>
      <c r="AS960" s="2">
        <f t="shared" si="146"/>
        <v>0</v>
      </c>
      <c r="AT960" s="25">
        <f t="shared" si="147"/>
        <v>0</v>
      </c>
    </row>
    <row r="961" spans="1:46">
      <c r="A961" s="24">
        <v>46140</v>
      </c>
      <c r="B961" s="23">
        <f t="shared" si="140"/>
        <v>46113</v>
      </c>
      <c r="C961" s="2" t="s">
        <v>63</v>
      </c>
      <c r="D961" s="2" t="s">
        <v>65</v>
      </c>
      <c r="E961" s="2">
        <v>2598</v>
      </c>
      <c r="F961" s="2">
        <v>215</v>
      </c>
      <c r="G961" s="2">
        <f t="shared" si="148"/>
        <v>32</v>
      </c>
      <c r="H961" s="2">
        <f t="shared" si="149"/>
        <v>32</v>
      </c>
      <c r="I961" s="2">
        <v>0</v>
      </c>
      <c r="J961" s="44" t="s">
        <v>48</v>
      </c>
      <c r="K961" s="2" t="s">
        <v>49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/>
      <c r="AM961" s="2" t="s">
        <v>77</v>
      </c>
      <c r="AN961" s="2">
        <f t="shared" si="141"/>
        <v>0</v>
      </c>
      <c r="AO961" s="2">
        <f t="shared" si="142"/>
        <v>0</v>
      </c>
      <c r="AP961" s="2">
        <f t="shared" si="143"/>
        <v>0</v>
      </c>
      <c r="AQ961" s="2">
        <f t="shared" si="144"/>
        <v>0</v>
      </c>
      <c r="AR961" s="2">
        <f t="shared" si="145"/>
        <v>0</v>
      </c>
      <c r="AS961" s="2">
        <f t="shared" si="146"/>
        <v>0</v>
      </c>
      <c r="AT961" s="25">
        <f t="shared" si="147"/>
        <v>0</v>
      </c>
    </row>
    <row r="962" spans="1:46">
      <c r="A962" s="24">
        <v>46140</v>
      </c>
      <c r="B962" s="23">
        <f t="shared" ref="B962:B1025" si="150">EOMONTH(A962,-1)+1</f>
        <v>46113</v>
      </c>
      <c r="C962" s="2" t="s">
        <v>62</v>
      </c>
      <c r="D962" s="2" t="s">
        <v>278</v>
      </c>
      <c r="E962" s="2">
        <v>6282</v>
      </c>
      <c r="F962" s="2">
        <v>180</v>
      </c>
      <c r="G962" s="2">
        <f t="shared" si="148"/>
        <v>32</v>
      </c>
      <c r="H962" s="2">
        <f t="shared" si="149"/>
        <v>32</v>
      </c>
      <c r="I962" s="2">
        <v>0</v>
      </c>
      <c r="J962" s="44" t="s">
        <v>48</v>
      </c>
      <c r="K962" s="2" t="s">
        <v>49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/>
      <c r="AM962" s="2" t="s">
        <v>1568</v>
      </c>
      <c r="AN962" s="2">
        <f t="shared" ref="AN962:AN1025" si="151">+L962+AI962</f>
        <v>0</v>
      </c>
      <c r="AO962" s="2">
        <f t="shared" ref="AO962:AO1025" si="152">+M962+N962+O962+P962+Q962+R962+S962+T962+U962+V962</f>
        <v>0</v>
      </c>
      <c r="AP962" s="2">
        <f t="shared" ref="AP962:AP1025" si="153">+AE962+AF962</f>
        <v>0</v>
      </c>
      <c r="AQ962" s="2">
        <f t="shared" ref="AQ962:AQ1025" si="154">+AK962+AD962+AC962+AJ962</f>
        <v>0</v>
      </c>
      <c r="AR962" s="2">
        <f t="shared" ref="AR962:AR1025" si="155">+W962+X962+Y962+Z962+AA962+AB962</f>
        <v>0</v>
      </c>
      <c r="AS962" s="2">
        <f t="shared" ref="AS962:AS1025" si="156">+AG962</f>
        <v>0</v>
      </c>
      <c r="AT962" s="25">
        <f t="shared" ref="AT962:AT1025" si="157">+AH962</f>
        <v>0</v>
      </c>
    </row>
    <row r="963" spans="1:46">
      <c r="A963" s="24">
        <v>46140</v>
      </c>
      <c r="B963" s="23">
        <f t="shared" si="150"/>
        <v>46113</v>
      </c>
      <c r="C963" s="2" t="s">
        <v>62</v>
      </c>
      <c r="D963" s="2" t="s">
        <v>224</v>
      </c>
      <c r="E963" s="2">
        <v>6259</v>
      </c>
      <c r="F963" s="2">
        <v>198</v>
      </c>
      <c r="G963" s="2">
        <f t="shared" ref="G963:G1026" si="158">IF(F963&lt;1001,IF(F963&gt;500,80,IF(F963&gt;280,50,IF(F963&gt;150,32,IF(F963&lt;51,F963,20)))),125)</f>
        <v>32</v>
      </c>
      <c r="H963" s="2">
        <f t="shared" ref="H963:H1026" si="159">G963-I963</f>
        <v>32</v>
      </c>
      <c r="I963" s="2">
        <v>0</v>
      </c>
      <c r="J963" s="44" t="s">
        <v>48</v>
      </c>
      <c r="K963" s="2" t="s">
        <v>49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/>
      <c r="AM963" s="2" t="s">
        <v>1568</v>
      </c>
      <c r="AN963" s="2">
        <f t="shared" si="151"/>
        <v>0</v>
      </c>
      <c r="AO963" s="2">
        <f t="shared" si="152"/>
        <v>0</v>
      </c>
      <c r="AP963" s="2">
        <f t="shared" si="153"/>
        <v>0</v>
      </c>
      <c r="AQ963" s="2">
        <f t="shared" si="154"/>
        <v>0</v>
      </c>
      <c r="AR963" s="2">
        <f t="shared" si="155"/>
        <v>0</v>
      </c>
      <c r="AS963" s="2">
        <f t="shared" si="156"/>
        <v>0</v>
      </c>
      <c r="AT963" s="25">
        <f t="shared" si="157"/>
        <v>0</v>
      </c>
    </row>
    <row r="964" spans="1:46">
      <c r="A964" s="24">
        <v>46140</v>
      </c>
      <c r="B964" s="23">
        <f t="shared" si="150"/>
        <v>46113</v>
      </c>
      <c r="C964" s="2" t="s">
        <v>63</v>
      </c>
      <c r="D964" s="2" t="s">
        <v>202</v>
      </c>
      <c r="E964" s="2">
        <v>6247</v>
      </c>
      <c r="F964" s="2">
        <v>216</v>
      </c>
      <c r="G964" s="2">
        <f t="shared" si="158"/>
        <v>32</v>
      </c>
      <c r="H964" s="2">
        <f t="shared" si="159"/>
        <v>31</v>
      </c>
      <c r="I964" s="2">
        <v>1</v>
      </c>
      <c r="J964" s="44" t="s">
        <v>48</v>
      </c>
      <c r="K964" s="2" t="s">
        <v>49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1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/>
      <c r="AM964" s="2" t="s">
        <v>1568</v>
      </c>
      <c r="AN964" s="2">
        <f t="shared" si="151"/>
        <v>0</v>
      </c>
      <c r="AO964" s="2">
        <f t="shared" si="152"/>
        <v>1</v>
      </c>
      <c r="AP964" s="2">
        <f t="shared" si="153"/>
        <v>0</v>
      </c>
      <c r="AQ964" s="2">
        <f t="shared" si="154"/>
        <v>0</v>
      </c>
      <c r="AR964" s="2">
        <f t="shared" si="155"/>
        <v>0</v>
      </c>
      <c r="AS964" s="2">
        <f t="shared" si="156"/>
        <v>0</v>
      </c>
      <c r="AT964" s="25">
        <f t="shared" si="157"/>
        <v>0</v>
      </c>
    </row>
    <row r="965" spans="1:46">
      <c r="A965" s="24">
        <v>46140</v>
      </c>
      <c r="B965" s="23">
        <f t="shared" si="150"/>
        <v>46113</v>
      </c>
      <c r="C965" s="2" t="s">
        <v>72</v>
      </c>
      <c r="D965" s="2" t="s">
        <v>88</v>
      </c>
      <c r="E965" s="2">
        <v>1825</v>
      </c>
      <c r="F965" s="2">
        <v>108</v>
      </c>
      <c r="G965" s="2">
        <f t="shared" si="158"/>
        <v>20</v>
      </c>
      <c r="H965" s="2">
        <f t="shared" si="159"/>
        <v>19</v>
      </c>
      <c r="I965" s="2">
        <v>1</v>
      </c>
      <c r="J965" s="44" t="s">
        <v>48</v>
      </c>
      <c r="K965" s="2" t="s">
        <v>49</v>
      </c>
      <c r="L965" s="2">
        <v>1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/>
      <c r="AM965" s="2" t="s">
        <v>103</v>
      </c>
      <c r="AN965" s="2">
        <f t="shared" si="151"/>
        <v>1</v>
      </c>
      <c r="AO965" s="2">
        <f t="shared" si="152"/>
        <v>0</v>
      </c>
      <c r="AP965" s="2">
        <f t="shared" si="153"/>
        <v>0</v>
      </c>
      <c r="AQ965" s="2">
        <f t="shared" si="154"/>
        <v>0</v>
      </c>
      <c r="AR965" s="2">
        <f t="shared" si="155"/>
        <v>0</v>
      </c>
      <c r="AS965" s="2">
        <f t="shared" si="156"/>
        <v>0</v>
      </c>
      <c r="AT965" s="25">
        <f t="shared" si="157"/>
        <v>0</v>
      </c>
    </row>
    <row r="966" spans="1:46">
      <c r="A966" s="24">
        <v>46140</v>
      </c>
      <c r="B966" s="23">
        <f t="shared" si="150"/>
        <v>46113</v>
      </c>
      <c r="C966" s="2" t="s">
        <v>72</v>
      </c>
      <c r="D966" s="2" t="s">
        <v>84</v>
      </c>
      <c r="E966" s="2">
        <v>1825</v>
      </c>
      <c r="F966" s="2">
        <v>224</v>
      </c>
      <c r="G966" s="2">
        <f t="shared" si="158"/>
        <v>32</v>
      </c>
      <c r="H966" s="2">
        <f t="shared" si="159"/>
        <v>31</v>
      </c>
      <c r="I966" s="2">
        <v>1</v>
      </c>
      <c r="J966" s="44" t="s">
        <v>48</v>
      </c>
      <c r="K966" s="2" t="s">
        <v>49</v>
      </c>
      <c r="L966" s="2">
        <v>1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/>
      <c r="AM966" s="2" t="s">
        <v>103</v>
      </c>
      <c r="AN966" s="2">
        <f t="shared" si="151"/>
        <v>1</v>
      </c>
      <c r="AO966" s="2">
        <f t="shared" si="152"/>
        <v>0</v>
      </c>
      <c r="AP966" s="2">
        <f t="shared" si="153"/>
        <v>0</v>
      </c>
      <c r="AQ966" s="2">
        <f t="shared" si="154"/>
        <v>0</v>
      </c>
      <c r="AR966" s="2">
        <f t="shared" si="155"/>
        <v>0</v>
      </c>
      <c r="AS966" s="2">
        <f t="shared" si="156"/>
        <v>0</v>
      </c>
      <c r="AT966" s="25">
        <f t="shared" si="157"/>
        <v>0</v>
      </c>
    </row>
    <row r="967" spans="1:46">
      <c r="A967" s="24">
        <v>46140</v>
      </c>
      <c r="B967" s="23">
        <f t="shared" si="150"/>
        <v>46113</v>
      </c>
      <c r="C967" s="2" t="s">
        <v>72</v>
      </c>
      <c r="D967" s="2" t="s">
        <v>70</v>
      </c>
      <c r="E967" s="2">
        <v>1825</v>
      </c>
      <c r="F967" s="2">
        <v>280</v>
      </c>
      <c r="G967" s="2">
        <f t="shared" si="158"/>
        <v>32</v>
      </c>
      <c r="H967" s="2">
        <f t="shared" si="159"/>
        <v>31</v>
      </c>
      <c r="I967" s="2">
        <v>1</v>
      </c>
      <c r="J967" s="44" t="s">
        <v>48</v>
      </c>
      <c r="K967" s="2" t="s">
        <v>49</v>
      </c>
      <c r="L967" s="2">
        <v>1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/>
      <c r="AM967" s="2" t="s">
        <v>103</v>
      </c>
      <c r="AN967" s="2">
        <f t="shared" si="151"/>
        <v>1</v>
      </c>
      <c r="AO967" s="2">
        <f t="shared" si="152"/>
        <v>0</v>
      </c>
      <c r="AP967" s="2">
        <f t="shared" si="153"/>
        <v>0</v>
      </c>
      <c r="AQ967" s="2">
        <f t="shared" si="154"/>
        <v>0</v>
      </c>
      <c r="AR967" s="2">
        <f t="shared" si="155"/>
        <v>0</v>
      </c>
      <c r="AS967" s="2">
        <f t="shared" si="156"/>
        <v>0</v>
      </c>
      <c r="AT967" s="25">
        <f t="shared" si="157"/>
        <v>0</v>
      </c>
    </row>
    <row r="968" spans="1:46">
      <c r="A968" s="24">
        <v>46140</v>
      </c>
      <c r="B968" s="23">
        <f t="shared" si="150"/>
        <v>46113</v>
      </c>
      <c r="C968" s="2" t="s">
        <v>114</v>
      </c>
      <c r="D968" s="2" t="s">
        <v>325</v>
      </c>
      <c r="E968" s="2">
        <v>7080</v>
      </c>
      <c r="F968" s="2">
        <v>137</v>
      </c>
      <c r="G968" s="2">
        <f t="shared" si="158"/>
        <v>20</v>
      </c>
      <c r="H968" s="2">
        <f t="shared" si="159"/>
        <v>20</v>
      </c>
      <c r="I968" s="2">
        <v>0</v>
      </c>
      <c r="J968" s="44" t="s">
        <v>48</v>
      </c>
      <c r="K968" s="2" t="s">
        <v>49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/>
      <c r="AM968" s="2" t="s">
        <v>103</v>
      </c>
      <c r="AN968" s="2">
        <f t="shared" si="151"/>
        <v>0</v>
      </c>
      <c r="AO968" s="2">
        <f t="shared" si="152"/>
        <v>0</v>
      </c>
      <c r="AP968" s="2">
        <f t="shared" si="153"/>
        <v>0</v>
      </c>
      <c r="AQ968" s="2">
        <f t="shared" si="154"/>
        <v>0</v>
      </c>
      <c r="AR968" s="2">
        <f t="shared" si="155"/>
        <v>0</v>
      </c>
      <c r="AS968" s="2">
        <f t="shared" si="156"/>
        <v>0</v>
      </c>
      <c r="AT968" s="25">
        <f t="shared" si="157"/>
        <v>0</v>
      </c>
    </row>
    <row r="969" spans="1:46">
      <c r="A969" s="24">
        <v>46140</v>
      </c>
      <c r="B969" s="23">
        <f t="shared" si="150"/>
        <v>46113</v>
      </c>
      <c r="C969" s="2" t="s">
        <v>72</v>
      </c>
      <c r="D969" s="2" t="s">
        <v>86</v>
      </c>
      <c r="E969" s="2">
        <v>6303</v>
      </c>
      <c r="F969" s="2">
        <v>944</v>
      </c>
      <c r="G969" s="2">
        <f t="shared" si="158"/>
        <v>80</v>
      </c>
      <c r="H969" s="2">
        <f t="shared" si="159"/>
        <v>80</v>
      </c>
      <c r="I969" s="2">
        <v>0</v>
      </c>
      <c r="J969" s="44" t="s">
        <v>48</v>
      </c>
      <c r="K969" s="2" t="s">
        <v>49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/>
      <c r="AM969" s="2" t="s">
        <v>103</v>
      </c>
      <c r="AN969" s="2">
        <f t="shared" si="151"/>
        <v>0</v>
      </c>
      <c r="AO969" s="2">
        <f t="shared" si="152"/>
        <v>0</v>
      </c>
      <c r="AP969" s="2">
        <f t="shared" si="153"/>
        <v>0</v>
      </c>
      <c r="AQ969" s="2">
        <f t="shared" si="154"/>
        <v>0</v>
      </c>
      <c r="AR969" s="2">
        <f t="shared" si="155"/>
        <v>0</v>
      </c>
      <c r="AS969" s="2">
        <f t="shared" si="156"/>
        <v>0</v>
      </c>
      <c r="AT969" s="25">
        <f t="shared" si="157"/>
        <v>0</v>
      </c>
    </row>
    <row r="970" spans="1:46">
      <c r="A970" s="24">
        <v>46140</v>
      </c>
      <c r="B970" s="23">
        <f t="shared" si="150"/>
        <v>46113</v>
      </c>
      <c r="C970" s="2" t="s">
        <v>72</v>
      </c>
      <c r="D970" s="2" t="s">
        <v>1218</v>
      </c>
      <c r="E970" s="2">
        <v>6258</v>
      </c>
      <c r="F970" s="2">
        <v>156</v>
      </c>
      <c r="G970" s="2">
        <f t="shared" si="158"/>
        <v>32</v>
      </c>
      <c r="H970" s="2">
        <f t="shared" si="159"/>
        <v>32</v>
      </c>
      <c r="I970" s="2">
        <v>0</v>
      </c>
      <c r="J970" s="44" t="s">
        <v>48</v>
      </c>
      <c r="K970" s="2" t="s">
        <v>49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/>
      <c r="AM970" s="2" t="s">
        <v>103</v>
      </c>
      <c r="AN970" s="2">
        <f t="shared" si="151"/>
        <v>0</v>
      </c>
      <c r="AO970" s="2">
        <f t="shared" si="152"/>
        <v>0</v>
      </c>
      <c r="AP970" s="2">
        <f t="shared" si="153"/>
        <v>0</v>
      </c>
      <c r="AQ970" s="2">
        <f t="shared" si="154"/>
        <v>0</v>
      </c>
      <c r="AR970" s="2">
        <f t="shared" si="155"/>
        <v>0</v>
      </c>
      <c r="AS970" s="2">
        <f t="shared" si="156"/>
        <v>0</v>
      </c>
      <c r="AT970" s="25">
        <f t="shared" si="157"/>
        <v>0</v>
      </c>
    </row>
    <row r="971" spans="1:46">
      <c r="A971" s="24">
        <v>46140</v>
      </c>
      <c r="B971" s="23">
        <f t="shared" si="150"/>
        <v>46113</v>
      </c>
      <c r="C971" s="2" t="s">
        <v>114</v>
      </c>
      <c r="D971" s="2" t="s">
        <v>1221</v>
      </c>
      <c r="E971" s="2">
        <v>7155</v>
      </c>
      <c r="F971" s="2">
        <v>83</v>
      </c>
      <c r="G971" s="2">
        <f t="shared" si="158"/>
        <v>20</v>
      </c>
      <c r="H971" s="2">
        <f t="shared" si="159"/>
        <v>19</v>
      </c>
      <c r="I971" s="2">
        <v>1</v>
      </c>
      <c r="J971" s="44" t="s">
        <v>48</v>
      </c>
      <c r="K971" s="2" t="s">
        <v>49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1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/>
      <c r="AM971" s="2" t="s">
        <v>103</v>
      </c>
      <c r="AN971" s="2">
        <f t="shared" si="151"/>
        <v>0</v>
      </c>
      <c r="AO971" s="2">
        <f t="shared" si="152"/>
        <v>0</v>
      </c>
      <c r="AP971" s="2">
        <f t="shared" si="153"/>
        <v>1</v>
      </c>
      <c r="AQ971" s="2">
        <f t="shared" si="154"/>
        <v>0</v>
      </c>
      <c r="AR971" s="2">
        <f t="shared" si="155"/>
        <v>0</v>
      </c>
      <c r="AS971" s="2">
        <f t="shared" si="156"/>
        <v>0</v>
      </c>
      <c r="AT971" s="25">
        <f t="shared" si="157"/>
        <v>0</v>
      </c>
    </row>
    <row r="972" spans="1:46">
      <c r="A972" s="24">
        <v>46140</v>
      </c>
      <c r="B972" s="23">
        <f t="shared" si="150"/>
        <v>46113</v>
      </c>
      <c r="C972" s="2" t="s">
        <v>160</v>
      </c>
      <c r="D972" s="2" t="s">
        <v>161</v>
      </c>
      <c r="E972" s="2">
        <v>3272</v>
      </c>
      <c r="F972" s="2">
        <v>71</v>
      </c>
      <c r="G972" s="2">
        <f t="shared" si="158"/>
        <v>20</v>
      </c>
      <c r="H972" s="2">
        <f t="shared" si="159"/>
        <v>16</v>
      </c>
      <c r="I972" s="2">
        <v>4</v>
      </c>
      <c r="J972" s="44" t="s">
        <v>67</v>
      </c>
      <c r="K972" s="2" t="s">
        <v>49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3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1</v>
      </c>
      <c r="AH972" s="2">
        <v>0</v>
      </c>
      <c r="AI972" s="2">
        <v>0</v>
      </c>
      <c r="AJ972" s="2">
        <v>0</v>
      </c>
      <c r="AK972" s="2">
        <v>0</v>
      </c>
      <c r="AL972" s="2"/>
      <c r="AM972" s="2" t="s">
        <v>93</v>
      </c>
      <c r="AN972" s="2">
        <f t="shared" si="151"/>
        <v>0</v>
      </c>
      <c r="AO972" s="2">
        <f t="shared" si="152"/>
        <v>0</v>
      </c>
      <c r="AP972" s="2">
        <f t="shared" si="153"/>
        <v>0</v>
      </c>
      <c r="AQ972" s="2">
        <f t="shared" si="154"/>
        <v>0</v>
      </c>
      <c r="AR972" s="2">
        <f t="shared" si="155"/>
        <v>3</v>
      </c>
      <c r="AS972" s="2">
        <f t="shared" si="156"/>
        <v>1</v>
      </c>
      <c r="AT972" s="25">
        <f t="shared" si="157"/>
        <v>0</v>
      </c>
    </row>
    <row r="973" spans="1:46">
      <c r="A973" s="24">
        <v>46140</v>
      </c>
      <c r="B973" s="23">
        <f t="shared" si="150"/>
        <v>46113</v>
      </c>
      <c r="C973" s="2" t="s">
        <v>82</v>
      </c>
      <c r="D973" s="2" t="s">
        <v>235</v>
      </c>
      <c r="E973" s="2">
        <v>3294</v>
      </c>
      <c r="F973" s="2">
        <v>151</v>
      </c>
      <c r="G973" s="2">
        <f t="shared" si="158"/>
        <v>32</v>
      </c>
      <c r="H973" s="2">
        <f t="shared" si="159"/>
        <v>32</v>
      </c>
      <c r="I973" s="2">
        <v>0</v>
      </c>
      <c r="J973" s="44" t="s">
        <v>48</v>
      </c>
      <c r="K973" s="2" t="s">
        <v>49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/>
      <c r="AM973" s="2" t="s">
        <v>93</v>
      </c>
      <c r="AN973" s="2">
        <f t="shared" si="151"/>
        <v>0</v>
      </c>
      <c r="AO973" s="2">
        <f t="shared" si="152"/>
        <v>0</v>
      </c>
      <c r="AP973" s="2">
        <f t="shared" si="153"/>
        <v>0</v>
      </c>
      <c r="AQ973" s="2">
        <f t="shared" si="154"/>
        <v>0</v>
      </c>
      <c r="AR973" s="2">
        <f t="shared" si="155"/>
        <v>0</v>
      </c>
      <c r="AS973" s="2">
        <f t="shared" si="156"/>
        <v>0</v>
      </c>
      <c r="AT973" s="25">
        <f t="shared" si="157"/>
        <v>0</v>
      </c>
    </row>
    <row r="974" spans="1:46">
      <c r="A974" s="24">
        <v>46140</v>
      </c>
      <c r="B974" s="23">
        <f t="shared" si="150"/>
        <v>46113</v>
      </c>
      <c r="C974" s="2" t="s">
        <v>160</v>
      </c>
      <c r="D974" s="2" t="s">
        <v>161</v>
      </c>
      <c r="E974" s="2">
        <v>3272</v>
      </c>
      <c r="F974" s="2">
        <v>60</v>
      </c>
      <c r="G974" s="2">
        <f t="shared" si="158"/>
        <v>20</v>
      </c>
      <c r="H974" s="2">
        <f t="shared" si="159"/>
        <v>19</v>
      </c>
      <c r="I974" s="2">
        <v>1</v>
      </c>
      <c r="J974" s="44" t="s">
        <v>48</v>
      </c>
      <c r="K974" s="2" t="s">
        <v>49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1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/>
      <c r="AM974" s="2" t="s">
        <v>93</v>
      </c>
      <c r="AN974" s="2">
        <f t="shared" si="151"/>
        <v>0</v>
      </c>
      <c r="AO974" s="2">
        <f t="shared" si="152"/>
        <v>0</v>
      </c>
      <c r="AP974" s="2">
        <f t="shared" si="153"/>
        <v>0</v>
      </c>
      <c r="AQ974" s="2">
        <f t="shared" si="154"/>
        <v>0</v>
      </c>
      <c r="AR974" s="2">
        <f t="shared" si="155"/>
        <v>1</v>
      </c>
      <c r="AS974" s="2">
        <f t="shared" si="156"/>
        <v>0</v>
      </c>
      <c r="AT974" s="25">
        <f t="shared" si="157"/>
        <v>0</v>
      </c>
    </row>
    <row r="975" spans="1:46">
      <c r="A975" s="24">
        <v>46140</v>
      </c>
      <c r="B975" s="23">
        <f t="shared" si="150"/>
        <v>46113</v>
      </c>
      <c r="C975" s="2" t="s">
        <v>82</v>
      </c>
      <c r="D975" s="2" t="s">
        <v>206</v>
      </c>
      <c r="E975" s="2">
        <v>8141</v>
      </c>
      <c r="F975" s="2">
        <v>530</v>
      </c>
      <c r="G975" s="2">
        <f t="shared" si="158"/>
        <v>80</v>
      </c>
      <c r="H975" s="2">
        <f t="shared" si="159"/>
        <v>79</v>
      </c>
      <c r="I975" s="2">
        <v>1</v>
      </c>
      <c r="J975" s="44" t="s">
        <v>48</v>
      </c>
      <c r="K975" s="2" t="s">
        <v>49</v>
      </c>
      <c r="L975" s="2">
        <v>1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/>
      <c r="AM975" s="2" t="s">
        <v>93</v>
      </c>
      <c r="AN975" s="2">
        <f t="shared" si="151"/>
        <v>1</v>
      </c>
      <c r="AO975" s="2">
        <f t="shared" si="152"/>
        <v>0</v>
      </c>
      <c r="AP975" s="2">
        <f t="shared" si="153"/>
        <v>0</v>
      </c>
      <c r="AQ975" s="2">
        <f t="shared" si="154"/>
        <v>0</v>
      </c>
      <c r="AR975" s="2">
        <f t="shared" si="155"/>
        <v>0</v>
      </c>
      <c r="AS975" s="2">
        <f t="shared" si="156"/>
        <v>0</v>
      </c>
      <c r="AT975" s="25">
        <f t="shared" si="157"/>
        <v>0</v>
      </c>
    </row>
    <row r="976" spans="1:46">
      <c r="A976" s="24">
        <v>46140</v>
      </c>
      <c r="B976" s="23">
        <f t="shared" si="150"/>
        <v>46113</v>
      </c>
      <c r="C976" s="2" t="s">
        <v>82</v>
      </c>
      <c r="D976" s="2" t="s">
        <v>90</v>
      </c>
      <c r="E976" s="2">
        <v>8141</v>
      </c>
      <c r="F976" s="2">
        <v>67</v>
      </c>
      <c r="G976" s="2">
        <f t="shared" si="158"/>
        <v>20</v>
      </c>
      <c r="H976" s="2">
        <f t="shared" si="159"/>
        <v>20</v>
      </c>
      <c r="I976" s="2">
        <v>0</v>
      </c>
      <c r="J976" s="44" t="s">
        <v>48</v>
      </c>
      <c r="K976" s="2" t="s">
        <v>49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/>
      <c r="AM976" s="2" t="s">
        <v>93</v>
      </c>
      <c r="AN976" s="2">
        <f t="shared" si="151"/>
        <v>0</v>
      </c>
      <c r="AO976" s="2">
        <f t="shared" si="152"/>
        <v>0</v>
      </c>
      <c r="AP976" s="2">
        <f t="shared" si="153"/>
        <v>0</v>
      </c>
      <c r="AQ976" s="2">
        <f t="shared" si="154"/>
        <v>0</v>
      </c>
      <c r="AR976" s="2">
        <f t="shared" si="155"/>
        <v>0</v>
      </c>
      <c r="AS976" s="2">
        <f t="shared" si="156"/>
        <v>0</v>
      </c>
      <c r="AT976" s="25">
        <f t="shared" si="157"/>
        <v>0</v>
      </c>
    </row>
    <row r="977" spans="1:46">
      <c r="A977" s="24">
        <v>46140</v>
      </c>
      <c r="B977" s="23">
        <f t="shared" si="150"/>
        <v>46113</v>
      </c>
      <c r="C977" s="2" t="s">
        <v>160</v>
      </c>
      <c r="D977" s="2" t="s">
        <v>100</v>
      </c>
      <c r="E977" s="2">
        <v>6237</v>
      </c>
      <c r="F977" s="2">
        <v>400</v>
      </c>
      <c r="G977" s="2">
        <f t="shared" si="158"/>
        <v>50</v>
      </c>
      <c r="H977" s="2">
        <f t="shared" si="159"/>
        <v>50</v>
      </c>
      <c r="I977" s="2">
        <v>0</v>
      </c>
      <c r="J977" s="44" t="s">
        <v>48</v>
      </c>
      <c r="K977" s="2" t="s">
        <v>49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/>
      <c r="AM977" s="2" t="s">
        <v>93</v>
      </c>
      <c r="AN977" s="2">
        <f t="shared" si="151"/>
        <v>0</v>
      </c>
      <c r="AO977" s="2">
        <f t="shared" si="152"/>
        <v>0</v>
      </c>
      <c r="AP977" s="2">
        <f t="shared" si="153"/>
        <v>0</v>
      </c>
      <c r="AQ977" s="2">
        <f t="shared" si="154"/>
        <v>0</v>
      </c>
      <c r="AR977" s="2">
        <f t="shared" si="155"/>
        <v>0</v>
      </c>
      <c r="AS977" s="2">
        <f t="shared" si="156"/>
        <v>0</v>
      </c>
      <c r="AT977" s="25">
        <f t="shared" si="157"/>
        <v>0</v>
      </c>
    </row>
    <row r="978" spans="1:46">
      <c r="A978" s="24">
        <v>46140</v>
      </c>
      <c r="B978" s="23">
        <f t="shared" si="150"/>
        <v>46113</v>
      </c>
      <c r="C978" s="2" t="s">
        <v>66</v>
      </c>
      <c r="D978" s="2" t="s">
        <v>201</v>
      </c>
      <c r="E978" s="2">
        <v>6283</v>
      </c>
      <c r="F978" s="2">
        <v>260</v>
      </c>
      <c r="G978" s="2">
        <f t="shared" si="158"/>
        <v>32</v>
      </c>
      <c r="H978" s="2">
        <f t="shared" si="159"/>
        <v>31</v>
      </c>
      <c r="I978" s="2">
        <v>1</v>
      </c>
      <c r="J978" s="44" t="s">
        <v>48</v>
      </c>
      <c r="K978" s="2" t="s">
        <v>49</v>
      </c>
      <c r="L978" s="2">
        <v>1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/>
      <c r="AM978" s="2" t="s">
        <v>110</v>
      </c>
      <c r="AN978" s="2">
        <f t="shared" si="151"/>
        <v>1</v>
      </c>
      <c r="AO978" s="2">
        <f t="shared" si="152"/>
        <v>0</v>
      </c>
      <c r="AP978" s="2">
        <f t="shared" si="153"/>
        <v>0</v>
      </c>
      <c r="AQ978" s="2">
        <f t="shared" si="154"/>
        <v>0</v>
      </c>
      <c r="AR978" s="2">
        <f t="shared" si="155"/>
        <v>0</v>
      </c>
      <c r="AS978" s="2">
        <f t="shared" si="156"/>
        <v>0</v>
      </c>
      <c r="AT978" s="25">
        <f t="shared" si="157"/>
        <v>0</v>
      </c>
    </row>
    <row r="979" spans="1:46">
      <c r="A979" s="24">
        <v>46140</v>
      </c>
      <c r="B979" s="23">
        <f t="shared" si="150"/>
        <v>46113</v>
      </c>
      <c r="C979" s="2" t="s">
        <v>66</v>
      </c>
      <c r="D979" s="2" t="s">
        <v>187</v>
      </c>
      <c r="E979" s="2">
        <v>6210</v>
      </c>
      <c r="F979" s="2">
        <v>64</v>
      </c>
      <c r="G979" s="2">
        <f t="shared" si="158"/>
        <v>20</v>
      </c>
      <c r="H979" s="2">
        <f t="shared" si="159"/>
        <v>15</v>
      </c>
      <c r="I979" s="2">
        <v>5</v>
      </c>
      <c r="J979" s="44" t="s">
        <v>67</v>
      </c>
      <c r="K979" s="2" t="s">
        <v>49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5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/>
      <c r="AM979" s="2" t="s">
        <v>110</v>
      </c>
      <c r="AN979" s="2">
        <f t="shared" si="151"/>
        <v>0</v>
      </c>
      <c r="AO979" s="2">
        <f t="shared" si="152"/>
        <v>5</v>
      </c>
      <c r="AP979" s="2">
        <f t="shared" si="153"/>
        <v>0</v>
      </c>
      <c r="AQ979" s="2">
        <f t="shared" si="154"/>
        <v>0</v>
      </c>
      <c r="AR979" s="2">
        <f t="shared" si="155"/>
        <v>0</v>
      </c>
      <c r="AS979" s="2">
        <f t="shared" si="156"/>
        <v>0</v>
      </c>
      <c r="AT979" s="25">
        <f t="shared" si="157"/>
        <v>0</v>
      </c>
    </row>
    <row r="980" spans="1:46">
      <c r="A980" s="24">
        <v>46140</v>
      </c>
      <c r="B980" s="23">
        <f t="shared" si="150"/>
        <v>46113</v>
      </c>
      <c r="C980" s="2" t="s">
        <v>66</v>
      </c>
      <c r="D980" s="2" t="s">
        <v>69</v>
      </c>
      <c r="E980" s="2">
        <v>6210</v>
      </c>
      <c r="F980" s="2">
        <v>156</v>
      </c>
      <c r="G980" s="2">
        <f t="shared" si="158"/>
        <v>32</v>
      </c>
      <c r="H980" s="2">
        <f t="shared" si="159"/>
        <v>32</v>
      </c>
      <c r="I980" s="2">
        <v>0</v>
      </c>
      <c r="J980" s="44" t="s">
        <v>48</v>
      </c>
      <c r="K980" s="2" t="s">
        <v>49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/>
      <c r="AM980" s="2" t="s">
        <v>110</v>
      </c>
      <c r="AN980" s="2">
        <f t="shared" si="151"/>
        <v>0</v>
      </c>
      <c r="AO980" s="2">
        <f t="shared" si="152"/>
        <v>0</v>
      </c>
      <c r="AP980" s="2">
        <f t="shared" si="153"/>
        <v>0</v>
      </c>
      <c r="AQ980" s="2">
        <f t="shared" si="154"/>
        <v>0</v>
      </c>
      <c r="AR980" s="2">
        <f t="shared" si="155"/>
        <v>0</v>
      </c>
      <c r="AS980" s="2">
        <f t="shared" si="156"/>
        <v>0</v>
      </c>
      <c r="AT980" s="25">
        <f t="shared" si="157"/>
        <v>0</v>
      </c>
    </row>
    <row r="981" spans="1:46">
      <c r="A981" s="24">
        <v>46140</v>
      </c>
      <c r="B981" s="23">
        <f t="shared" si="150"/>
        <v>46113</v>
      </c>
      <c r="C981" s="2" t="s">
        <v>66</v>
      </c>
      <c r="D981" s="2" t="s">
        <v>187</v>
      </c>
      <c r="E981" s="2">
        <v>6210</v>
      </c>
      <c r="F981" s="2">
        <v>64</v>
      </c>
      <c r="G981" s="2">
        <f t="shared" si="158"/>
        <v>20</v>
      </c>
      <c r="H981" s="2">
        <f t="shared" si="159"/>
        <v>20</v>
      </c>
      <c r="I981" s="2">
        <v>0</v>
      </c>
      <c r="J981" s="44" t="s">
        <v>48</v>
      </c>
      <c r="K981" s="2" t="s">
        <v>49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/>
      <c r="AM981" s="2" t="s">
        <v>110</v>
      </c>
      <c r="AN981" s="2">
        <f t="shared" si="151"/>
        <v>0</v>
      </c>
      <c r="AO981" s="2">
        <f t="shared" si="152"/>
        <v>0</v>
      </c>
      <c r="AP981" s="2">
        <f t="shared" si="153"/>
        <v>0</v>
      </c>
      <c r="AQ981" s="2">
        <f t="shared" si="154"/>
        <v>0</v>
      </c>
      <c r="AR981" s="2">
        <f t="shared" si="155"/>
        <v>0</v>
      </c>
      <c r="AS981" s="2">
        <f t="shared" si="156"/>
        <v>0</v>
      </c>
      <c r="AT981" s="25">
        <f t="shared" si="157"/>
        <v>0</v>
      </c>
    </row>
    <row r="982" spans="1:46">
      <c r="A982" s="24">
        <v>46140</v>
      </c>
      <c r="B982" s="23">
        <f t="shared" si="150"/>
        <v>46113</v>
      </c>
      <c r="C982" s="2" t="s">
        <v>66</v>
      </c>
      <c r="D982" s="2" t="s">
        <v>113</v>
      </c>
      <c r="E982" s="2">
        <v>2598</v>
      </c>
      <c r="F982" s="2">
        <v>225</v>
      </c>
      <c r="G982" s="2">
        <f t="shared" si="158"/>
        <v>32</v>
      </c>
      <c r="H982" s="2">
        <f t="shared" si="159"/>
        <v>32</v>
      </c>
      <c r="I982" s="2">
        <v>0</v>
      </c>
      <c r="J982" s="44" t="s">
        <v>48</v>
      </c>
      <c r="K982" s="2" t="s">
        <v>49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/>
      <c r="AM982" s="2" t="s">
        <v>110</v>
      </c>
      <c r="AN982" s="2">
        <f t="shared" si="151"/>
        <v>0</v>
      </c>
      <c r="AO982" s="2">
        <f t="shared" si="152"/>
        <v>0</v>
      </c>
      <c r="AP982" s="2">
        <f t="shared" si="153"/>
        <v>0</v>
      </c>
      <c r="AQ982" s="2">
        <f t="shared" si="154"/>
        <v>0</v>
      </c>
      <c r="AR982" s="2">
        <f t="shared" si="155"/>
        <v>0</v>
      </c>
      <c r="AS982" s="2">
        <f t="shared" si="156"/>
        <v>0</v>
      </c>
      <c r="AT982" s="25">
        <f t="shared" si="157"/>
        <v>0</v>
      </c>
    </row>
    <row r="983" spans="1:46">
      <c r="A983" s="24">
        <v>46140</v>
      </c>
      <c r="B983" s="23">
        <f t="shared" si="150"/>
        <v>46113</v>
      </c>
      <c r="C983" s="2" t="s">
        <v>66</v>
      </c>
      <c r="D983" s="2" t="s">
        <v>324</v>
      </c>
      <c r="E983" s="2">
        <v>2345</v>
      </c>
      <c r="F983" s="2">
        <v>82</v>
      </c>
      <c r="G983" s="2">
        <f t="shared" si="158"/>
        <v>20</v>
      </c>
      <c r="H983" s="2">
        <f t="shared" si="159"/>
        <v>20</v>
      </c>
      <c r="I983" s="2">
        <v>0</v>
      </c>
      <c r="J983" s="44" t="s">
        <v>48</v>
      </c>
      <c r="K983" s="2" t="s">
        <v>49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/>
      <c r="AM983" s="2" t="s">
        <v>110</v>
      </c>
      <c r="AN983" s="2">
        <f t="shared" si="151"/>
        <v>0</v>
      </c>
      <c r="AO983" s="2">
        <f t="shared" si="152"/>
        <v>0</v>
      </c>
      <c r="AP983" s="2">
        <f t="shared" si="153"/>
        <v>0</v>
      </c>
      <c r="AQ983" s="2">
        <f t="shared" si="154"/>
        <v>0</v>
      </c>
      <c r="AR983" s="2">
        <f t="shared" si="155"/>
        <v>0</v>
      </c>
      <c r="AS983" s="2">
        <f t="shared" si="156"/>
        <v>0</v>
      </c>
      <c r="AT983" s="25">
        <f t="shared" si="157"/>
        <v>0</v>
      </c>
    </row>
    <row r="984" spans="1:46">
      <c r="A984" s="24">
        <v>46140</v>
      </c>
      <c r="B984" s="23">
        <f t="shared" si="150"/>
        <v>46113</v>
      </c>
      <c r="C984" s="2" t="s">
        <v>66</v>
      </c>
      <c r="D984" s="2" t="s">
        <v>1401</v>
      </c>
      <c r="E984" s="2">
        <v>6319</v>
      </c>
      <c r="F984" s="2">
        <v>133</v>
      </c>
      <c r="G984" s="2">
        <f t="shared" si="158"/>
        <v>20</v>
      </c>
      <c r="H984" s="2">
        <f t="shared" si="159"/>
        <v>20</v>
      </c>
      <c r="I984" s="2">
        <v>0</v>
      </c>
      <c r="J984" s="44" t="s">
        <v>48</v>
      </c>
      <c r="K984" s="2" t="s">
        <v>49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/>
      <c r="AM984" s="2" t="s">
        <v>110</v>
      </c>
      <c r="AN984" s="2">
        <f t="shared" si="151"/>
        <v>0</v>
      </c>
      <c r="AO984" s="2">
        <f t="shared" si="152"/>
        <v>0</v>
      </c>
      <c r="AP984" s="2">
        <f t="shared" si="153"/>
        <v>0</v>
      </c>
      <c r="AQ984" s="2">
        <f t="shared" si="154"/>
        <v>0</v>
      </c>
      <c r="AR984" s="2">
        <f t="shared" si="155"/>
        <v>0</v>
      </c>
      <c r="AS984" s="2">
        <f t="shared" si="156"/>
        <v>0</v>
      </c>
      <c r="AT984" s="25">
        <f t="shared" si="157"/>
        <v>0</v>
      </c>
    </row>
    <row r="985" spans="1:46">
      <c r="A985" s="24">
        <v>46140</v>
      </c>
      <c r="B985" s="23">
        <f t="shared" si="150"/>
        <v>46113</v>
      </c>
      <c r="C985" s="2" t="s">
        <v>66</v>
      </c>
      <c r="D985" s="2" t="s">
        <v>278</v>
      </c>
      <c r="E985" s="2">
        <v>6282</v>
      </c>
      <c r="F985" s="2">
        <v>254</v>
      </c>
      <c r="G985" s="2">
        <f t="shared" si="158"/>
        <v>32</v>
      </c>
      <c r="H985" s="2">
        <f t="shared" si="159"/>
        <v>30</v>
      </c>
      <c r="I985" s="2">
        <v>2</v>
      </c>
      <c r="J985" s="44" t="s">
        <v>48</v>
      </c>
      <c r="K985" s="2" t="s">
        <v>49</v>
      </c>
      <c r="L985" s="2">
        <v>2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/>
      <c r="AM985" s="2" t="s">
        <v>110</v>
      </c>
      <c r="AN985" s="2">
        <f t="shared" si="151"/>
        <v>2</v>
      </c>
      <c r="AO985" s="2">
        <f t="shared" si="152"/>
        <v>0</v>
      </c>
      <c r="AP985" s="2">
        <f t="shared" si="153"/>
        <v>0</v>
      </c>
      <c r="AQ985" s="2">
        <f t="shared" si="154"/>
        <v>0</v>
      </c>
      <c r="AR985" s="2">
        <f t="shared" si="155"/>
        <v>0</v>
      </c>
      <c r="AS985" s="2">
        <f t="shared" si="156"/>
        <v>0</v>
      </c>
      <c r="AT985" s="25">
        <f t="shared" si="157"/>
        <v>0</v>
      </c>
    </row>
    <row r="986" spans="1:46">
      <c r="A986" s="24">
        <v>46140</v>
      </c>
      <c r="B986" s="23">
        <f t="shared" si="150"/>
        <v>46113</v>
      </c>
      <c r="C986" s="2" t="s">
        <v>66</v>
      </c>
      <c r="D986" s="2" t="s">
        <v>123</v>
      </c>
      <c r="E986" s="2">
        <v>1866</v>
      </c>
      <c r="F986" s="2">
        <v>235</v>
      </c>
      <c r="G986" s="2">
        <f t="shared" si="158"/>
        <v>32</v>
      </c>
      <c r="H986" s="2">
        <f t="shared" si="159"/>
        <v>28</v>
      </c>
      <c r="I986" s="2">
        <v>4</v>
      </c>
      <c r="J986" s="44" t="s">
        <v>67</v>
      </c>
      <c r="K986" s="2" t="s">
        <v>49</v>
      </c>
      <c r="L986" s="2">
        <v>4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/>
      <c r="AM986" s="2" t="s">
        <v>110</v>
      </c>
      <c r="AN986" s="2">
        <f t="shared" si="151"/>
        <v>4</v>
      </c>
      <c r="AO986" s="2">
        <f t="shared" si="152"/>
        <v>0</v>
      </c>
      <c r="AP986" s="2">
        <f t="shared" si="153"/>
        <v>0</v>
      </c>
      <c r="AQ986" s="2">
        <f t="shared" si="154"/>
        <v>0</v>
      </c>
      <c r="AR986" s="2">
        <f t="shared" si="155"/>
        <v>0</v>
      </c>
      <c r="AS986" s="2">
        <f t="shared" si="156"/>
        <v>0</v>
      </c>
      <c r="AT986" s="25">
        <f t="shared" si="157"/>
        <v>0</v>
      </c>
    </row>
    <row r="987" spans="1:46">
      <c r="A987" s="24">
        <v>46140</v>
      </c>
      <c r="B987" s="23">
        <f t="shared" si="150"/>
        <v>46113</v>
      </c>
      <c r="C987" s="2" t="s">
        <v>66</v>
      </c>
      <c r="D987" s="2" t="s">
        <v>123</v>
      </c>
      <c r="E987" s="2">
        <v>1866</v>
      </c>
      <c r="F987" s="2">
        <v>225</v>
      </c>
      <c r="G987" s="2">
        <f t="shared" si="158"/>
        <v>32</v>
      </c>
      <c r="H987" s="2">
        <f t="shared" si="159"/>
        <v>32</v>
      </c>
      <c r="I987" s="2">
        <v>0</v>
      </c>
      <c r="J987" s="44" t="s">
        <v>48</v>
      </c>
      <c r="K987" s="2" t="s">
        <v>49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/>
      <c r="AM987" s="2" t="s">
        <v>110</v>
      </c>
      <c r="AN987" s="2">
        <f t="shared" si="151"/>
        <v>0</v>
      </c>
      <c r="AO987" s="2">
        <f t="shared" si="152"/>
        <v>0</v>
      </c>
      <c r="AP987" s="2">
        <f t="shared" si="153"/>
        <v>0</v>
      </c>
      <c r="AQ987" s="2">
        <f t="shared" si="154"/>
        <v>0</v>
      </c>
      <c r="AR987" s="2">
        <f t="shared" si="155"/>
        <v>0</v>
      </c>
      <c r="AS987" s="2">
        <f t="shared" si="156"/>
        <v>0</v>
      </c>
      <c r="AT987" s="25">
        <f t="shared" si="157"/>
        <v>0</v>
      </c>
    </row>
    <row r="988" spans="1:46">
      <c r="A988" s="24">
        <v>46140</v>
      </c>
      <c r="B988" s="23">
        <f t="shared" si="150"/>
        <v>46113</v>
      </c>
      <c r="C988" s="2" t="s">
        <v>46</v>
      </c>
      <c r="D988" s="2" t="s">
        <v>1230</v>
      </c>
      <c r="E988" s="2">
        <v>6309</v>
      </c>
      <c r="F988" s="2">
        <v>122</v>
      </c>
      <c r="G988" s="2">
        <f t="shared" si="158"/>
        <v>20</v>
      </c>
      <c r="H988" s="2">
        <f t="shared" si="159"/>
        <v>15</v>
      </c>
      <c r="I988" s="2">
        <v>5</v>
      </c>
      <c r="J988" s="44" t="s">
        <v>67</v>
      </c>
      <c r="K988" s="2" t="s">
        <v>49</v>
      </c>
      <c r="L988" s="2">
        <v>0</v>
      </c>
      <c r="M988" s="2">
        <v>0</v>
      </c>
      <c r="N988" s="2">
        <v>5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/>
      <c r="AM988" s="2" t="s">
        <v>1567</v>
      </c>
      <c r="AN988" s="2">
        <f t="shared" si="151"/>
        <v>0</v>
      </c>
      <c r="AO988" s="2">
        <f t="shared" si="152"/>
        <v>5</v>
      </c>
      <c r="AP988" s="2">
        <f t="shared" si="153"/>
        <v>0</v>
      </c>
      <c r="AQ988" s="2">
        <f t="shared" si="154"/>
        <v>0</v>
      </c>
      <c r="AR988" s="2">
        <f t="shared" si="155"/>
        <v>0</v>
      </c>
      <c r="AS988" s="2">
        <f t="shared" si="156"/>
        <v>0</v>
      </c>
      <c r="AT988" s="25">
        <f t="shared" si="157"/>
        <v>0</v>
      </c>
    </row>
    <row r="989" spans="1:46">
      <c r="A989" s="24">
        <v>46140</v>
      </c>
      <c r="B989" s="23">
        <f t="shared" si="150"/>
        <v>46113</v>
      </c>
      <c r="C989" s="2" t="s">
        <v>46</v>
      </c>
      <c r="D989" s="2" t="s">
        <v>1399</v>
      </c>
      <c r="E989" s="2">
        <v>2702</v>
      </c>
      <c r="F989" s="2">
        <v>224</v>
      </c>
      <c r="G989" s="2">
        <f t="shared" si="158"/>
        <v>32</v>
      </c>
      <c r="H989" s="2">
        <f t="shared" si="159"/>
        <v>32</v>
      </c>
      <c r="I989" s="2">
        <v>0</v>
      </c>
      <c r="J989" s="44" t="s">
        <v>48</v>
      </c>
      <c r="K989" s="2" t="s">
        <v>49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/>
      <c r="AM989" s="2" t="s">
        <v>1567</v>
      </c>
      <c r="AN989" s="2">
        <f t="shared" si="151"/>
        <v>0</v>
      </c>
      <c r="AO989" s="2">
        <f t="shared" si="152"/>
        <v>0</v>
      </c>
      <c r="AP989" s="2">
        <f t="shared" si="153"/>
        <v>0</v>
      </c>
      <c r="AQ989" s="2">
        <f t="shared" si="154"/>
        <v>0</v>
      </c>
      <c r="AR989" s="2">
        <f t="shared" si="155"/>
        <v>0</v>
      </c>
      <c r="AS989" s="2">
        <f t="shared" si="156"/>
        <v>0</v>
      </c>
      <c r="AT989" s="25">
        <f t="shared" si="157"/>
        <v>0</v>
      </c>
    </row>
    <row r="990" spans="1:46">
      <c r="A990" s="24">
        <v>46140</v>
      </c>
      <c r="B990" s="23">
        <f t="shared" si="150"/>
        <v>46113</v>
      </c>
      <c r="C990" s="2" t="s">
        <v>95</v>
      </c>
      <c r="D990" s="2" t="s">
        <v>301</v>
      </c>
      <c r="E990" s="2">
        <v>8080</v>
      </c>
      <c r="F990" s="2">
        <v>1000</v>
      </c>
      <c r="G990" s="2">
        <f t="shared" si="158"/>
        <v>80</v>
      </c>
      <c r="H990" s="2">
        <f t="shared" si="159"/>
        <v>80</v>
      </c>
      <c r="I990" s="2">
        <v>0</v>
      </c>
      <c r="J990" s="44" t="s">
        <v>48</v>
      </c>
      <c r="K990" s="2" t="s">
        <v>49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/>
      <c r="AM990" s="2" t="s">
        <v>1567</v>
      </c>
      <c r="AN990" s="2">
        <f t="shared" si="151"/>
        <v>0</v>
      </c>
      <c r="AO990" s="2">
        <f t="shared" si="152"/>
        <v>0</v>
      </c>
      <c r="AP990" s="2">
        <f t="shared" si="153"/>
        <v>0</v>
      </c>
      <c r="AQ990" s="2">
        <f t="shared" si="154"/>
        <v>0</v>
      </c>
      <c r="AR990" s="2">
        <f t="shared" si="155"/>
        <v>0</v>
      </c>
      <c r="AS990" s="2">
        <f t="shared" si="156"/>
        <v>0</v>
      </c>
      <c r="AT990" s="25">
        <f t="shared" si="157"/>
        <v>0</v>
      </c>
    </row>
    <row r="991" spans="1:46">
      <c r="A991" s="24">
        <v>46140</v>
      </c>
      <c r="B991" s="23">
        <f t="shared" si="150"/>
        <v>46113</v>
      </c>
      <c r="C991" s="2" t="s">
        <v>95</v>
      </c>
      <c r="D991" s="2" t="s">
        <v>301</v>
      </c>
      <c r="E991" s="2">
        <v>8080</v>
      </c>
      <c r="F991" s="2">
        <v>690</v>
      </c>
      <c r="G991" s="2">
        <f t="shared" si="158"/>
        <v>80</v>
      </c>
      <c r="H991" s="2">
        <f t="shared" si="159"/>
        <v>78</v>
      </c>
      <c r="I991" s="2">
        <v>2</v>
      </c>
      <c r="J991" s="44" t="s">
        <v>48</v>
      </c>
      <c r="K991" s="2" t="s">
        <v>49</v>
      </c>
      <c r="L991" s="2">
        <v>2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/>
      <c r="AM991" s="2" t="s">
        <v>1567</v>
      </c>
      <c r="AN991" s="2">
        <f t="shared" si="151"/>
        <v>2</v>
      </c>
      <c r="AO991" s="2">
        <f t="shared" si="152"/>
        <v>0</v>
      </c>
      <c r="AP991" s="2">
        <f t="shared" si="153"/>
        <v>0</v>
      </c>
      <c r="AQ991" s="2">
        <f t="shared" si="154"/>
        <v>0</v>
      </c>
      <c r="AR991" s="2">
        <f t="shared" si="155"/>
        <v>0</v>
      </c>
      <c r="AS991" s="2">
        <f t="shared" si="156"/>
        <v>0</v>
      </c>
      <c r="AT991" s="25">
        <f t="shared" si="157"/>
        <v>0</v>
      </c>
    </row>
    <row r="992" spans="1:46">
      <c r="A992" s="24">
        <v>46140</v>
      </c>
      <c r="B992" s="23">
        <f t="shared" si="150"/>
        <v>46113</v>
      </c>
      <c r="C992" s="2" t="s">
        <v>46</v>
      </c>
      <c r="D992" s="2" t="s">
        <v>1230</v>
      </c>
      <c r="E992" s="2">
        <v>6309</v>
      </c>
      <c r="F992" s="2">
        <v>122</v>
      </c>
      <c r="G992" s="2">
        <f t="shared" si="158"/>
        <v>20</v>
      </c>
      <c r="H992" s="2">
        <f t="shared" si="159"/>
        <v>19</v>
      </c>
      <c r="I992" s="2">
        <v>1</v>
      </c>
      <c r="J992" s="44" t="s">
        <v>48</v>
      </c>
      <c r="K992" s="2" t="s">
        <v>49</v>
      </c>
      <c r="L992" s="2">
        <v>1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/>
      <c r="AM992" s="2" t="s">
        <v>1567</v>
      </c>
      <c r="AN992" s="2">
        <f t="shared" si="151"/>
        <v>1</v>
      </c>
      <c r="AO992" s="2">
        <f t="shared" si="152"/>
        <v>0</v>
      </c>
      <c r="AP992" s="2">
        <f t="shared" si="153"/>
        <v>0</v>
      </c>
      <c r="AQ992" s="2">
        <f t="shared" si="154"/>
        <v>0</v>
      </c>
      <c r="AR992" s="2">
        <f t="shared" si="155"/>
        <v>0</v>
      </c>
      <c r="AS992" s="2">
        <f t="shared" si="156"/>
        <v>0</v>
      </c>
      <c r="AT992" s="25">
        <f t="shared" si="157"/>
        <v>0</v>
      </c>
    </row>
    <row r="993" spans="1:46">
      <c r="A993" s="24">
        <v>46140</v>
      </c>
      <c r="B993" s="23">
        <f t="shared" si="150"/>
        <v>46113</v>
      </c>
      <c r="C993" s="2" t="s">
        <v>46</v>
      </c>
      <c r="D993" s="2" t="s">
        <v>47</v>
      </c>
      <c r="E993" s="2">
        <v>6296</v>
      </c>
      <c r="F993" s="2">
        <v>760</v>
      </c>
      <c r="G993" s="2">
        <f t="shared" si="158"/>
        <v>80</v>
      </c>
      <c r="H993" s="2">
        <f t="shared" si="159"/>
        <v>78</v>
      </c>
      <c r="I993" s="2">
        <v>2</v>
      </c>
      <c r="J993" s="44" t="s">
        <v>48</v>
      </c>
      <c r="K993" s="2" t="s">
        <v>49</v>
      </c>
      <c r="L993" s="2">
        <v>2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/>
      <c r="AM993" s="2" t="s">
        <v>1567</v>
      </c>
      <c r="AN993" s="2">
        <f t="shared" si="151"/>
        <v>2</v>
      </c>
      <c r="AO993" s="2">
        <f t="shared" si="152"/>
        <v>0</v>
      </c>
      <c r="AP993" s="2">
        <f t="shared" si="153"/>
        <v>0</v>
      </c>
      <c r="AQ993" s="2">
        <f t="shared" si="154"/>
        <v>0</v>
      </c>
      <c r="AR993" s="2">
        <f t="shared" si="155"/>
        <v>0</v>
      </c>
      <c r="AS993" s="2">
        <f t="shared" si="156"/>
        <v>0</v>
      </c>
      <c r="AT993" s="25">
        <f t="shared" si="157"/>
        <v>0</v>
      </c>
    </row>
    <row r="994" spans="1:46">
      <c r="A994" s="24">
        <v>46140</v>
      </c>
      <c r="B994" s="23">
        <f t="shared" si="150"/>
        <v>46113</v>
      </c>
      <c r="C994" s="2" t="s">
        <v>95</v>
      </c>
      <c r="D994" s="2" t="s">
        <v>298</v>
      </c>
      <c r="E994" s="2">
        <v>3300</v>
      </c>
      <c r="F994" s="2">
        <v>59</v>
      </c>
      <c r="G994" s="2">
        <f t="shared" si="158"/>
        <v>20</v>
      </c>
      <c r="H994" s="2">
        <f t="shared" si="159"/>
        <v>20</v>
      </c>
      <c r="I994" s="2">
        <v>0</v>
      </c>
      <c r="J994" s="44" t="s">
        <v>48</v>
      </c>
      <c r="K994" s="2" t="s">
        <v>49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/>
      <c r="AM994" s="2" t="s">
        <v>1567</v>
      </c>
      <c r="AN994" s="2">
        <f t="shared" si="151"/>
        <v>0</v>
      </c>
      <c r="AO994" s="2">
        <f t="shared" si="152"/>
        <v>0</v>
      </c>
      <c r="AP994" s="2">
        <f t="shared" si="153"/>
        <v>0</v>
      </c>
      <c r="AQ994" s="2">
        <f t="shared" si="154"/>
        <v>0</v>
      </c>
      <c r="AR994" s="2">
        <f t="shared" si="155"/>
        <v>0</v>
      </c>
      <c r="AS994" s="2">
        <f t="shared" si="156"/>
        <v>0</v>
      </c>
      <c r="AT994" s="25">
        <f t="shared" si="157"/>
        <v>0</v>
      </c>
    </row>
    <row r="995" spans="1:46">
      <c r="A995" s="24">
        <v>46140</v>
      </c>
      <c r="B995" s="23">
        <f t="shared" si="150"/>
        <v>46113</v>
      </c>
      <c r="C995" s="2" t="s">
        <v>95</v>
      </c>
      <c r="D995" s="2" t="s">
        <v>128</v>
      </c>
      <c r="E995" s="2">
        <v>6296</v>
      </c>
      <c r="F995" s="2">
        <v>500</v>
      </c>
      <c r="G995" s="2">
        <f t="shared" si="158"/>
        <v>50</v>
      </c>
      <c r="H995" s="2">
        <f t="shared" si="159"/>
        <v>49</v>
      </c>
      <c r="I995" s="2">
        <v>1</v>
      </c>
      <c r="J995" s="44" t="s">
        <v>48</v>
      </c>
      <c r="K995" s="2" t="s">
        <v>49</v>
      </c>
      <c r="L995" s="2">
        <v>1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/>
      <c r="AM995" s="2" t="s">
        <v>1567</v>
      </c>
      <c r="AN995" s="2">
        <f t="shared" si="151"/>
        <v>1</v>
      </c>
      <c r="AO995" s="2">
        <f t="shared" si="152"/>
        <v>0</v>
      </c>
      <c r="AP995" s="2">
        <f t="shared" si="153"/>
        <v>0</v>
      </c>
      <c r="AQ995" s="2">
        <f t="shared" si="154"/>
        <v>0</v>
      </c>
      <c r="AR995" s="2">
        <f t="shared" si="155"/>
        <v>0</v>
      </c>
      <c r="AS995" s="2">
        <f t="shared" si="156"/>
        <v>0</v>
      </c>
      <c r="AT995" s="25">
        <f t="shared" si="157"/>
        <v>0</v>
      </c>
    </row>
    <row r="996" spans="1:46">
      <c r="A996" s="24">
        <v>46140</v>
      </c>
      <c r="B996" s="23">
        <f t="shared" si="150"/>
        <v>46113</v>
      </c>
      <c r="C996" s="2" t="s">
        <v>95</v>
      </c>
      <c r="D996" s="2" t="s">
        <v>227</v>
      </c>
      <c r="E996" s="2">
        <v>2679</v>
      </c>
      <c r="F996" s="2">
        <v>231</v>
      </c>
      <c r="G996" s="2">
        <f t="shared" si="158"/>
        <v>32</v>
      </c>
      <c r="H996" s="2">
        <f t="shared" si="159"/>
        <v>30</v>
      </c>
      <c r="I996" s="2">
        <v>2</v>
      </c>
      <c r="J996" s="44" t="s">
        <v>48</v>
      </c>
      <c r="K996" s="2" t="s">
        <v>49</v>
      </c>
      <c r="L996" s="2">
        <v>2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/>
      <c r="AM996" s="2" t="s">
        <v>1567</v>
      </c>
      <c r="AN996" s="2">
        <f t="shared" si="151"/>
        <v>2</v>
      </c>
      <c r="AO996" s="2">
        <f t="shared" si="152"/>
        <v>0</v>
      </c>
      <c r="AP996" s="2">
        <f t="shared" si="153"/>
        <v>0</v>
      </c>
      <c r="AQ996" s="2">
        <f t="shared" si="154"/>
        <v>0</v>
      </c>
      <c r="AR996" s="2">
        <f t="shared" si="155"/>
        <v>0</v>
      </c>
      <c r="AS996" s="2">
        <f t="shared" si="156"/>
        <v>0</v>
      </c>
      <c r="AT996" s="25">
        <f t="shared" si="157"/>
        <v>0</v>
      </c>
    </row>
    <row r="997" spans="1:46">
      <c r="A997" s="24">
        <v>46140</v>
      </c>
      <c r="B997" s="23">
        <f t="shared" si="150"/>
        <v>46113</v>
      </c>
      <c r="C997" s="2" t="s">
        <v>55</v>
      </c>
      <c r="D997" s="2" t="s">
        <v>58</v>
      </c>
      <c r="E997" s="2">
        <v>3323</v>
      </c>
      <c r="F997" s="2">
        <v>80</v>
      </c>
      <c r="G997" s="2">
        <f t="shared" si="158"/>
        <v>20</v>
      </c>
      <c r="H997" s="2">
        <f t="shared" si="159"/>
        <v>19</v>
      </c>
      <c r="I997" s="2">
        <v>1</v>
      </c>
      <c r="J997" s="44" t="s">
        <v>48</v>
      </c>
      <c r="K997" s="2" t="s">
        <v>49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1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/>
      <c r="AM997" s="2" t="s">
        <v>1566</v>
      </c>
      <c r="AN997" s="2">
        <f t="shared" si="151"/>
        <v>0</v>
      </c>
      <c r="AO997" s="2">
        <f t="shared" si="152"/>
        <v>0</v>
      </c>
      <c r="AP997" s="2">
        <f t="shared" si="153"/>
        <v>1</v>
      </c>
      <c r="AQ997" s="2">
        <f t="shared" si="154"/>
        <v>0</v>
      </c>
      <c r="AR997" s="2">
        <f t="shared" si="155"/>
        <v>0</v>
      </c>
      <c r="AS997" s="2">
        <f t="shared" si="156"/>
        <v>0</v>
      </c>
      <c r="AT997" s="25">
        <f t="shared" si="157"/>
        <v>0</v>
      </c>
    </row>
    <row r="998" spans="1:46">
      <c r="A998" s="24">
        <v>46140</v>
      </c>
      <c r="B998" s="23">
        <f t="shared" si="150"/>
        <v>46113</v>
      </c>
      <c r="C998" s="2" t="s">
        <v>55</v>
      </c>
      <c r="D998" s="2" t="s">
        <v>58</v>
      </c>
      <c r="E998" s="2">
        <v>3323</v>
      </c>
      <c r="F998" s="2">
        <v>73</v>
      </c>
      <c r="G998" s="2">
        <f t="shared" si="158"/>
        <v>20</v>
      </c>
      <c r="H998" s="2">
        <f t="shared" si="159"/>
        <v>20</v>
      </c>
      <c r="I998" s="2">
        <v>0</v>
      </c>
      <c r="J998" s="44" t="s">
        <v>48</v>
      </c>
      <c r="K998" s="2" t="s">
        <v>49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/>
      <c r="AM998" s="2" t="s">
        <v>1566</v>
      </c>
      <c r="AN998" s="2">
        <f t="shared" si="151"/>
        <v>0</v>
      </c>
      <c r="AO998" s="2">
        <f t="shared" si="152"/>
        <v>0</v>
      </c>
      <c r="AP998" s="2">
        <f t="shared" si="153"/>
        <v>0</v>
      </c>
      <c r="AQ998" s="2">
        <f t="shared" si="154"/>
        <v>0</v>
      </c>
      <c r="AR998" s="2">
        <f t="shared" si="155"/>
        <v>0</v>
      </c>
      <c r="AS998" s="2">
        <f t="shared" si="156"/>
        <v>0</v>
      </c>
      <c r="AT998" s="25">
        <f t="shared" si="157"/>
        <v>0</v>
      </c>
    </row>
    <row r="999" spans="1:46">
      <c r="A999" s="24">
        <v>46140</v>
      </c>
      <c r="B999" s="23">
        <f t="shared" si="150"/>
        <v>46113</v>
      </c>
      <c r="C999" s="2" t="s">
        <v>55</v>
      </c>
      <c r="D999" s="2" t="s">
        <v>183</v>
      </c>
      <c r="E999" s="2">
        <v>1729</v>
      </c>
      <c r="F999" s="2">
        <v>171</v>
      </c>
      <c r="G999" s="2">
        <f t="shared" si="158"/>
        <v>32</v>
      </c>
      <c r="H999" s="2">
        <f t="shared" si="159"/>
        <v>32</v>
      </c>
      <c r="I999" s="2">
        <v>0</v>
      </c>
      <c r="J999" s="44" t="s">
        <v>48</v>
      </c>
      <c r="K999" s="2" t="s">
        <v>49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/>
      <c r="AM999" s="2" t="s">
        <v>1566</v>
      </c>
      <c r="AN999" s="2">
        <f t="shared" si="151"/>
        <v>0</v>
      </c>
      <c r="AO999" s="2">
        <f t="shared" si="152"/>
        <v>0</v>
      </c>
      <c r="AP999" s="2">
        <f t="shared" si="153"/>
        <v>0</v>
      </c>
      <c r="AQ999" s="2">
        <f t="shared" si="154"/>
        <v>0</v>
      </c>
      <c r="AR999" s="2">
        <f t="shared" si="155"/>
        <v>0</v>
      </c>
      <c r="AS999" s="2">
        <f t="shared" si="156"/>
        <v>0</v>
      </c>
      <c r="AT999" s="25">
        <f t="shared" si="157"/>
        <v>0</v>
      </c>
    </row>
    <row r="1000" spans="1:46">
      <c r="A1000" s="24">
        <v>46140</v>
      </c>
      <c r="B1000" s="23">
        <f t="shared" si="150"/>
        <v>46113</v>
      </c>
      <c r="C1000" s="2" t="s">
        <v>55</v>
      </c>
      <c r="D1000" s="2" t="s">
        <v>137</v>
      </c>
      <c r="E1000" s="2">
        <v>2760</v>
      </c>
      <c r="F1000" s="2">
        <v>179</v>
      </c>
      <c r="G1000" s="2">
        <f t="shared" si="158"/>
        <v>32</v>
      </c>
      <c r="H1000" s="2">
        <f t="shared" si="159"/>
        <v>32</v>
      </c>
      <c r="I1000" s="2">
        <v>0</v>
      </c>
      <c r="J1000" s="44" t="s">
        <v>48</v>
      </c>
      <c r="K1000" s="2" t="s">
        <v>49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/>
      <c r="AM1000" s="2" t="s">
        <v>1566</v>
      </c>
      <c r="AN1000" s="2">
        <f t="shared" si="151"/>
        <v>0</v>
      </c>
      <c r="AO1000" s="2">
        <f t="shared" si="152"/>
        <v>0</v>
      </c>
      <c r="AP1000" s="2">
        <f t="shared" si="153"/>
        <v>0</v>
      </c>
      <c r="AQ1000" s="2">
        <f t="shared" si="154"/>
        <v>0</v>
      </c>
      <c r="AR1000" s="2">
        <f t="shared" si="155"/>
        <v>0</v>
      </c>
      <c r="AS1000" s="2">
        <f t="shared" si="156"/>
        <v>0</v>
      </c>
      <c r="AT1000" s="25">
        <f t="shared" si="157"/>
        <v>0</v>
      </c>
    </row>
    <row r="1001" spans="1:46">
      <c r="A1001" s="24">
        <v>46140</v>
      </c>
      <c r="B1001" s="23">
        <f t="shared" si="150"/>
        <v>46113</v>
      </c>
      <c r="C1001" s="2" t="s">
        <v>55</v>
      </c>
      <c r="D1001" s="2" t="s">
        <v>227</v>
      </c>
      <c r="E1001" s="2">
        <v>2679</v>
      </c>
      <c r="F1001" s="2">
        <v>126</v>
      </c>
      <c r="G1001" s="2">
        <f t="shared" si="158"/>
        <v>20</v>
      </c>
      <c r="H1001" s="2">
        <f t="shared" si="159"/>
        <v>20</v>
      </c>
      <c r="I1001" s="2">
        <v>0</v>
      </c>
      <c r="J1001" s="44" t="s">
        <v>48</v>
      </c>
      <c r="K1001" s="2" t="s">
        <v>49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/>
      <c r="AM1001" s="2" t="s">
        <v>1566</v>
      </c>
      <c r="AN1001" s="2">
        <f t="shared" si="151"/>
        <v>0</v>
      </c>
      <c r="AO1001" s="2">
        <f t="shared" si="152"/>
        <v>0</v>
      </c>
      <c r="AP1001" s="2">
        <f t="shared" si="153"/>
        <v>0</v>
      </c>
      <c r="AQ1001" s="2">
        <f t="shared" si="154"/>
        <v>0</v>
      </c>
      <c r="AR1001" s="2">
        <f t="shared" si="155"/>
        <v>0</v>
      </c>
      <c r="AS1001" s="2">
        <f t="shared" si="156"/>
        <v>0</v>
      </c>
      <c r="AT1001" s="25">
        <f t="shared" si="157"/>
        <v>0</v>
      </c>
    </row>
    <row r="1002" spans="1:46">
      <c r="A1002" s="24">
        <v>46140</v>
      </c>
      <c r="B1002" s="23">
        <f t="shared" si="150"/>
        <v>46113</v>
      </c>
      <c r="C1002" s="2" t="s">
        <v>55</v>
      </c>
      <c r="D1002" s="2" t="s">
        <v>132</v>
      </c>
      <c r="E1002" s="2">
        <v>1775</v>
      </c>
      <c r="F1002" s="2">
        <v>417</v>
      </c>
      <c r="G1002" s="2">
        <f t="shared" si="158"/>
        <v>50</v>
      </c>
      <c r="H1002" s="2">
        <f t="shared" si="159"/>
        <v>49</v>
      </c>
      <c r="I1002" s="2">
        <v>1</v>
      </c>
      <c r="J1002" s="44" t="s">
        <v>48</v>
      </c>
      <c r="K1002" s="2" t="s">
        <v>49</v>
      </c>
      <c r="L1002" s="2">
        <v>1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/>
      <c r="AM1002" s="2" t="s">
        <v>1566</v>
      </c>
      <c r="AN1002" s="2">
        <f t="shared" si="151"/>
        <v>1</v>
      </c>
      <c r="AO1002" s="2">
        <f t="shared" si="152"/>
        <v>0</v>
      </c>
      <c r="AP1002" s="2">
        <f t="shared" si="153"/>
        <v>0</v>
      </c>
      <c r="AQ1002" s="2">
        <f t="shared" si="154"/>
        <v>0</v>
      </c>
      <c r="AR1002" s="2">
        <f t="shared" si="155"/>
        <v>0</v>
      </c>
      <c r="AS1002" s="2">
        <f t="shared" si="156"/>
        <v>0</v>
      </c>
      <c r="AT1002" s="25">
        <f t="shared" si="157"/>
        <v>0</v>
      </c>
    </row>
    <row r="1003" spans="1:46">
      <c r="A1003" s="24">
        <v>46140</v>
      </c>
      <c r="B1003" s="23">
        <f t="shared" si="150"/>
        <v>46113</v>
      </c>
      <c r="C1003" s="2" t="s">
        <v>55</v>
      </c>
      <c r="D1003" s="2" t="s">
        <v>222</v>
      </c>
      <c r="E1003" s="2">
        <v>2593</v>
      </c>
      <c r="F1003" s="2">
        <v>548</v>
      </c>
      <c r="G1003" s="2">
        <f t="shared" si="158"/>
        <v>80</v>
      </c>
      <c r="H1003" s="2">
        <f t="shared" si="159"/>
        <v>80</v>
      </c>
      <c r="I1003" s="2">
        <v>0</v>
      </c>
      <c r="J1003" s="44" t="s">
        <v>48</v>
      </c>
      <c r="K1003" s="2" t="s">
        <v>49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/>
      <c r="AM1003" s="2" t="s">
        <v>1566</v>
      </c>
      <c r="AN1003" s="2">
        <f t="shared" si="151"/>
        <v>0</v>
      </c>
      <c r="AO1003" s="2">
        <f t="shared" si="152"/>
        <v>0</v>
      </c>
      <c r="AP1003" s="2">
        <f t="shared" si="153"/>
        <v>0</v>
      </c>
      <c r="AQ1003" s="2">
        <f t="shared" si="154"/>
        <v>0</v>
      </c>
      <c r="AR1003" s="2">
        <f t="shared" si="155"/>
        <v>0</v>
      </c>
      <c r="AS1003" s="2">
        <f t="shared" si="156"/>
        <v>0</v>
      </c>
      <c r="AT1003" s="25">
        <f t="shared" si="157"/>
        <v>0</v>
      </c>
    </row>
    <row r="1004" spans="1:46">
      <c r="A1004" s="24">
        <v>46140</v>
      </c>
      <c r="B1004" s="23">
        <f t="shared" si="150"/>
        <v>46113</v>
      </c>
      <c r="C1004" s="2" t="s">
        <v>55</v>
      </c>
      <c r="D1004" s="2" t="s">
        <v>60</v>
      </c>
      <c r="E1004" s="2">
        <v>2593</v>
      </c>
      <c r="F1004" s="2">
        <v>210</v>
      </c>
      <c r="G1004" s="2">
        <f t="shared" si="158"/>
        <v>32</v>
      </c>
      <c r="H1004" s="2">
        <f t="shared" si="159"/>
        <v>32</v>
      </c>
      <c r="I1004" s="2">
        <v>0</v>
      </c>
      <c r="J1004" s="44" t="s">
        <v>48</v>
      </c>
      <c r="K1004" s="2" t="s">
        <v>49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/>
      <c r="AM1004" s="2" t="s">
        <v>1566</v>
      </c>
      <c r="AN1004" s="2">
        <f t="shared" si="151"/>
        <v>0</v>
      </c>
      <c r="AO1004" s="2">
        <f t="shared" si="152"/>
        <v>0</v>
      </c>
      <c r="AP1004" s="2">
        <f t="shared" si="153"/>
        <v>0</v>
      </c>
      <c r="AQ1004" s="2">
        <f t="shared" si="154"/>
        <v>0</v>
      </c>
      <c r="AR1004" s="2">
        <f t="shared" si="155"/>
        <v>0</v>
      </c>
      <c r="AS1004" s="2">
        <f t="shared" si="156"/>
        <v>0</v>
      </c>
      <c r="AT1004" s="25">
        <f t="shared" si="157"/>
        <v>0</v>
      </c>
    </row>
    <row r="1005" spans="1:46">
      <c r="A1005" s="24">
        <v>46140</v>
      </c>
      <c r="B1005" s="23">
        <f t="shared" si="150"/>
        <v>46113</v>
      </c>
      <c r="C1005" s="2" t="s">
        <v>55</v>
      </c>
      <c r="D1005" s="2" t="s">
        <v>1308</v>
      </c>
      <c r="E1005" s="2">
        <v>6314</v>
      </c>
      <c r="F1005" s="2">
        <v>79</v>
      </c>
      <c r="G1005" s="2">
        <f t="shared" si="158"/>
        <v>20</v>
      </c>
      <c r="H1005" s="2">
        <f t="shared" si="159"/>
        <v>20</v>
      </c>
      <c r="I1005" s="2">
        <v>0</v>
      </c>
      <c r="J1005" s="44" t="s">
        <v>48</v>
      </c>
      <c r="K1005" s="2" t="s">
        <v>49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/>
      <c r="AM1005" s="2" t="s">
        <v>1566</v>
      </c>
      <c r="AN1005" s="2">
        <f t="shared" si="151"/>
        <v>0</v>
      </c>
      <c r="AO1005" s="2">
        <f t="shared" si="152"/>
        <v>0</v>
      </c>
      <c r="AP1005" s="2">
        <f t="shared" si="153"/>
        <v>0</v>
      </c>
      <c r="AQ1005" s="2">
        <f t="shared" si="154"/>
        <v>0</v>
      </c>
      <c r="AR1005" s="2">
        <f t="shared" si="155"/>
        <v>0</v>
      </c>
      <c r="AS1005" s="2">
        <f t="shared" si="156"/>
        <v>0</v>
      </c>
      <c r="AT1005" s="25">
        <f t="shared" si="157"/>
        <v>0</v>
      </c>
    </row>
    <row r="1006" spans="1:46">
      <c r="A1006" s="24">
        <v>46141</v>
      </c>
      <c r="B1006" s="23">
        <f t="shared" si="150"/>
        <v>46113</v>
      </c>
      <c r="C1006" s="2" t="s">
        <v>46</v>
      </c>
      <c r="D1006" s="2" t="s">
        <v>1578</v>
      </c>
      <c r="E1006" s="2">
        <v>6296</v>
      </c>
      <c r="F1006" s="2">
        <v>989</v>
      </c>
      <c r="G1006" s="2">
        <f t="shared" si="158"/>
        <v>80</v>
      </c>
      <c r="H1006" s="2">
        <f t="shared" si="159"/>
        <v>77</v>
      </c>
      <c r="I1006" s="2">
        <v>3</v>
      </c>
      <c r="J1006" s="44" t="s">
        <v>48</v>
      </c>
      <c r="K1006" s="2" t="s">
        <v>49</v>
      </c>
      <c r="L1006" s="2">
        <v>2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1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/>
      <c r="AM1006" s="2" t="s">
        <v>80</v>
      </c>
      <c r="AN1006" s="2">
        <f t="shared" si="151"/>
        <v>2</v>
      </c>
      <c r="AO1006" s="2">
        <f t="shared" si="152"/>
        <v>1</v>
      </c>
      <c r="AP1006" s="2">
        <f t="shared" si="153"/>
        <v>0</v>
      </c>
      <c r="AQ1006" s="2">
        <f t="shared" si="154"/>
        <v>0</v>
      </c>
      <c r="AR1006" s="2">
        <f t="shared" si="155"/>
        <v>0</v>
      </c>
      <c r="AS1006" s="2">
        <f t="shared" si="156"/>
        <v>0</v>
      </c>
      <c r="AT1006" s="25">
        <f t="shared" si="157"/>
        <v>0</v>
      </c>
    </row>
    <row r="1007" spans="1:46">
      <c r="A1007" s="24">
        <v>46141</v>
      </c>
      <c r="B1007" s="23">
        <f t="shared" si="150"/>
        <v>46113</v>
      </c>
      <c r="C1007" s="2" t="s">
        <v>97</v>
      </c>
      <c r="D1007" s="2" t="s">
        <v>165</v>
      </c>
      <c r="E1007" s="2">
        <v>3216</v>
      </c>
      <c r="F1007" s="2">
        <v>63</v>
      </c>
      <c r="G1007" s="2">
        <f t="shared" si="158"/>
        <v>20</v>
      </c>
      <c r="H1007" s="2">
        <f t="shared" si="159"/>
        <v>20</v>
      </c>
      <c r="I1007" s="2">
        <v>0</v>
      </c>
      <c r="J1007" s="44" t="s">
        <v>48</v>
      </c>
      <c r="K1007" s="2" t="s">
        <v>49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/>
      <c r="AM1007" s="2" t="s">
        <v>93</v>
      </c>
      <c r="AN1007" s="2">
        <f t="shared" si="151"/>
        <v>0</v>
      </c>
      <c r="AO1007" s="2">
        <f t="shared" si="152"/>
        <v>0</v>
      </c>
      <c r="AP1007" s="2">
        <f t="shared" si="153"/>
        <v>0</v>
      </c>
      <c r="AQ1007" s="2">
        <f t="shared" si="154"/>
        <v>0</v>
      </c>
      <c r="AR1007" s="2">
        <f t="shared" si="155"/>
        <v>0</v>
      </c>
      <c r="AS1007" s="2">
        <f t="shared" si="156"/>
        <v>0</v>
      </c>
      <c r="AT1007" s="25">
        <f t="shared" si="157"/>
        <v>0</v>
      </c>
    </row>
    <row r="1008" spans="1:46">
      <c r="A1008" s="24">
        <v>46141</v>
      </c>
      <c r="B1008" s="23">
        <f t="shared" si="150"/>
        <v>46113</v>
      </c>
      <c r="C1008" s="2" t="s">
        <v>95</v>
      </c>
      <c r="D1008" s="2" t="s">
        <v>291</v>
      </c>
      <c r="E1008" s="2">
        <v>6222</v>
      </c>
      <c r="F1008" s="2">
        <v>275</v>
      </c>
      <c r="G1008" s="2">
        <f t="shared" si="158"/>
        <v>32</v>
      </c>
      <c r="H1008" s="2">
        <f t="shared" si="159"/>
        <v>31</v>
      </c>
      <c r="I1008" s="2">
        <v>1</v>
      </c>
      <c r="J1008" s="44" t="s">
        <v>48</v>
      </c>
      <c r="K1008" s="2" t="s">
        <v>49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1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/>
      <c r="AM1008" s="2" t="s">
        <v>1569</v>
      </c>
      <c r="AN1008" s="2">
        <f t="shared" si="151"/>
        <v>0</v>
      </c>
      <c r="AO1008" s="2">
        <f t="shared" si="152"/>
        <v>1</v>
      </c>
      <c r="AP1008" s="2">
        <f t="shared" si="153"/>
        <v>0</v>
      </c>
      <c r="AQ1008" s="2">
        <f t="shared" si="154"/>
        <v>0</v>
      </c>
      <c r="AR1008" s="2">
        <f t="shared" si="155"/>
        <v>0</v>
      </c>
      <c r="AS1008" s="2">
        <f t="shared" si="156"/>
        <v>0</v>
      </c>
      <c r="AT1008" s="25">
        <f t="shared" si="157"/>
        <v>0</v>
      </c>
    </row>
    <row r="1009" spans="1:46">
      <c r="A1009" s="24">
        <v>46141</v>
      </c>
      <c r="B1009" s="23">
        <f t="shared" si="150"/>
        <v>46113</v>
      </c>
      <c r="C1009" s="2" t="s">
        <v>95</v>
      </c>
      <c r="D1009" s="2" t="s">
        <v>301</v>
      </c>
      <c r="E1009" s="2">
        <v>8080</v>
      </c>
      <c r="F1009" s="2">
        <v>380</v>
      </c>
      <c r="G1009" s="2">
        <f t="shared" si="158"/>
        <v>50</v>
      </c>
      <c r="H1009" s="2">
        <f t="shared" si="159"/>
        <v>50</v>
      </c>
      <c r="I1009" s="2">
        <v>0</v>
      </c>
      <c r="J1009" s="44" t="s">
        <v>48</v>
      </c>
      <c r="K1009" s="2" t="s">
        <v>49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/>
      <c r="AM1009" s="2" t="s">
        <v>93</v>
      </c>
      <c r="AN1009" s="2">
        <f t="shared" si="151"/>
        <v>0</v>
      </c>
      <c r="AO1009" s="2">
        <f t="shared" si="152"/>
        <v>0</v>
      </c>
      <c r="AP1009" s="2">
        <f t="shared" si="153"/>
        <v>0</v>
      </c>
      <c r="AQ1009" s="2">
        <f t="shared" si="154"/>
        <v>0</v>
      </c>
      <c r="AR1009" s="2">
        <f t="shared" si="155"/>
        <v>0</v>
      </c>
      <c r="AS1009" s="2">
        <f t="shared" si="156"/>
        <v>0</v>
      </c>
      <c r="AT1009" s="25">
        <f t="shared" si="157"/>
        <v>0</v>
      </c>
    </row>
    <row r="1010" spans="1:46">
      <c r="A1010" s="24">
        <v>46141</v>
      </c>
      <c r="B1010" s="23">
        <f t="shared" si="150"/>
        <v>46113</v>
      </c>
      <c r="C1010" s="2" t="s">
        <v>82</v>
      </c>
      <c r="D1010" s="2" t="s">
        <v>90</v>
      </c>
      <c r="E1010" s="2">
        <v>8141</v>
      </c>
      <c r="F1010" s="2">
        <v>426</v>
      </c>
      <c r="G1010" s="2">
        <f t="shared" si="158"/>
        <v>50</v>
      </c>
      <c r="H1010" s="2">
        <f t="shared" si="159"/>
        <v>50</v>
      </c>
      <c r="I1010" s="2">
        <v>0</v>
      </c>
      <c r="J1010" s="44" t="s">
        <v>48</v>
      </c>
      <c r="K1010" s="2" t="s">
        <v>49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/>
      <c r="AM1010" s="2" t="s">
        <v>93</v>
      </c>
      <c r="AN1010" s="2">
        <f t="shared" si="151"/>
        <v>0</v>
      </c>
      <c r="AO1010" s="2">
        <f t="shared" si="152"/>
        <v>0</v>
      </c>
      <c r="AP1010" s="2">
        <f t="shared" si="153"/>
        <v>0</v>
      </c>
      <c r="AQ1010" s="2">
        <f t="shared" si="154"/>
        <v>0</v>
      </c>
      <c r="AR1010" s="2">
        <f t="shared" si="155"/>
        <v>0</v>
      </c>
      <c r="AS1010" s="2">
        <f t="shared" si="156"/>
        <v>0</v>
      </c>
      <c r="AT1010" s="25">
        <f t="shared" si="157"/>
        <v>0</v>
      </c>
    </row>
    <row r="1011" spans="1:46">
      <c r="A1011" s="24">
        <v>46141</v>
      </c>
      <c r="B1011" s="23">
        <f t="shared" si="150"/>
        <v>46113</v>
      </c>
      <c r="C1011" s="2" t="s">
        <v>95</v>
      </c>
      <c r="D1011" s="2" t="s">
        <v>140</v>
      </c>
      <c r="E1011" s="2">
        <v>2598</v>
      </c>
      <c r="F1011" s="2">
        <v>300</v>
      </c>
      <c r="G1011" s="2">
        <f t="shared" si="158"/>
        <v>50</v>
      </c>
      <c r="H1011" s="2">
        <f t="shared" si="159"/>
        <v>49</v>
      </c>
      <c r="I1011" s="2">
        <v>1</v>
      </c>
      <c r="J1011" s="44" t="s">
        <v>48</v>
      </c>
      <c r="K1011" s="2" t="s">
        <v>49</v>
      </c>
      <c r="L1011" s="2">
        <v>1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/>
      <c r="AM1011" s="2" t="s">
        <v>1567</v>
      </c>
      <c r="AN1011" s="2">
        <f t="shared" si="151"/>
        <v>1</v>
      </c>
      <c r="AO1011" s="2">
        <f t="shared" si="152"/>
        <v>0</v>
      </c>
      <c r="AP1011" s="2">
        <f t="shared" si="153"/>
        <v>0</v>
      </c>
      <c r="AQ1011" s="2">
        <f t="shared" si="154"/>
        <v>0</v>
      </c>
      <c r="AR1011" s="2">
        <f t="shared" si="155"/>
        <v>0</v>
      </c>
      <c r="AS1011" s="2">
        <f t="shared" si="156"/>
        <v>0</v>
      </c>
      <c r="AT1011" s="25">
        <f t="shared" si="157"/>
        <v>0</v>
      </c>
    </row>
    <row r="1012" spans="1:46">
      <c r="A1012" s="24">
        <v>46141</v>
      </c>
      <c r="B1012" s="23">
        <f t="shared" si="150"/>
        <v>46113</v>
      </c>
      <c r="C1012" s="2" t="s">
        <v>46</v>
      </c>
      <c r="D1012" s="2" t="s">
        <v>1579</v>
      </c>
      <c r="E1012" s="2">
        <v>6296</v>
      </c>
      <c r="F1012" s="2">
        <v>329</v>
      </c>
      <c r="G1012" s="2">
        <f t="shared" si="158"/>
        <v>50</v>
      </c>
      <c r="H1012" s="2">
        <f t="shared" si="159"/>
        <v>47</v>
      </c>
      <c r="I1012" s="2">
        <v>3</v>
      </c>
      <c r="J1012" s="44" t="s">
        <v>48</v>
      </c>
      <c r="K1012" s="2" t="s">
        <v>49</v>
      </c>
      <c r="L1012" s="2">
        <v>3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/>
      <c r="AM1012" s="2" t="s">
        <v>1567</v>
      </c>
      <c r="AN1012" s="2">
        <f t="shared" si="151"/>
        <v>3</v>
      </c>
      <c r="AO1012" s="2">
        <f t="shared" si="152"/>
        <v>0</v>
      </c>
      <c r="AP1012" s="2">
        <f t="shared" si="153"/>
        <v>0</v>
      </c>
      <c r="AQ1012" s="2">
        <f t="shared" si="154"/>
        <v>0</v>
      </c>
      <c r="AR1012" s="2">
        <f t="shared" si="155"/>
        <v>0</v>
      </c>
      <c r="AS1012" s="2">
        <f t="shared" si="156"/>
        <v>0</v>
      </c>
      <c r="AT1012" s="25">
        <f t="shared" si="157"/>
        <v>0</v>
      </c>
    </row>
    <row r="1013" spans="1:46">
      <c r="A1013" s="24">
        <v>46141</v>
      </c>
      <c r="B1013" s="23">
        <f t="shared" si="150"/>
        <v>46113</v>
      </c>
      <c r="C1013" s="2" t="s">
        <v>46</v>
      </c>
      <c r="D1013" s="2" t="s">
        <v>1578</v>
      </c>
      <c r="E1013" s="2">
        <v>6296</v>
      </c>
      <c r="F1013" s="2">
        <v>394</v>
      </c>
      <c r="G1013" s="2">
        <f t="shared" si="158"/>
        <v>50</v>
      </c>
      <c r="H1013" s="2">
        <f t="shared" si="159"/>
        <v>50</v>
      </c>
      <c r="I1013" s="2">
        <v>0</v>
      </c>
      <c r="J1013" s="44" t="s">
        <v>48</v>
      </c>
      <c r="K1013" s="2" t="s">
        <v>49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/>
      <c r="AM1013" s="2" t="s">
        <v>1567</v>
      </c>
      <c r="AN1013" s="2">
        <f t="shared" si="151"/>
        <v>0</v>
      </c>
      <c r="AO1013" s="2">
        <f t="shared" si="152"/>
        <v>0</v>
      </c>
      <c r="AP1013" s="2">
        <f t="shared" si="153"/>
        <v>0</v>
      </c>
      <c r="AQ1013" s="2">
        <f t="shared" si="154"/>
        <v>0</v>
      </c>
      <c r="AR1013" s="2">
        <f t="shared" si="155"/>
        <v>0</v>
      </c>
      <c r="AS1013" s="2">
        <f t="shared" si="156"/>
        <v>0</v>
      </c>
      <c r="AT1013" s="25">
        <f t="shared" si="157"/>
        <v>0</v>
      </c>
    </row>
    <row r="1014" spans="1:46">
      <c r="A1014" s="24">
        <v>46141</v>
      </c>
      <c r="B1014" s="23">
        <f t="shared" si="150"/>
        <v>46113</v>
      </c>
      <c r="C1014" s="2" t="s">
        <v>82</v>
      </c>
      <c r="D1014" s="2" t="s">
        <v>1216</v>
      </c>
      <c r="E1014" s="2">
        <v>3184</v>
      </c>
      <c r="F1014" s="2">
        <v>106</v>
      </c>
      <c r="G1014" s="2">
        <f t="shared" si="158"/>
        <v>20</v>
      </c>
      <c r="H1014" s="2">
        <f t="shared" si="159"/>
        <v>20</v>
      </c>
      <c r="I1014" s="2">
        <v>0</v>
      </c>
      <c r="J1014" s="44" t="s">
        <v>48</v>
      </c>
      <c r="K1014" s="2" t="s">
        <v>49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/>
      <c r="AM1014" s="2" t="s">
        <v>103</v>
      </c>
      <c r="AN1014" s="2">
        <f t="shared" si="151"/>
        <v>0</v>
      </c>
      <c r="AO1014" s="2">
        <f t="shared" si="152"/>
        <v>0</v>
      </c>
      <c r="AP1014" s="2">
        <f t="shared" si="153"/>
        <v>0</v>
      </c>
      <c r="AQ1014" s="2">
        <f t="shared" si="154"/>
        <v>0</v>
      </c>
      <c r="AR1014" s="2">
        <f t="shared" si="155"/>
        <v>0</v>
      </c>
      <c r="AS1014" s="2">
        <f t="shared" si="156"/>
        <v>0</v>
      </c>
      <c r="AT1014" s="25">
        <f t="shared" si="157"/>
        <v>0</v>
      </c>
    </row>
    <row r="1015" spans="1:46">
      <c r="A1015" s="24">
        <v>46141</v>
      </c>
      <c r="B1015" s="23">
        <f t="shared" si="150"/>
        <v>46113</v>
      </c>
      <c r="C1015" s="2" t="s">
        <v>72</v>
      </c>
      <c r="D1015" s="2" t="s">
        <v>225</v>
      </c>
      <c r="E1015" s="2">
        <v>2598</v>
      </c>
      <c r="F1015" s="2">
        <v>497</v>
      </c>
      <c r="G1015" s="2">
        <f t="shared" si="158"/>
        <v>50</v>
      </c>
      <c r="H1015" s="2">
        <f t="shared" si="159"/>
        <v>50</v>
      </c>
      <c r="I1015" s="2">
        <v>0</v>
      </c>
      <c r="J1015" s="44" t="s">
        <v>48</v>
      </c>
      <c r="K1015" s="2" t="s">
        <v>49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/>
      <c r="AM1015" s="2" t="s">
        <v>103</v>
      </c>
      <c r="AN1015" s="2">
        <f t="shared" si="151"/>
        <v>0</v>
      </c>
      <c r="AO1015" s="2">
        <f t="shared" si="152"/>
        <v>0</v>
      </c>
      <c r="AP1015" s="2">
        <f t="shared" si="153"/>
        <v>0</v>
      </c>
      <c r="AQ1015" s="2">
        <f t="shared" si="154"/>
        <v>0</v>
      </c>
      <c r="AR1015" s="2">
        <f t="shared" si="155"/>
        <v>0</v>
      </c>
      <c r="AS1015" s="2">
        <f t="shared" si="156"/>
        <v>0</v>
      </c>
      <c r="AT1015" s="25">
        <f t="shared" si="157"/>
        <v>0</v>
      </c>
    </row>
    <row r="1016" spans="1:46">
      <c r="A1016" s="24">
        <v>46141</v>
      </c>
      <c r="B1016" s="23">
        <f t="shared" si="150"/>
        <v>46113</v>
      </c>
      <c r="C1016" s="2" t="s">
        <v>114</v>
      </c>
      <c r="D1016" s="2" t="s">
        <v>1411</v>
      </c>
      <c r="E1016" s="2">
        <v>6206</v>
      </c>
      <c r="F1016" s="2">
        <v>475</v>
      </c>
      <c r="G1016" s="2">
        <f t="shared" si="158"/>
        <v>50</v>
      </c>
      <c r="H1016" s="2">
        <f t="shared" si="159"/>
        <v>49</v>
      </c>
      <c r="I1016" s="2">
        <v>1</v>
      </c>
      <c r="J1016" s="44" t="s">
        <v>48</v>
      </c>
      <c r="K1016" s="2" t="s">
        <v>49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1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/>
      <c r="AM1016" s="2" t="s">
        <v>103</v>
      </c>
      <c r="AN1016" s="2">
        <f t="shared" si="151"/>
        <v>0</v>
      </c>
      <c r="AO1016" s="2">
        <f t="shared" si="152"/>
        <v>1</v>
      </c>
      <c r="AP1016" s="2">
        <f t="shared" si="153"/>
        <v>0</v>
      </c>
      <c r="AQ1016" s="2">
        <f t="shared" si="154"/>
        <v>0</v>
      </c>
      <c r="AR1016" s="2">
        <f t="shared" si="155"/>
        <v>0</v>
      </c>
      <c r="AS1016" s="2">
        <f t="shared" si="156"/>
        <v>0</v>
      </c>
      <c r="AT1016" s="25">
        <f t="shared" si="157"/>
        <v>0</v>
      </c>
    </row>
    <row r="1017" spans="1:46">
      <c r="A1017" s="24">
        <v>46141</v>
      </c>
      <c r="B1017" s="23">
        <f t="shared" si="150"/>
        <v>46113</v>
      </c>
      <c r="C1017" s="2" t="s">
        <v>82</v>
      </c>
      <c r="D1017" s="2" t="s">
        <v>138</v>
      </c>
      <c r="E1017" s="2">
        <v>2598</v>
      </c>
      <c r="F1017" s="2">
        <v>1000</v>
      </c>
      <c r="G1017" s="2">
        <f t="shared" si="158"/>
        <v>80</v>
      </c>
      <c r="H1017" s="2">
        <f t="shared" si="159"/>
        <v>80</v>
      </c>
      <c r="I1017" s="2">
        <v>0</v>
      </c>
      <c r="J1017" s="44" t="s">
        <v>48</v>
      </c>
      <c r="K1017" s="2" t="s">
        <v>49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/>
      <c r="AM1017" s="2" t="s">
        <v>103</v>
      </c>
      <c r="AN1017" s="2">
        <f t="shared" si="151"/>
        <v>0</v>
      </c>
      <c r="AO1017" s="2">
        <f t="shared" si="152"/>
        <v>0</v>
      </c>
      <c r="AP1017" s="2">
        <f t="shared" si="153"/>
        <v>0</v>
      </c>
      <c r="AQ1017" s="2">
        <f t="shared" si="154"/>
        <v>0</v>
      </c>
      <c r="AR1017" s="2">
        <f t="shared" si="155"/>
        <v>0</v>
      </c>
      <c r="AS1017" s="2">
        <f t="shared" si="156"/>
        <v>0</v>
      </c>
      <c r="AT1017" s="25">
        <f t="shared" si="157"/>
        <v>0</v>
      </c>
    </row>
    <row r="1018" spans="1:46">
      <c r="A1018" s="24">
        <v>46141</v>
      </c>
      <c r="B1018" s="23">
        <f t="shared" si="150"/>
        <v>46113</v>
      </c>
      <c r="C1018" s="2" t="s">
        <v>82</v>
      </c>
      <c r="D1018" s="2" t="s">
        <v>138</v>
      </c>
      <c r="E1018" s="2">
        <v>2598</v>
      </c>
      <c r="F1018" s="2">
        <v>180</v>
      </c>
      <c r="G1018" s="2">
        <f t="shared" si="158"/>
        <v>32</v>
      </c>
      <c r="H1018" s="2">
        <f t="shared" si="159"/>
        <v>32</v>
      </c>
      <c r="I1018" s="2">
        <v>0</v>
      </c>
      <c r="J1018" s="44" t="s">
        <v>48</v>
      </c>
      <c r="K1018" s="2" t="s">
        <v>49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/>
      <c r="AM1018" s="2" t="s">
        <v>103</v>
      </c>
      <c r="AN1018" s="2">
        <f t="shared" si="151"/>
        <v>0</v>
      </c>
      <c r="AO1018" s="2">
        <f t="shared" si="152"/>
        <v>0</v>
      </c>
      <c r="AP1018" s="2">
        <f t="shared" si="153"/>
        <v>0</v>
      </c>
      <c r="AQ1018" s="2">
        <f t="shared" si="154"/>
        <v>0</v>
      </c>
      <c r="AR1018" s="2">
        <f t="shared" si="155"/>
        <v>0</v>
      </c>
      <c r="AS1018" s="2">
        <f t="shared" si="156"/>
        <v>0</v>
      </c>
      <c r="AT1018" s="25">
        <f t="shared" si="157"/>
        <v>0</v>
      </c>
    </row>
    <row r="1019" spans="1:46">
      <c r="A1019" s="24">
        <v>46141</v>
      </c>
      <c r="B1019" s="23">
        <f t="shared" si="150"/>
        <v>46113</v>
      </c>
      <c r="C1019" s="2" t="s">
        <v>82</v>
      </c>
      <c r="D1019" s="2" t="s">
        <v>206</v>
      </c>
      <c r="E1019" s="2">
        <v>8141</v>
      </c>
      <c r="F1019" s="2">
        <v>1000</v>
      </c>
      <c r="G1019" s="2">
        <f t="shared" si="158"/>
        <v>80</v>
      </c>
      <c r="H1019" s="2">
        <f t="shared" si="159"/>
        <v>78</v>
      </c>
      <c r="I1019" s="2">
        <v>2</v>
      </c>
      <c r="J1019" s="44" t="s">
        <v>48</v>
      </c>
      <c r="K1019" s="2" t="s">
        <v>49</v>
      </c>
      <c r="L1019" s="2">
        <v>2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/>
      <c r="AM1019" s="2" t="s">
        <v>103</v>
      </c>
      <c r="AN1019" s="2">
        <f t="shared" si="151"/>
        <v>2</v>
      </c>
      <c r="AO1019" s="2">
        <f t="shared" si="152"/>
        <v>0</v>
      </c>
      <c r="AP1019" s="2">
        <f t="shared" si="153"/>
        <v>0</v>
      </c>
      <c r="AQ1019" s="2">
        <f t="shared" si="154"/>
        <v>0</v>
      </c>
      <c r="AR1019" s="2">
        <f t="shared" si="155"/>
        <v>0</v>
      </c>
      <c r="AS1019" s="2">
        <f t="shared" si="156"/>
        <v>0</v>
      </c>
      <c r="AT1019" s="25">
        <f t="shared" si="157"/>
        <v>0</v>
      </c>
    </row>
    <row r="1020" spans="1:46">
      <c r="A1020" s="24">
        <v>46141</v>
      </c>
      <c r="B1020" s="23">
        <f t="shared" si="150"/>
        <v>46113</v>
      </c>
      <c r="C1020" s="2" t="s">
        <v>82</v>
      </c>
      <c r="D1020" s="2" t="s">
        <v>206</v>
      </c>
      <c r="E1020" s="2">
        <v>8141</v>
      </c>
      <c r="F1020" s="2">
        <v>155</v>
      </c>
      <c r="G1020" s="2">
        <f t="shared" si="158"/>
        <v>32</v>
      </c>
      <c r="H1020" s="2">
        <f t="shared" si="159"/>
        <v>32</v>
      </c>
      <c r="I1020" s="2">
        <v>0</v>
      </c>
      <c r="J1020" s="44" t="s">
        <v>48</v>
      </c>
      <c r="K1020" s="2" t="s">
        <v>49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/>
      <c r="AM1020" s="2" t="s">
        <v>103</v>
      </c>
      <c r="AN1020" s="2">
        <f t="shared" si="151"/>
        <v>0</v>
      </c>
      <c r="AO1020" s="2">
        <f t="shared" si="152"/>
        <v>0</v>
      </c>
      <c r="AP1020" s="2">
        <f t="shared" si="153"/>
        <v>0</v>
      </c>
      <c r="AQ1020" s="2">
        <f t="shared" si="154"/>
        <v>0</v>
      </c>
      <c r="AR1020" s="2">
        <f t="shared" si="155"/>
        <v>0</v>
      </c>
      <c r="AS1020" s="2">
        <f t="shared" si="156"/>
        <v>0</v>
      </c>
      <c r="AT1020" s="25">
        <f t="shared" si="157"/>
        <v>0</v>
      </c>
    </row>
    <row r="1021" spans="1:46">
      <c r="A1021" s="24">
        <v>46141</v>
      </c>
      <c r="B1021" s="23">
        <f t="shared" si="150"/>
        <v>46113</v>
      </c>
      <c r="C1021" s="2" t="s">
        <v>114</v>
      </c>
      <c r="D1021" s="2" t="s">
        <v>1446</v>
      </c>
      <c r="E1021" s="2">
        <v>6208</v>
      </c>
      <c r="F1021" s="2">
        <v>175</v>
      </c>
      <c r="G1021" s="2">
        <f t="shared" si="158"/>
        <v>32</v>
      </c>
      <c r="H1021" s="2">
        <f t="shared" si="159"/>
        <v>32</v>
      </c>
      <c r="I1021" s="2">
        <v>0</v>
      </c>
      <c r="J1021" s="44" t="s">
        <v>48</v>
      </c>
      <c r="K1021" s="2" t="s">
        <v>49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/>
      <c r="AM1021" s="2" t="s">
        <v>103</v>
      </c>
      <c r="AN1021" s="2">
        <f t="shared" si="151"/>
        <v>0</v>
      </c>
      <c r="AO1021" s="2">
        <f t="shared" si="152"/>
        <v>0</v>
      </c>
      <c r="AP1021" s="2">
        <f t="shared" si="153"/>
        <v>0</v>
      </c>
      <c r="AQ1021" s="2">
        <f t="shared" si="154"/>
        <v>0</v>
      </c>
      <c r="AR1021" s="2">
        <f t="shared" si="155"/>
        <v>0</v>
      </c>
      <c r="AS1021" s="2">
        <f t="shared" si="156"/>
        <v>0</v>
      </c>
      <c r="AT1021" s="25">
        <f t="shared" si="157"/>
        <v>0</v>
      </c>
    </row>
    <row r="1022" spans="1:46">
      <c r="A1022" s="24">
        <v>46141</v>
      </c>
      <c r="B1022" s="23">
        <f t="shared" si="150"/>
        <v>46113</v>
      </c>
      <c r="C1022" s="2" t="s">
        <v>72</v>
      </c>
      <c r="D1022" s="2" t="s">
        <v>319</v>
      </c>
      <c r="E1022" s="2">
        <v>8109</v>
      </c>
      <c r="F1022" s="2">
        <v>788</v>
      </c>
      <c r="G1022" s="2">
        <f t="shared" si="158"/>
        <v>80</v>
      </c>
      <c r="H1022" s="2">
        <f t="shared" si="159"/>
        <v>79</v>
      </c>
      <c r="I1022" s="2">
        <v>1</v>
      </c>
      <c r="J1022" s="44" t="s">
        <v>48</v>
      </c>
      <c r="K1022" s="2" t="s">
        <v>49</v>
      </c>
      <c r="L1022" s="2">
        <v>1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/>
      <c r="AM1022" s="2" t="s">
        <v>103</v>
      </c>
      <c r="AN1022" s="2">
        <f t="shared" si="151"/>
        <v>1</v>
      </c>
      <c r="AO1022" s="2">
        <f t="shared" si="152"/>
        <v>0</v>
      </c>
      <c r="AP1022" s="2">
        <f t="shared" si="153"/>
        <v>0</v>
      </c>
      <c r="AQ1022" s="2">
        <f t="shared" si="154"/>
        <v>0</v>
      </c>
      <c r="AR1022" s="2">
        <f t="shared" si="155"/>
        <v>0</v>
      </c>
      <c r="AS1022" s="2">
        <f t="shared" si="156"/>
        <v>0</v>
      </c>
      <c r="AT1022" s="25">
        <f t="shared" si="157"/>
        <v>0</v>
      </c>
    </row>
    <row r="1023" spans="1:46">
      <c r="A1023" s="24">
        <v>46141</v>
      </c>
      <c r="B1023" s="23">
        <f t="shared" si="150"/>
        <v>46113</v>
      </c>
      <c r="C1023" s="2" t="s">
        <v>55</v>
      </c>
      <c r="D1023" s="2" t="s">
        <v>132</v>
      </c>
      <c r="E1023" s="2">
        <v>1775</v>
      </c>
      <c r="F1023" s="2">
        <v>526</v>
      </c>
      <c r="G1023" s="2">
        <f t="shared" si="158"/>
        <v>80</v>
      </c>
      <c r="H1023" s="2">
        <f t="shared" si="159"/>
        <v>78</v>
      </c>
      <c r="I1023" s="2">
        <v>2</v>
      </c>
      <c r="J1023" s="44" t="s">
        <v>48</v>
      </c>
      <c r="K1023" s="2" t="s">
        <v>49</v>
      </c>
      <c r="L1023" s="2">
        <v>2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/>
      <c r="AM1023" s="2" t="s">
        <v>103</v>
      </c>
      <c r="AN1023" s="2">
        <f t="shared" si="151"/>
        <v>2</v>
      </c>
      <c r="AO1023" s="2">
        <f t="shared" si="152"/>
        <v>0</v>
      </c>
      <c r="AP1023" s="2">
        <f t="shared" si="153"/>
        <v>0</v>
      </c>
      <c r="AQ1023" s="2">
        <f t="shared" si="154"/>
        <v>0</v>
      </c>
      <c r="AR1023" s="2">
        <f t="shared" si="155"/>
        <v>0</v>
      </c>
      <c r="AS1023" s="2">
        <f t="shared" si="156"/>
        <v>0</v>
      </c>
      <c r="AT1023" s="25">
        <f t="shared" si="157"/>
        <v>0</v>
      </c>
    </row>
    <row r="1024" spans="1:46">
      <c r="A1024" s="24">
        <v>46141</v>
      </c>
      <c r="B1024" s="23">
        <f t="shared" si="150"/>
        <v>46113</v>
      </c>
      <c r="C1024" s="2" t="s">
        <v>95</v>
      </c>
      <c r="D1024" s="2" t="s">
        <v>299</v>
      </c>
      <c r="E1024" s="2">
        <v>2679</v>
      </c>
      <c r="F1024" s="2">
        <v>72</v>
      </c>
      <c r="G1024" s="2">
        <f t="shared" si="158"/>
        <v>20</v>
      </c>
      <c r="H1024" s="2">
        <f t="shared" si="159"/>
        <v>19</v>
      </c>
      <c r="I1024" s="2">
        <v>1</v>
      </c>
      <c r="J1024" s="44" t="s">
        <v>48</v>
      </c>
      <c r="K1024" s="2" t="s">
        <v>49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1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/>
      <c r="AM1024" s="2" t="s">
        <v>1569</v>
      </c>
      <c r="AN1024" s="2">
        <f t="shared" si="151"/>
        <v>0</v>
      </c>
      <c r="AO1024" s="2">
        <f t="shared" si="152"/>
        <v>0</v>
      </c>
      <c r="AP1024" s="2">
        <f t="shared" si="153"/>
        <v>0</v>
      </c>
      <c r="AQ1024" s="2">
        <f t="shared" si="154"/>
        <v>1</v>
      </c>
      <c r="AR1024" s="2">
        <f t="shared" si="155"/>
        <v>0</v>
      </c>
      <c r="AS1024" s="2">
        <f t="shared" si="156"/>
        <v>0</v>
      </c>
      <c r="AT1024" s="25">
        <f t="shared" si="157"/>
        <v>0</v>
      </c>
    </row>
    <row r="1025" spans="1:46">
      <c r="A1025" s="24">
        <v>46141</v>
      </c>
      <c r="B1025" s="23">
        <f t="shared" si="150"/>
        <v>46113</v>
      </c>
      <c r="C1025" s="2" t="s">
        <v>63</v>
      </c>
      <c r="D1025" s="2" t="s">
        <v>96</v>
      </c>
      <c r="E1025" s="2">
        <v>1802</v>
      </c>
      <c r="F1025" s="2">
        <v>580</v>
      </c>
      <c r="G1025" s="2">
        <f t="shared" si="158"/>
        <v>80</v>
      </c>
      <c r="H1025" s="2">
        <f t="shared" si="159"/>
        <v>75</v>
      </c>
      <c r="I1025" s="2">
        <v>5</v>
      </c>
      <c r="J1025" s="44" t="s">
        <v>48</v>
      </c>
      <c r="K1025" s="2" t="s">
        <v>49</v>
      </c>
      <c r="L1025" s="2">
        <v>2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3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/>
      <c r="AM1025" s="2" t="s">
        <v>1569</v>
      </c>
      <c r="AN1025" s="2">
        <f t="shared" si="151"/>
        <v>2</v>
      </c>
      <c r="AO1025" s="2">
        <f t="shared" si="152"/>
        <v>3</v>
      </c>
      <c r="AP1025" s="2">
        <f t="shared" si="153"/>
        <v>0</v>
      </c>
      <c r="AQ1025" s="2">
        <f t="shared" si="154"/>
        <v>0</v>
      </c>
      <c r="AR1025" s="2">
        <f t="shared" si="155"/>
        <v>0</v>
      </c>
      <c r="AS1025" s="2">
        <f t="shared" si="156"/>
        <v>0</v>
      </c>
      <c r="AT1025" s="25">
        <f t="shared" si="157"/>
        <v>0</v>
      </c>
    </row>
    <row r="1026" spans="1:46">
      <c r="A1026" s="24">
        <v>46141</v>
      </c>
      <c r="B1026" s="23">
        <f t="shared" ref="B1026:B1089" si="160">EOMONTH(A1026,-1)+1</f>
        <v>46113</v>
      </c>
      <c r="C1026" s="2" t="s">
        <v>63</v>
      </c>
      <c r="D1026" s="2" t="s">
        <v>96</v>
      </c>
      <c r="E1026" s="2">
        <v>1802</v>
      </c>
      <c r="F1026" s="2">
        <v>1000</v>
      </c>
      <c r="G1026" s="2">
        <f t="shared" si="158"/>
        <v>80</v>
      </c>
      <c r="H1026" s="2">
        <f t="shared" si="159"/>
        <v>72</v>
      </c>
      <c r="I1026" s="2">
        <v>8</v>
      </c>
      <c r="J1026" s="44" t="s">
        <v>67</v>
      </c>
      <c r="K1026" s="2" t="s">
        <v>49</v>
      </c>
      <c r="L1026" s="2">
        <v>8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/>
      <c r="AM1026" s="2" t="s">
        <v>1569</v>
      </c>
      <c r="AN1026" s="2">
        <f t="shared" ref="AN1026:AN1089" si="161">+L1026+AI1026</f>
        <v>8</v>
      </c>
      <c r="AO1026" s="2">
        <f t="shared" ref="AO1026:AO1089" si="162">+M1026+N1026+O1026+P1026+Q1026+R1026+S1026+T1026+U1026+V1026</f>
        <v>0</v>
      </c>
      <c r="AP1026" s="2">
        <f t="shared" ref="AP1026:AP1089" si="163">+AE1026+AF1026</f>
        <v>0</v>
      </c>
      <c r="AQ1026" s="2">
        <f t="shared" ref="AQ1026:AQ1089" si="164">+AK1026+AD1026+AC1026+AJ1026</f>
        <v>0</v>
      </c>
      <c r="AR1026" s="2">
        <f t="shared" ref="AR1026:AR1089" si="165">+W1026+X1026+Y1026+Z1026+AA1026+AB1026</f>
        <v>0</v>
      </c>
      <c r="AS1026" s="2">
        <f t="shared" ref="AS1026:AS1089" si="166">+AG1026</f>
        <v>0</v>
      </c>
      <c r="AT1026" s="25">
        <f t="shared" ref="AT1026:AT1089" si="167">+AH1026</f>
        <v>0</v>
      </c>
    </row>
    <row r="1027" spans="1:46">
      <c r="A1027" s="24">
        <v>46141</v>
      </c>
      <c r="B1027" s="23">
        <f t="shared" si="160"/>
        <v>46113</v>
      </c>
      <c r="C1027" s="2" t="s">
        <v>63</v>
      </c>
      <c r="D1027" s="2" t="s">
        <v>96</v>
      </c>
      <c r="E1027" s="2">
        <v>1802</v>
      </c>
      <c r="F1027" s="2">
        <v>1000</v>
      </c>
      <c r="G1027" s="2">
        <f t="shared" ref="G1027:G1090" si="168">IF(F1027&lt;1001,IF(F1027&gt;500,80,IF(F1027&gt;280,50,IF(F1027&gt;150,32,IF(F1027&lt;51,F1027,20)))),125)</f>
        <v>80</v>
      </c>
      <c r="H1027" s="2">
        <f t="shared" ref="H1027:H1090" si="169">G1027-I1027</f>
        <v>76</v>
      </c>
      <c r="I1027" s="2">
        <v>4</v>
      </c>
      <c r="J1027" s="44" t="s">
        <v>48</v>
      </c>
      <c r="K1027" s="2" t="s">
        <v>49</v>
      </c>
      <c r="L1027" s="2">
        <v>4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/>
      <c r="AM1027" s="2" t="s">
        <v>1569</v>
      </c>
      <c r="AN1027" s="2">
        <f t="shared" si="161"/>
        <v>4</v>
      </c>
      <c r="AO1027" s="2">
        <f t="shared" si="162"/>
        <v>0</v>
      </c>
      <c r="AP1027" s="2">
        <f t="shared" si="163"/>
        <v>0</v>
      </c>
      <c r="AQ1027" s="2">
        <f t="shared" si="164"/>
        <v>0</v>
      </c>
      <c r="AR1027" s="2">
        <f t="shared" si="165"/>
        <v>0</v>
      </c>
      <c r="AS1027" s="2">
        <f t="shared" si="166"/>
        <v>0</v>
      </c>
      <c r="AT1027" s="25">
        <f t="shared" si="167"/>
        <v>0</v>
      </c>
    </row>
    <row r="1028" spans="1:46">
      <c r="A1028" s="24">
        <v>46141</v>
      </c>
      <c r="B1028" s="23">
        <f t="shared" si="160"/>
        <v>46113</v>
      </c>
      <c r="C1028" s="2" t="s">
        <v>72</v>
      </c>
      <c r="D1028" s="2" t="s">
        <v>199</v>
      </c>
      <c r="E1028" s="2">
        <v>1825</v>
      </c>
      <c r="F1028" s="2">
        <v>280</v>
      </c>
      <c r="G1028" s="2">
        <f t="shared" si="168"/>
        <v>32</v>
      </c>
      <c r="H1028" s="2">
        <f t="shared" si="169"/>
        <v>31</v>
      </c>
      <c r="I1028" s="2">
        <v>1</v>
      </c>
      <c r="J1028" s="44" t="s">
        <v>48</v>
      </c>
      <c r="K1028" s="2" t="s">
        <v>49</v>
      </c>
      <c r="L1028" s="2">
        <v>1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/>
      <c r="AM1028" s="2" t="s">
        <v>103</v>
      </c>
      <c r="AN1028" s="2">
        <f t="shared" si="161"/>
        <v>1</v>
      </c>
      <c r="AO1028" s="2">
        <f t="shared" si="162"/>
        <v>0</v>
      </c>
      <c r="AP1028" s="2">
        <f t="shared" si="163"/>
        <v>0</v>
      </c>
      <c r="AQ1028" s="2">
        <f t="shared" si="164"/>
        <v>0</v>
      </c>
      <c r="AR1028" s="2">
        <f t="shared" si="165"/>
        <v>0</v>
      </c>
      <c r="AS1028" s="2">
        <f t="shared" si="166"/>
        <v>0</v>
      </c>
      <c r="AT1028" s="25">
        <f t="shared" si="167"/>
        <v>0</v>
      </c>
    </row>
    <row r="1029" spans="1:46">
      <c r="A1029" s="24">
        <v>46141</v>
      </c>
      <c r="B1029" s="23">
        <f t="shared" si="160"/>
        <v>46113</v>
      </c>
      <c r="C1029" s="2" t="s">
        <v>72</v>
      </c>
      <c r="D1029" s="2" t="s">
        <v>411</v>
      </c>
      <c r="E1029" s="2">
        <v>6284</v>
      </c>
      <c r="F1029" s="2">
        <v>492</v>
      </c>
      <c r="G1029" s="2">
        <f t="shared" si="168"/>
        <v>50</v>
      </c>
      <c r="H1029" s="2">
        <f t="shared" si="169"/>
        <v>50</v>
      </c>
      <c r="I1029" s="2">
        <v>0</v>
      </c>
      <c r="J1029" s="44" t="s">
        <v>48</v>
      </c>
      <c r="K1029" s="2" t="s">
        <v>49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/>
      <c r="AM1029" s="2" t="s">
        <v>103</v>
      </c>
      <c r="AN1029" s="2">
        <f t="shared" si="161"/>
        <v>0</v>
      </c>
      <c r="AO1029" s="2">
        <f t="shared" si="162"/>
        <v>0</v>
      </c>
      <c r="AP1029" s="2">
        <f t="shared" si="163"/>
        <v>0</v>
      </c>
      <c r="AQ1029" s="2">
        <f t="shared" si="164"/>
        <v>0</v>
      </c>
      <c r="AR1029" s="2">
        <f t="shared" si="165"/>
        <v>0</v>
      </c>
      <c r="AS1029" s="2">
        <f t="shared" si="166"/>
        <v>0</v>
      </c>
      <c r="AT1029" s="25">
        <f t="shared" si="167"/>
        <v>0</v>
      </c>
    </row>
    <row r="1030" spans="1:46">
      <c r="A1030" s="24">
        <v>46141</v>
      </c>
      <c r="B1030" s="23">
        <f t="shared" si="160"/>
        <v>46113</v>
      </c>
      <c r="C1030" s="2" t="s">
        <v>46</v>
      </c>
      <c r="D1030" s="2" t="s">
        <v>128</v>
      </c>
      <c r="E1030" s="2">
        <v>6296</v>
      </c>
      <c r="F1030" s="2">
        <v>588</v>
      </c>
      <c r="G1030" s="2">
        <f t="shared" si="168"/>
        <v>80</v>
      </c>
      <c r="H1030" s="2">
        <f t="shared" si="169"/>
        <v>78</v>
      </c>
      <c r="I1030" s="2">
        <v>2</v>
      </c>
      <c r="J1030" s="44" t="s">
        <v>48</v>
      </c>
      <c r="K1030" s="2" t="s">
        <v>49</v>
      </c>
      <c r="L1030" s="2">
        <v>2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/>
      <c r="AM1030" s="2" t="s">
        <v>1569</v>
      </c>
      <c r="AN1030" s="2">
        <f t="shared" si="161"/>
        <v>2</v>
      </c>
      <c r="AO1030" s="2">
        <f t="shared" si="162"/>
        <v>0</v>
      </c>
      <c r="AP1030" s="2">
        <f t="shared" si="163"/>
        <v>0</v>
      </c>
      <c r="AQ1030" s="2">
        <f t="shared" si="164"/>
        <v>0</v>
      </c>
      <c r="AR1030" s="2">
        <f t="shared" si="165"/>
        <v>0</v>
      </c>
      <c r="AS1030" s="2">
        <f t="shared" si="166"/>
        <v>0</v>
      </c>
      <c r="AT1030" s="25">
        <f t="shared" si="167"/>
        <v>0</v>
      </c>
    </row>
    <row r="1031" spans="1:46">
      <c r="A1031" s="24">
        <v>46141</v>
      </c>
      <c r="B1031" s="23">
        <f t="shared" si="160"/>
        <v>46113</v>
      </c>
      <c r="C1031" s="2" t="s">
        <v>95</v>
      </c>
      <c r="D1031" s="2" t="s">
        <v>390</v>
      </c>
      <c r="E1031" s="2">
        <v>3301</v>
      </c>
      <c r="F1031" s="2">
        <v>65</v>
      </c>
      <c r="G1031" s="2">
        <f t="shared" si="168"/>
        <v>20</v>
      </c>
      <c r="H1031" s="2">
        <f t="shared" si="169"/>
        <v>20</v>
      </c>
      <c r="I1031" s="2">
        <v>0</v>
      </c>
      <c r="J1031" s="44" t="s">
        <v>48</v>
      </c>
      <c r="K1031" s="2" t="s">
        <v>49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/>
      <c r="AM1031" s="2" t="s">
        <v>1569</v>
      </c>
      <c r="AN1031" s="2">
        <f t="shared" si="161"/>
        <v>0</v>
      </c>
      <c r="AO1031" s="2">
        <f t="shared" si="162"/>
        <v>0</v>
      </c>
      <c r="AP1031" s="2">
        <f t="shared" si="163"/>
        <v>0</v>
      </c>
      <c r="AQ1031" s="2">
        <f t="shared" si="164"/>
        <v>0</v>
      </c>
      <c r="AR1031" s="2">
        <f t="shared" si="165"/>
        <v>0</v>
      </c>
      <c r="AS1031" s="2">
        <f t="shared" si="166"/>
        <v>0</v>
      </c>
      <c r="AT1031" s="25">
        <f t="shared" si="167"/>
        <v>0</v>
      </c>
    </row>
    <row r="1032" spans="1:46">
      <c r="A1032" s="24">
        <v>46141</v>
      </c>
      <c r="B1032" s="23">
        <f t="shared" si="160"/>
        <v>46113</v>
      </c>
      <c r="C1032" s="2" t="s">
        <v>95</v>
      </c>
      <c r="D1032" s="2" t="s">
        <v>227</v>
      </c>
      <c r="E1032" s="2">
        <v>2679</v>
      </c>
      <c r="F1032" s="2">
        <v>231</v>
      </c>
      <c r="G1032" s="2">
        <f t="shared" si="168"/>
        <v>32</v>
      </c>
      <c r="H1032" s="2">
        <f t="shared" si="169"/>
        <v>32</v>
      </c>
      <c r="I1032" s="2">
        <v>0</v>
      </c>
      <c r="J1032" s="44" t="s">
        <v>48</v>
      </c>
      <c r="K1032" s="2" t="s">
        <v>49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/>
      <c r="AM1032" s="2" t="s">
        <v>1569</v>
      </c>
      <c r="AN1032" s="2">
        <f t="shared" si="161"/>
        <v>0</v>
      </c>
      <c r="AO1032" s="2">
        <f t="shared" si="162"/>
        <v>0</v>
      </c>
      <c r="AP1032" s="2">
        <f t="shared" si="163"/>
        <v>0</v>
      </c>
      <c r="AQ1032" s="2">
        <f t="shared" si="164"/>
        <v>0</v>
      </c>
      <c r="AR1032" s="2">
        <f t="shared" si="165"/>
        <v>0</v>
      </c>
      <c r="AS1032" s="2">
        <f t="shared" si="166"/>
        <v>0</v>
      </c>
      <c r="AT1032" s="25">
        <f t="shared" si="167"/>
        <v>0</v>
      </c>
    </row>
    <row r="1033" spans="1:46">
      <c r="A1033" s="24">
        <v>46141</v>
      </c>
      <c r="B1033" s="23">
        <f t="shared" si="160"/>
        <v>46113</v>
      </c>
      <c r="C1033" s="2" t="s">
        <v>160</v>
      </c>
      <c r="D1033" s="3" t="s">
        <v>162</v>
      </c>
      <c r="E1033" s="2">
        <v>3227</v>
      </c>
      <c r="F1033" s="2">
        <v>85</v>
      </c>
      <c r="G1033" s="2">
        <f t="shared" si="168"/>
        <v>20</v>
      </c>
      <c r="H1033" s="2">
        <f t="shared" si="169"/>
        <v>20</v>
      </c>
      <c r="I1033" s="2">
        <v>0</v>
      </c>
      <c r="J1033" s="44" t="s">
        <v>48</v>
      </c>
      <c r="K1033" s="2" t="s">
        <v>49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/>
      <c r="AM1033" s="2" t="s">
        <v>1569</v>
      </c>
      <c r="AN1033" s="2">
        <f t="shared" si="161"/>
        <v>0</v>
      </c>
      <c r="AO1033" s="2">
        <f t="shared" si="162"/>
        <v>0</v>
      </c>
      <c r="AP1033" s="2">
        <f t="shared" si="163"/>
        <v>0</v>
      </c>
      <c r="AQ1033" s="2">
        <f t="shared" si="164"/>
        <v>0</v>
      </c>
      <c r="AR1033" s="2">
        <f t="shared" si="165"/>
        <v>0</v>
      </c>
      <c r="AS1033" s="2">
        <f t="shared" si="166"/>
        <v>0</v>
      </c>
      <c r="AT1033" s="25">
        <f t="shared" si="167"/>
        <v>0</v>
      </c>
    </row>
    <row r="1034" spans="1:46">
      <c r="A1034" s="24">
        <v>46141</v>
      </c>
      <c r="B1034" s="23">
        <f t="shared" si="160"/>
        <v>46113</v>
      </c>
      <c r="C1034" s="2" t="s">
        <v>95</v>
      </c>
      <c r="D1034" s="2" t="s">
        <v>298</v>
      </c>
      <c r="E1034" s="2">
        <v>3300</v>
      </c>
      <c r="F1034" s="2">
        <v>371</v>
      </c>
      <c r="G1034" s="2">
        <f t="shared" si="168"/>
        <v>50</v>
      </c>
      <c r="H1034" s="2">
        <f t="shared" si="169"/>
        <v>50</v>
      </c>
      <c r="I1034" s="2">
        <v>0</v>
      </c>
      <c r="J1034" s="44" t="s">
        <v>48</v>
      </c>
      <c r="K1034" s="2" t="s">
        <v>49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/>
      <c r="AM1034" s="2" t="s">
        <v>1569</v>
      </c>
      <c r="AN1034" s="2">
        <f t="shared" si="161"/>
        <v>0</v>
      </c>
      <c r="AO1034" s="2">
        <f t="shared" si="162"/>
        <v>0</v>
      </c>
      <c r="AP1034" s="2">
        <f t="shared" si="163"/>
        <v>0</v>
      </c>
      <c r="AQ1034" s="2">
        <f t="shared" si="164"/>
        <v>0</v>
      </c>
      <c r="AR1034" s="2">
        <f t="shared" si="165"/>
        <v>0</v>
      </c>
      <c r="AS1034" s="2">
        <f t="shared" si="166"/>
        <v>0</v>
      </c>
      <c r="AT1034" s="25">
        <f t="shared" si="167"/>
        <v>0</v>
      </c>
    </row>
    <row r="1035" spans="1:46">
      <c r="A1035" s="24">
        <v>46141</v>
      </c>
      <c r="B1035" s="23">
        <f t="shared" si="160"/>
        <v>46113</v>
      </c>
      <c r="C1035" s="2" t="s">
        <v>72</v>
      </c>
      <c r="D1035" s="2" t="s">
        <v>47</v>
      </c>
      <c r="E1035" s="2">
        <v>6296</v>
      </c>
      <c r="F1035" s="2">
        <v>533</v>
      </c>
      <c r="G1035" s="2">
        <f t="shared" si="168"/>
        <v>80</v>
      </c>
      <c r="H1035" s="2">
        <f t="shared" si="169"/>
        <v>80</v>
      </c>
      <c r="I1035" s="2">
        <v>0</v>
      </c>
      <c r="J1035" s="44" t="s">
        <v>48</v>
      </c>
      <c r="K1035" s="2" t="s">
        <v>49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/>
      <c r="AM1035" s="2" t="s">
        <v>103</v>
      </c>
      <c r="AN1035" s="2">
        <f t="shared" si="161"/>
        <v>0</v>
      </c>
      <c r="AO1035" s="2">
        <f t="shared" si="162"/>
        <v>0</v>
      </c>
      <c r="AP1035" s="2">
        <f t="shared" si="163"/>
        <v>0</v>
      </c>
      <c r="AQ1035" s="2">
        <f t="shared" si="164"/>
        <v>0</v>
      </c>
      <c r="AR1035" s="2">
        <f t="shared" si="165"/>
        <v>0</v>
      </c>
      <c r="AS1035" s="2">
        <f t="shared" si="166"/>
        <v>0</v>
      </c>
      <c r="AT1035" s="25">
        <f t="shared" si="167"/>
        <v>0</v>
      </c>
    </row>
    <row r="1036" spans="1:46">
      <c r="A1036" s="24">
        <v>46141</v>
      </c>
      <c r="B1036" s="23">
        <f t="shared" si="160"/>
        <v>46113</v>
      </c>
      <c r="C1036" s="2" t="s">
        <v>72</v>
      </c>
      <c r="D1036" s="2" t="s">
        <v>88</v>
      </c>
      <c r="E1036" s="2">
        <v>1825</v>
      </c>
      <c r="F1036" s="2">
        <v>125</v>
      </c>
      <c r="G1036" s="2">
        <f t="shared" si="168"/>
        <v>20</v>
      </c>
      <c r="H1036" s="2">
        <f t="shared" si="169"/>
        <v>20</v>
      </c>
      <c r="I1036" s="2">
        <v>0</v>
      </c>
      <c r="J1036" s="44" t="s">
        <v>48</v>
      </c>
      <c r="K1036" s="2" t="s">
        <v>49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/>
      <c r="AM1036" s="2" t="s">
        <v>103</v>
      </c>
      <c r="AN1036" s="2">
        <f t="shared" si="161"/>
        <v>0</v>
      </c>
      <c r="AO1036" s="2">
        <f t="shared" si="162"/>
        <v>0</v>
      </c>
      <c r="AP1036" s="2">
        <f t="shared" si="163"/>
        <v>0</v>
      </c>
      <c r="AQ1036" s="2">
        <f t="shared" si="164"/>
        <v>0</v>
      </c>
      <c r="AR1036" s="2">
        <f t="shared" si="165"/>
        <v>0</v>
      </c>
      <c r="AS1036" s="2">
        <f t="shared" si="166"/>
        <v>0</v>
      </c>
      <c r="AT1036" s="25">
        <f t="shared" si="167"/>
        <v>0</v>
      </c>
    </row>
    <row r="1037" spans="1:46">
      <c r="A1037" s="24">
        <v>46141</v>
      </c>
      <c r="B1037" s="23">
        <f t="shared" si="160"/>
        <v>46113</v>
      </c>
      <c r="C1037" s="2" t="s">
        <v>55</v>
      </c>
      <c r="D1037" s="2" t="s">
        <v>1579</v>
      </c>
      <c r="E1037" s="2">
        <v>6296</v>
      </c>
      <c r="F1037" s="2">
        <v>1000</v>
      </c>
      <c r="G1037" s="2">
        <f t="shared" si="168"/>
        <v>80</v>
      </c>
      <c r="H1037" s="2">
        <f t="shared" si="169"/>
        <v>77</v>
      </c>
      <c r="I1037" s="2">
        <v>3</v>
      </c>
      <c r="J1037" s="44" t="s">
        <v>48</v>
      </c>
      <c r="K1037" s="2" t="s">
        <v>49</v>
      </c>
      <c r="L1037" s="2">
        <v>3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/>
      <c r="AM1037" s="2" t="s">
        <v>1566</v>
      </c>
      <c r="AN1037" s="2">
        <f t="shared" si="161"/>
        <v>3</v>
      </c>
      <c r="AO1037" s="2">
        <f t="shared" si="162"/>
        <v>0</v>
      </c>
      <c r="AP1037" s="2">
        <f t="shared" si="163"/>
        <v>0</v>
      </c>
      <c r="AQ1037" s="2">
        <f t="shared" si="164"/>
        <v>0</v>
      </c>
      <c r="AR1037" s="2">
        <f t="shared" si="165"/>
        <v>0</v>
      </c>
      <c r="AS1037" s="2">
        <f t="shared" si="166"/>
        <v>0</v>
      </c>
      <c r="AT1037" s="25">
        <f t="shared" si="167"/>
        <v>0</v>
      </c>
    </row>
    <row r="1038" spans="1:46">
      <c r="A1038" s="24">
        <v>46141</v>
      </c>
      <c r="B1038" s="23">
        <f t="shared" si="160"/>
        <v>46113</v>
      </c>
      <c r="C1038" s="2" t="s">
        <v>55</v>
      </c>
      <c r="D1038" s="2" t="s">
        <v>1579</v>
      </c>
      <c r="E1038" s="2">
        <v>6296</v>
      </c>
      <c r="F1038" s="2">
        <v>164</v>
      </c>
      <c r="G1038" s="2">
        <f t="shared" si="168"/>
        <v>32</v>
      </c>
      <c r="H1038" s="2">
        <f t="shared" si="169"/>
        <v>31</v>
      </c>
      <c r="I1038" s="2">
        <v>1</v>
      </c>
      <c r="J1038" s="44" t="s">
        <v>48</v>
      </c>
      <c r="K1038" s="2" t="s">
        <v>49</v>
      </c>
      <c r="L1038" s="2">
        <v>1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/>
      <c r="AM1038" s="2" t="s">
        <v>1566</v>
      </c>
      <c r="AN1038" s="2">
        <f t="shared" si="161"/>
        <v>1</v>
      </c>
      <c r="AO1038" s="2">
        <f t="shared" si="162"/>
        <v>0</v>
      </c>
      <c r="AP1038" s="2">
        <f t="shared" si="163"/>
        <v>0</v>
      </c>
      <c r="AQ1038" s="2">
        <f t="shared" si="164"/>
        <v>0</v>
      </c>
      <c r="AR1038" s="2">
        <f t="shared" si="165"/>
        <v>0</v>
      </c>
      <c r="AS1038" s="2">
        <f t="shared" si="166"/>
        <v>0</v>
      </c>
      <c r="AT1038" s="25">
        <f t="shared" si="167"/>
        <v>0</v>
      </c>
    </row>
    <row r="1039" spans="1:46">
      <c r="A1039" s="24">
        <v>46141</v>
      </c>
      <c r="B1039" s="23">
        <f t="shared" si="160"/>
        <v>46113</v>
      </c>
      <c r="C1039" s="2" t="s">
        <v>55</v>
      </c>
      <c r="D1039" s="2" t="s">
        <v>222</v>
      </c>
      <c r="E1039" s="2">
        <v>2593</v>
      </c>
      <c r="F1039" s="2">
        <v>265</v>
      </c>
      <c r="G1039" s="2">
        <f t="shared" si="168"/>
        <v>32</v>
      </c>
      <c r="H1039" s="2">
        <f t="shared" si="169"/>
        <v>32</v>
      </c>
      <c r="I1039" s="2">
        <v>0</v>
      </c>
      <c r="J1039" s="44" t="s">
        <v>48</v>
      </c>
      <c r="K1039" s="2" t="s">
        <v>49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/>
      <c r="AM1039" s="2" t="s">
        <v>1566</v>
      </c>
      <c r="AN1039" s="2">
        <f t="shared" si="161"/>
        <v>0</v>
      </c>
      <c r="AO1039" s="2">
        <f t="shared" si="162"/>
        <v>0</v>
      </c>
      <c r="AP1039" s="2">
        <f t="shared" si="163"/>
        <v>0</v>
      </c>
      <c r="AQ1039" s="2">
        <f t="shared" si="164"/>
        <v>0</v>
      </c>
      <c r="AR1039" s="2">
        <f t="shared" si="165"/>
        <v>0</v>
      </c>
      <c r="AS1039" s="2">
        <f t="shared" si="166"/>
        <v>0</v>
      </c>
      <c r="AT1039" s="25">
        <f t="shared" si="167"/>
        <v>0</v>
      </c>
    </row>
    <row r="1040" spans="1:46">
      <c r="A1040" s="24">
        <v>46141</v>
      </c>
      <c r="B1040" s="23">
        <f t="shared" si="160"/>
        <v>46113</v>
      </c>
      <c r="C1040" s="2" t="s">
        <v>55</v>
      </c>
      <c r="D1040" s="2" t="s">
        <v>183</v>
      </c>
      <c r="E1040" s="2">
        <v>1729</v>
      </c>
      <c r="F1040" s="2">
        <v>72</v>
      </c>
      <c r="G1040" s="2">
        <f t="shared" si="168"/>
        <v>20</v>
      </c>
      <c r="H1040" s="2">
        <f t="shared" si="169"/>
        <v>10</v>
      </c>
      <c r="I1040" s="2">
        <v>10</v>
      </c>
      <c r="J1040" s="44" t="s">
        <v>67</v>
      </c>
      <c r="K1040" s="2" t="s">
        <v>49</v>
      </c>
      <c r="L1040" s="2">
        <v>10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/>
      <c r="AM1040" s="2" t="s">
        <v>1566</v>
      </c>
      <c r="AN1040" s="2">
        <f t="shared" si="161"/>
        <v>10</v>
      </c>
      <c r="AO1040" s="2">
        <f t="shared" si="162"/>
        <v>0</v>
      </c>
      <c r="AP1040" s="2">
        <f t="shared" si="163"/>
        <v>0</v>
      </c>
      <c r="AQ1040" s="2">
        <f t="shared" si="164"/>
        <v>0</v>
      </c>
      <c r="AR1040" s="2">
        <f t="shared" si="165"/>
        <v>0</v>
      </c>
      <c r="AS1040" s="2">
        <f t="shared" si="166"/>
        <v>0</v>
      </c>
      <c r="AT1040" s="25">
        <f t="shared" si="167"/>
        <v>0</v>
      </c>
    </row>
    <row r="1041" spans="1:46">
      <c r="A1041" s="24">
        <v>46141</v>
      </c>
      <c r="B1041" s="23">
        <f t="shared" si="160"/>
        <v>46113</v>
      </c>
      <c r="C1041" s="2" t="s">
        <v>62</v>
      </c>
      <c r="D1041" s="2" t="s">
        <v>272</v>
      </c>
      <c r="E1041" s="2">
        <v>2536</v>
      </c>
      <c r="F1041" s="2">
        <v>252</v>
      </c>
      <c r="G1041" s="2">
        <f t="shared" si="168"/>
        <v>32</v>
      </c>
      <c r="H1041" s="2">
        <f t="shared" si="169"/>
        <v>32</v>
      </c>
      <c r="I1041" s="2">
        <v>0</v>
      </c>
      <c r="J1041" s="44" t="s">
        <v>48</v>
      </c>
      <c r="K1041" s="2" t="s">
        <v>49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/>
      <c r="AM1041" s="2" t="s">
        <v>1568</v>
      </c>
      <c r="AN1041" s="2">
        <f t="shared" si="161"/>
        <v>0</v>
      </c>
      <c r="AO1041" s="2">
        <f t="shared" si="162"/>
        <v>0</v>
      </c>
      <c r="AP1041" s="2">
        <f t="shared" si="163"/>
        <v>0</v>
      </c>
      <c r="AQ1041" s="2">
        <f t="shared" si="164"/>
        <v>0</v>
      </c>
      <c r="AR1041" s="2">
        <f t="shared" si="165"/>
        <v>0</v>
      </c>
      <c r="AS1041" s="2">
        <f t="shared" si="166"/>
        <v>0</v>
      </c>
      <c r="AT1041" s="25">
        <f t="shared" si="167"/>
        <v>0</v>
      </c>
    </row>
    <row r="1042" spans="1:46">
      <c r="A1042" s="24">
        <v>46141</v>
      </c>
      <c r="B1042" s="23">
        <f t="shared" si="160"/>
        <v>46113</v>
      </c>
      <c r="C1042" s="2" t="s">
        <v>62</v>
      </c>
      <c r="D1042" s="2" t="s">
        <v>130</v>
      </c>
      <c r="E1042" s="2">
        <v>2656</v>
      </c>
      <c r="F1042" s="2">
        <v>135</v>
      </c>
      <c r="G1042" s="2">
        <f t="shared" si="168"/>
        <v>20</v>
      </c>
      <c r="H1042" s="2">
        <f t="shared" si="169"/>
        <v>20</v>
      </c>
      <c r="I1042" s="2">
        <v>0</v>
      </c>
      <c r="J1042" s="44" t="s">
        <v>48</v>
      </c>
      <c r="K1042" s="2" t="s">
        <v>49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/>
      <c r="AM1042" s="2" t="s">
        <v>1568</v>
      </c>
      <c r="AN1042" s="2">
        <f t="shared" si="161"/>
        <v>0</v>
      </c>
      <c r="AO1042" s="2">
        <f t="shared" si="162"/>
        <v>0</v>
      </c>
      <c r="AP1042" s="2">
        <f t="shared" si="163"/>
        <v>0</v>
      </c>
      <c r="AQ1042" s="2">
        <f t="shared" si="164"/>
        <v>0</v>
      </c>
      <c r="AR1042" s="2">
        <f t="shared" si="165"/>
        <v>0</v>
      </c>
      <c r="AS1042" s="2">
        <f t="shared" si="166"/>
        <v>0</v>
      </c>
      <c r="AT1042" s="25">
        <f t="shared" si="167"/>
        <v>0</v>
      </c>
    </row>
    <row r="1043" spans="1:46">
      <c r="A1043" s="24">
        <v>46141</v>
      </c>
      <c r="B1043" s="23">
        <f t="shared" si="160"/>
        <v>46113</v>
      </c>
      <c r="C1043" s="2" t="s">
        <v>63</v>
      </c>
      <c r="D1043" s="2" t="s">
        <v>270</v>
      </c>
      <c r="E1043" s="2">
        <v>1802</v>
      </c>
      <c r="F1043" s="2">
        <v>111</v>
      </c>
      <c r="G1043" s="2">
        <f t="shared" si="168"/>
        <v>20</v>
      </c>
      <c r="H1043" s="2">
        <f t="shared" si="169"/>
        <v>0</v>
      </c>
      <c r="I1043" s="2">
        <v>20</v>
      </c>
      <c r="J1043" s="44" t="s">
        <v>67</v>
      </c>
      <c r="K1043" s="2" t="s">
        <v>49</v>
      </c>
      <c r="L1043" s="2">
        <v>20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/>
      <c r="AM1043" s="2" t="s">
        <v>1568</v>
      </c>
      <c r="AN1043" s="2">
        <f t="shared" si="161"/>
        <v>20</v>
      </c>
      <c r="AO1043" s="2">
        <f t="shared" si="162"/>
        <v>0</v>
      </c>
      <c r="AP1043" s="2">
        <f t="shared" si="163"/>
        <v>0</v>
      </c>
      <c r="AQ1043" s="2">
        <f t="shared" si="164"/>
        <v>0</v>
      </c>
      <c r="AR1043" s="2">
        <f t="shared" si="165"/>
        <v>0</v>
      </c>
      <c r="AS1043" s="2">
        <f t="shared" si="166"/>
        <v>0</v>
      </c>
      <c r="AT1043" s="25">
        <f t="shared" si="167"/>
        <v>0</v>
      </c>
    </row>
    <row r="1044" spans="1:46">
      <c r="A1044" s="24">
        <v>46141</v>
      </c>
      <c r="B1044" s="23">
        <f t="shared" si="160"/>
        <v>46113</v>
      </c>
      <c r="C1044" s="2" t="s">
        <v>62</v>
      </c>
      <c r="D1044" s="2" t="s">
        <v>149</v>
      </c>
      <c r="E1044" s="2">
        <v>3305</v>
      </c>
      <c r="F1044" s="2">
        <v>74</v>
      </c>
      <c r="G1044" s="2">
        <f t="shared" si="168"/>
        <v>20</v>
      </c>
      <c r="H1044" s="2">
        <f t="shared" si="169"/>
        <v>20</v>
      </c>
      <c r="I1044" s="2">
        <v>0</v>
      </c>
      <c r="J1044" s="44" t="s">
        <v>48</v>
      </c>
      <c r="K1044" s="2" t="s">
        <v>49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/>
      <c r="AM1044" s="2" t="s">
        <v>1568</v>
      </c>
      <c r="AN1044" s="2">
        <f t="shared" si="161"/>
        <v>0</v>
      </c>
      <c r="AO1044" s="2">
        <f t="shared" si="162"/>
        <v>0</v>
      </c>
      <c r="AP1044" s="2">
        <f t="shared" si="163"/>
        <v>0</v>
      </c>
      <c r="AQ1044" s="2">
        <f t="shared" si="164"/>
        <v>0</v>
      </c>
      <c r="AR1044" s="2">
        <f t="shared" si="165"/>
        <v>0</v>
      </c>
      <c r="AS1044" s="2">
        <f t="shared" si="166"/>
        <v>0</v>
      </c>
      <c r="AT1044" s="25">
        <f t="shared" si="167"/>
        <v>0</v>
      </c>
    </row>
    <row r="1045" spans="1:46">
      <c r="A1045" s="24">
        <v>46141</v>
      </c>
      <c r="B1045" s="23">
        <f t="shared" si="160"/>
        <v>46113</v>
      </c>
      <c r="C1045" s="2" t="s">
        <v>62</v>
      </c>
      <c r="D1045" s="2" t="s">
        <v>194</v>
      </c>
      <c r="E1045" s="2">
        <v>3305</v>
      </c>
      <c r="F1045" s="2">
        <v>94</v>
      </c>
      <c r="G1045" s="2">
        <f t="shared" si="168"/>
        <v>20</v>
      </c>
      <c r="H1045" s="2">
        <f t="shared" si="169"/>
        <v>19</v>
      </c>
      <c r="I1045" s="2">
        <v>1</v>
      </c>
      <c r="J1045" s="44" t="s">
        <v>48</v>
      </c>
      <c r="K1045" s="2" t="s">
        <v>49</v>
      </c>
      <c r="L1045" s="2">
        <v>1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/>
      <c r="AM1045" s="2" t="s">
        <v>1568</v>
      </c>
      <c r="AN1045" s="2">
        <f t="shared" si="161"/>
        <v>1</v>
      </c>
      <c r="AO1045" s="2">
        <f t="shared" si="162"/>
        <v>0</v>
      </c>
      <c r="AP1045" s="2">
        <f t="shared" si="163"/>
        <v>0</v>
      </c>
      <c r="AQ1045" s="2">
        <f t="shared" si="164"/>
        <v>0</v>
      </c>
      <c r="AR1045" s="2">
        <f t="shared" si="165"/>
        <v>0</v>
      </c>
      <c r="AS1045" s="2">
        <f t="shared" si="166"/>
        <v>0</v>
      </c>
      <c r="AT1045" s="25">
        <f t="shared" si="167"/>
        <v>0</v>
      </c>
    </row>
    <row r="1046" spans="1:46">
      <c r="A1046" s="24">
        <v>46141</v>
      </c>
      <c r="B1046" s="23">
        <f t="shared" si="160"/>
        <v>46113</v>
      </c>
      <c r="C1046" s="2" t="s">
        <v>62</v>
      </c>
      <c r="D1046" s="2" t="s">
        <v>287</v>
      </c>
      <c r="E1046" s="2">
        <v>6282</v>
      </c>
      <c r="F1046" s="2">
        <v>56</v>
      </c>
      <c r="G1046" s="2">
        <f t="shared" si="168"/>
        <v>20</v>
      </c>
      <c r="H1046" s="2">
        <f t="shared" si="169"/>
        <v>20</v>
      </c>
      <c r="I1046" s="2">
        <v>0</v>
      </c>
      <c r="J1046" s="44" t="s">
        <v>48</v>
      </c>
      <c r="K1046" s="2" t="s">
        <v>49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/>
      <c r="AM1046" s="2" t="s">
        <v>1568</v>
      </c>
      <c r="AN1046" s="2">
        <f t="shared" si="161"/>
        <v>0</v>
      </c>
      <c r="AO1046" s="2">
        <f t="shared" si="162"/>
        <v>0</v>
      </c>
      <c r="AP1046" s="2">
        <f t="shared" si="163"/>
        <v>0</v>
      </c>
      <c r="AQ1046" s="2">
        <f t="shared" si="164"/>
        <v>0</v>
      </c>
      <c r="AR1046" s="2">
        <f t="shared" si="165"/>
        <v>0</v>
      </c>
      <c r="AS1046" s="2">
        <f t="shared" si="166"/>
        <v>0</v>
      </c>
      <c r="AT1046" s="25">
        <f t="shared" si="167"/>
        <v>0</v>
      </c>
    </row>
    <row r="1047" spans="1:46">
      <c r="A1047" s="24">
        <v>46141</v>
      </c>
      <c r="B1047" s="23">
        <f t="shared" si="160"/>
        <v>46113</v>
      </c>
      <c r="C1047" s="2" t="s">
        <v>63</v>
      </c>
      <c r="D1047" s="2" t="s">
        <v>409</v>
      </c>
      <c r="E1047" s="2">
        <v>1731</v>
      </c>
      <c r="F1047" s="2">
        <v>330</v>
      </c>
      <c r="G1047" s="2">
        <f t="shared" si="168"/>
        <v>50</v>
      </c>
      <c r="H1047" s="2">
        <f t="shared" si="169"/>
        <v>45</v>
      </c>
      <c r="I1047" s="2">
        <v>5</v>
      </c>
      <c r="J1047" s="44" t="s">
        <v>67</v>
      </c>
      <c r="K1047" s="2" t="s">
        <v>49</v>
      </c>
      <c r="L1047" s="2">
        <v>3</v>
      </c>
      <c r="M1047" s="2">
        <v>0</v>
      </c>
      <c r="N1047" s="2">
        <v>1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1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/>
      <c r="AM1047" s="2" t="s">
        <v>1568</v>
      </c>
      <c r="AN1047" s="2">
        <f t="shared" si="161"/>
        <v>3</v>
      </c>
      <c r="AO1047" s="2">
        <f t="shared" si="162"/>
        <v>1</v>
      </c>
      <c r="AP1047" s="2">
        <f t="shared" si="163"/>
        <v>1</v>
      </c>
      <c r="AQ1047" s="2">
        <f t="shared" si="164"/>
        <v>0</v>
      </c>
      <c r="AR1047" s="2">
        <f t="shared" si="165"/>
        <v>0</v>
      </c>
      <c r="AS1047" s="2">
        <f t="shared" si="166"/>
        <v>0</v>
      </c>
      <c r="AT1047" s="25">
        <f t="shared" si="167"/>
        <v>0</v>
      </c>
    </row>
    <row r="1048" spans="1:46">
      <c r="A1048" s="24">
        <v>46141</v>
      </c>
      <c r="B1048" s="23">
        <f t="shared" si="160"/>
        <v>46113</v>
      </c>
      <c r="C1048" s="2" t="s">
        <v>63</v>
      </c>
      <c r="D1048" s="2" t="s">
        <v>142</v>
      </c>
      <c r="E1048" s="2">
        <v>8060</v>
      </c>
      <c r="F1048" s="2">
        <v>500</v>
      </c>
      <c r="G1048" s="2">
        <f t="shared" si="168"/>
        <v>50</v>
      </c>
      <c r="H1048" s="2">
        <f t="shared" si="169"/>
        <v>50</v>
      </c>
      <c r="I1048" s="2">
        <v>0</v>
      </c>
      <c r="J1048" s="44" t="s">
        <v>48</v>
      </c>
      <c r="K1048" s="2" t="s">
        <v>49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/>
      <c r="AM1048" s="2" t="s">
        <v>1568</v>
      </c>
      <c r="AN1048" s="2">
        <f t="shared" si="161"/>
        <v>0</v>
      </c>
      <c r="AO1048" s="2">
        <f t="shared" si="162"/>
        <v>0</v>
      </c>
      <c r="AP1048" s="2">
        <f t="shared" si="163"/>
        <v>0</v>
      </c>
      <c r="AQ1048" s="2">
        <f t="shared" si="164"/>
        <v>0</v>
      </c>
      <c r="AR1048" s="2">
        <f t="shared" si="165"/>
        <v>0</v>
      </c>
      <c r="AS1048" s="2">
        <f t="shared" si="166"/>
        <v>0</v>
      </c>
      <c r="AT1048" s="25">
        <f t="shared" si="167"/>
        <v>0</v>
      </c>
    </row>
    <row r="1049" spans="1:46">
      <c r="A1049" s="24">
        <v>46141</v>
      </c>
      <c r="B1049" s="23">
        <f t="shared" si="160"/>
        <v>46113</v>
      </c>
      <c r="C1049" s="2" t="s">
        <v>66</v>
      </c>
      <c r="D1049" s="2" t="s">
        <v>413</v>
      </c>
      <c r="E1049" s="2">
        <v>3276</v>
      </c>
      <c r="F1049" s="2">
        <v>100</v>
      </c>
      <c r="G1049" s="2">
        <f t="shared" si="168"/>
        <v>20</v>
      </c>
      <c r="H1049" s="2">
        <f t="shared" si="169"/>
        <v>20</v>
      </c>
      <c r="I1049" s="2">
        <v>0</v>
      </c>
      <c r="J1049" s="44" t="s">
        <v>48</v>
      </c>
      <c r="K1049" s="2" t="s">
        <v>49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/>
      <c r="AM1049" s="2" t="s">
        <v>110</v>
      </c>
      <c r="AN1049" s="2">
        <f t="shared" si="161"/>
        <v>0</v>
      </c>
      <c r="AO1049" s="2">
        <f t="shared" si="162"/>
        <v>0</v>
      </c>
      <c r="AP1049" s="2">
        <f t="shared" si="163"/>
        <v>0</v>
      </c>
      <c r="AQ1049" s="2">
        <f t="shared" si="164"/>
        <v>0</v>
      </c>
      <c r="AR1049" s="2">
        <f t="shared" si="165"/>
        <v>0</v>
      </c>
      <c r="AS1049" s="2">
        <f t="shared" si="166"/>
        <v>0</v>
      </c>
      <c r="AT1049" s="25">
        <f t="shared" si="167"/>
        <v>0</v>
      </c>
    </row>
    <row r="1050" spans="1:46">
      <c r="A1050" s="24">
        <v>46141</v>
      </c>
      <c r="B1050" s="23">
        <f t="shared" si="160"/>
        <v>46113</v>
      </c>
      <c r="C1050" s="2" t="s">
        <v>66</v>
      </c>
      <c r="D1050" s="2" t="s">
        <v>102</v>
      </c>
      <c r="E1050" s="2">
        <v>3220</v>
      </c>
      <c r="F1050" s="2">
        <v>57</v>
      </c>
      <c r="G1050" s="2">
        <f t="shared" si="168"/>
        <v>20</v>
      </c>
      <c r="H1050" s="2">
        <f t="shared" si="169"/>
        <v>20</v>
      </c>
      <c r="I1050" s="2">
        <v>0</v>
      </c>
      <c r="J1050" s="44" t="s">
        <v>48</v>
      </c>
      <c r="K1050" s="2" t="s">
        <v>49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/>
      <c r="AM1050" s="2" t="s">
        <v>110</v>
      </c>
      <c r="AN1050" s="2">
        <f t="shared" si="161"/>
        <v>0</v>
      </c>
      <c r="AO1050" s="2">
        <f t="shared" si="162"/>
        <v>0</v>
      </c>
      <c r="AP1050" s="2">
        <f t="shared" si="163"/>
        <v>0</v>
      </c>
      <c r="AQ1050" s="2">
        <f t="shared" si="164"/>
        <v>0</v>
      </c>
      <c r="AR1050" s="2">
        <f t="shared" si="165"/>
        <v>0</v>
      </c>
      <c r="AS1050" s="2">
        <f t="shared" si="166"/>
        <v>0</v>
      </c>
      <c r="AT1050" s="25">
        <f t="shared" si="167"/>
        <v>0</v>
      </c>
    </row>
    <row r="1051" spans="1:46">
      <c r="A1051" s="24">
        <v>46141</v>
      </c>
      <c r="B1051" s="23">
        <f t="shared" si="160"/>
        <v>46113</v>
      </c>
      <c r="C1051" s="2" t="s">
        <v>66</v>
      </c>
      <c r="D1051" s="2" t="s">
        <v>1300</v>
      </c>
      <c r="E1051" s="2">
        <v>1899</v>
      </c>
      <c r="F1051" s="2">
        <v>129</v>
      </c>
      <c r="G1051" s="2">
        <f t="shared" si="168"/>
        <v>20</v>
      </c>
      <c r="H1051" s="2">
        <f t="shared" si="169"/>
        <v>20</v>
      </c>
      <c r="I1051" s="2">
        <v>0</v>
      </c>
      <c r="J1051" s="44" t="s">
        <v>48</v>
      </c>
      <c r="K1051" s="2" t="s">
        <v>49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/>
      <c r="AM1051" s="2" t="s">
        <v>110</v>
      </c>
      <c r="AN1051" s="2">
        <f t="shared" si="161"/>
        <v>0</v>
      </c>
      <c r="AO1051" s="2">
        <f t="shared" si="162"/>
        <v>0</v>
      </c>
      <c r="AP1051" s="2">
        <f t="shared" si="163"/>
        <v>0</v>
      </c>
      <c r="AQ1051" s="2">
        <f t="shared" si="164"/>
        <v>0</v>
      </c>
      <c r="AR1051" s="2">
        <f t="shared" si="165"/>
        <v>0</v>
      </c>
      <c r="AS1051" s="2">
        <f t="shared" si="166"/>
        <v>0</v>
      </c>
      <c r="AT1051" s="25">
        <f t="shared" si="167"/>
        <v>0</v>
      </c>
    </row>
    <row r="1052" spans="1:46">
      <c r="A1052" s="24">
        <v>46141</v>
      </c>
      <c r="B1052" s="23">
        <f t="shared" si="160"/>
        <v>46113</v>
      </c>
      <c r="C1052" s="2" t="s">
        <v>66</v>
      </c>
      <c r="D1052" s="2" t="s">
        <v>1300</v>
      </c>
      <c r="E1052" s="2">
        <v>1899</v>
      </c>
      <c r="F1052" s="2">
        <v>263</v>
      </c>
      <c r="G1052" s="2">
        <f t="shared" si="168"/>
        <v>32</v>
      </c>
      <c r="H1052" s="2">
        <f t="shared" si="169"/>
        <v>32</v>
      </c>
      <c r="I1052" s="2">
        <v>0</v>
      </c>
      <c r="J1052" s="44" t="s">
        <v>48</v>
      </c>
      <c r="K1052" s="2" t="s">
        <v>49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/>
      <c r="AM1052" s="2" t="s">
        <v>110</v>
      </c>
      <c r="AN1052" s="2">
        <f t="shared" si="161"/>
        <v>0</v>
      </c>
      <c r="AO1052" s="2">
        <f t="shared" si="162"/>
        <v>0</v>
      </c>
      <c r="AP1052" s="2">
        <f t="shared" si="163"/>
        <v>0</v>
      </c>
      <c r="AQ1052" s="2">
        <f t="shared" si="164"/>
        <v>0</v>
      </c>
      <c r="AR1052" s="2">
        <f t="shared" si="165"/>
        <v>0</v>
      </c>
      <c r="AS1052" s="2">
        <f t="shared" si="166"/>
        <v>0</v>
      </c>
      <c r="AT1052" s="25">
        <f t="shared" si="167"/>
        <v>0</v>
      </c>
    </row>
    <row r="1053" spans="1:46">
      <c r="A1053" s="24">
        <v>46141</v>
      </c>
      <c r="B1053" s="23">
        <f t="shared" si="160"/>
        <v>46113</v>
      </c>
      <c r="C1053" s="2" t="s">
        <v>66</v>
      </c>
      <c r="D1053" s="2" t="s">
        <v>1226</v>
      </c>
      <c r="E1053" s="2">
        <v>3299</v>
      </c>
      <c r="F1053" s="2">
        <v>300</v>
      </c>
      <c r="G1053" s="2">
        <f t="shared" si="168"/>
        <v>50</v>
      </c>
      <c r="H1053" s="2">
        <f t="shared" si="169"/>
        <v>50</v>
      </c>
      <c r="I1053" s="2">
        <v>0</v>
      </c>
      <c r="J1053" s="44" t="s">
        <v>48</v>
      </c>
      <c r="K1053" s="2" t="s">
        <v>49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/>
      <c r="AM1053" s="2" t="s">
        <v>110</v>
      </c>
      <c r="AN1053" s="2">
        <f t="shared" si="161"/>
        <v>0</v>
      </c>
      <c r="AO1053" s="2">
        <f t="shared" si="162"/>
        <v>0</v>
      </c>
      <c r="AP1053" s="2">
        <f t="shared" si="163"/>
        <v>0</v>
      </c>
      <c r="AQ1053" s="2">
        <f t="shared" si="164"/>
        <v>0</v>
      </c>
      <c r="AR1053" s="2">
        <f t="shared" si="165"/>
        <v>0</v>
      </c>
      <c r="AS1053" s="2">
        <f t="shared" si="166"/>
        <v>0</v>
      </c>
      <c r="AT1053" s="25">
        <f t="shared" si="167"/>
        <v>0</v>
      </c>
    </row>
    <row r="1054" spans="1:46">
      <c r="A1054" s="24">
        <v>46141</v>
      </c>
      <c r="B1054" s="23">
        <f t="shared" si="160"/>
        <v>46113</v>
      </c>
      <c r="C1054" s="2" t="s">
        <v>66</v>
      </c>
      <c r="D1054" s="2" t="s">
        <v>319</v>
      </c>
      <c r="E1054" s="2">
        <v>8109</v>
      </c>
      <c r="F1054" s="2">
        <v>392</v>
      </c>
      <c r="G1054" s="2">
        <f t="shared" si="168"/>
        <v>50</v>
      </c>
      <c r="H1054" s="2">
        <f t="shared" si="169"/>
        <v>49</v>
      </c>
      <c r="I1054" s="2">
        <v>1</v>
      </c>
      <c r="J1054" s="44" t="s">
        <v>48</v>
      </c>
      <c r="K1054" s="2" t="s">
        <v>49</v>
      </c>
      <c r="L1054" s="2">
        <v>1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/>
      <c r="AM1054" s="2" t="s">
        <v>110</v>
      </c>
      <c r="AN1054" s="2">
        <f t="shared" si="161"/>
        <v>1</v>
      </c>
      <c r="AO1054" s="2">
        <f t="shared" si="162"/>
        <v>0</v>
      </c>
      <c r="AP1054" s="2">
        <f t="shared" si="163"/>
        <v>0</v>
      </c>
      <c r="AQ1054" s="2">
        <f t="shared" si="164"/>
        <v>0</v>
      </c>
      <c r="AR1054" s="2">
        <f t="shared" si="165"/>
        <v>0</v>
      </c>
      <c r="AS1054" s="2">
        <f t="shared" si="166"/>
        <v>0</v>
      </c>
      <c r="AT1054" s="25">
        <f t="shared" si="167"/>
        <v>0</v>
      </c>
    </row>
    <row r="1055" spans="1:46">
      <c r="A1055" s="24">
        <v>46141</v>
      </c>
      <c r="B1055" s="23">
        <f t="shared" si="160"/>
        <v>46113</v>
      </c>
      <c r="C1055" s="2" t="s">
        <v>97</v>
      </c>
      <c r="D1055" s="2" t="s">
        <v>258</v>
      </c>
      <c r="E1055" s="2">
        <v>3315</v>
      </c>
      <c r="F1055" s="2">
        <v>184</v>
      </c>
      <c r="G1055" s="2">
        <f t="shared" si="168"/>
        <v>32</v>
      </c>
      <c r="H1055" s="2">
        <f t="shared" si="169"/>
        <v>32</v>
      </c>
      <c r="I1055" s="2">
        <v>0</v>
      </c>
      <c r="J1055" s="44" t="s">
        <v>48</v>
      </c>
      <c r="K1055" s="2" t="s">
        <v>49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/>
      <c r="AM1055" s="2" t="s">
        <v>110</v>
      </c>
      <c r="AN1055" s="2">
        <f t="shared" si="161"/>
        <v>0</v>
      </c>
      <c r="AO1055" s="2">
        <f t="shared" si="162"/>
        <v>0</v>
      </c>
      <c r="AP1055" s="2">
        <f t="shared" si="163"/>
        <v>0</v>
      </c>
      <c r="AQ1055" s="2">
        <f t="shared" si="164"/>
        <v>0</v>
      </c>
      <c r="AR1055" s="2">
        <f t="shared" si="165"/>
        <v>0</v>
      </c>
      <c r="AS1055" s="2">
        <f t="shared" si="166"/>
        <v>0</v>
      </c>
      <c r="AT1055" s="25">
        <f t="shared" si="167"/>
        <v>0</v>
      </c>
    </row>
    <row r="1056" spans="1:46">
      <c r="A1056" s="24">
        <v>46141</v>
      </c>
      <c r="B1056" s="23">
        <f t="shared" si="160"/>
        <v>46113</v>
      </c>
      <c r="C1056" s="2" t="s">
        <v>97</v>
      </c>
      <c r="D1056" s="2" t="s">
        <v>107</v>
      </c>
      <c r="E1056" s="2">
        <v>3319</v>
      </c>
      <c r="F1056" s="2">
        <v>57</v>
      </c>
      <c r="G1056" s="2">
        <f t="shared" si="168"/>
        <v>20</v>
      </c>
      <c r="H1056" s="2">
        <f t="shared" si="169"/>
        <v>20</v>
      </c>
      <c r="I1056" s="2">
        <v>0</v>
      </c>
      <c r="J1056" s="44" t="s">
        <v>48</v>
      </c>
      <c r="K1056" s="2" t="s">
        <v>49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/>
      <c r="AM1056" s="2" t="s">
        <v>110</v>
      </c>
      <c r="AN1056" s="2">
        <f t="shared" si="161"/>
        <v>0</v>
      </c>
      <c r="AO1056" s="2">
        <f t="shared" si="162"/>
        <v>0</v>
      </c>
      <c r="AP1056" s="2">
        <f t="shared" si="163"/>
        <v>0</v>
      </c>
      <c r="AQ1056" s="2">
        <f t="shared" si="164"/>
        <v>0</v>
      </c>
      <c r="AR1056" s="2">
        <f t="shared" si="165"/>
        <v>0</v>
      </c>
      <c r="AS1056" s="2">
        <f t="shared" si="166"/>
        <v>0</v>
      </c>
      <c r="AT1056" s="25">
        <f t="shared" si="167"/>
        <v>0</v>
      </c>
    </row>
    <row r="1057" spans="1:46">
      <c r="A1057" s="24">
        <v>46141</v>
      </c>
      <c r="B1057" s="23">
        <f t="shared" si="160"/>
        <v>46113</v>
      </c>
      <c r="C1057" s="2" t="s">
        <v>66</v>
      </c>
      <c r="D1057" s="2" t="s">
        <v>1405</v>
      </c>
      <c r="E1057" s="2">
        <v>6319</v>
      </c>
      <c r="F1057" s="2">
        <v>321</v>
      </c>
      <c r="G1057" s="2">
        <f t="shared" si="168"/>
        <v>50</v>
      </c>
      <c r="H1057" s="2">
        <f t="shared" si="169"/>
        <v>49</v>
      </c>
      <c r="I1057" s="2">
        <v>1</v>
      </c>
      <c r="J1057" s="44" t="s">
        <v>48</v>
      </c>
      <c r="K1057" s="2" t="s">
        <v>49</v>
      </c>
      <c r="L1057" s="2">
        <v>1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/>
      <c r="AM1057" s="2" t="s">
        <v>110</v>
      </c>
      <c r="AN1057" s="2">
        <f t="shared" si="161"/>
        <v>1</v>
      </c>
      <c r="AO1057" s="2">
        <f t="shared" si="162"/>
        <v>0</v>
      </c>
      <c r="AP1057" s="2">
        <f t="shared" si="163"/>
        <v>0</v>
      </c>
      <c r="AQ1057" s="2">
        <f t="shared" si="164"/>
        <v>0</v>
      </c>
      <c r="AR1057" s="2">
        <f t="shared" si="165"/>
        <v>0</v>
      </c>
      <c r="AS1057" s="2">
        <f t="shared" si="166"/>
        <v>0</v>
      </c>
      <c r="AT1057" s="25">
        <f t="shared" si="167"/>
        <v>0</v>
      </c>
    </row>
    <row r="1058" spans="1:46">
      <c r="A1058" s="24">
        <v>46142</v>
      </c>
      <c r="B1058" s="23">
        <f t="shared" si="160"/>
        <v>46113</v>
      </c>
      <c r="C1058" s="2" t="s">
        <v>72</v>
      </c>
      <c r="D1058" s="2" t="s">
        <v>116</v>
      </c>
      <c r="E1058" s="2">
        <v>2678</v>
      </c>
      <c r="F1058" s="2">
        <v>172</v>
      </c>
      <c r="G1058" s="2">
        <f t="shared" si="168"/>
        <v>32</v>
      </c>
      <c r="H1058" s="2">
        <f t="shared" si="169"/>
        <v>28</v>
      </c>
      <c r="I1058" s="2">
        <v>4</v>
      </c>
      <c r="J1058" s="44" t="s">
        <v>67</v>
      </c>
      <c r="K1058" s="2" t="s">
        <v>49</v>
      </c>
      <c r="L1058" s="2">
        <v>3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1</v>
      </c>
      <c r="AH1058" s="2">
        <v>0</v>
      </c>
      <c r="AI1058" s="2">
        <v>0</v>
      </c>
      <c r="AJ1058" s="2">
        <v>0</v>
      </c>
      <c r="AK1058" s="2">
        <v>0</v>
      </c>
      <c r="AL1058" s="2"/>
      <c r="AM1058" s="2" t="s">
        <v>80</v>
      </c>
      <c r="AN1058" s="2">
        <f t="shared" si="161"/>
        <v>3</v>
      </c>
      <c r="AO1058" s="2">
        <f t="shared" si="162"/>
        <v>0</v>
      </c>
      <c r="AP1058" s="2">
        <f t="shared" si="163"/>
        <v>0</v>
      </c>
      <c r="AQ1058" s="2">
        <f t="shared" si="164"/>
        <v>0</v>
      </c>
      <c r="AR1058" s="2">
        <f t="shared" si="165"/>
        <v>0</v>
      </c>
      <c r="AS1058" s="2">
        <f t="shared" si="166"/>
        <v>1</v>
      </c>
      <c r="AT1058" s="25">
        <f t="shared" si="167"/>
        <v>0</v>
      </c>
    </row>
    <row r="1059" spans="1:46">
      <c r="A1059" s="24">
        <v>46142</v>
      </c>
      <c r="B1059" s="23">
        <f t="shared" si="160"/>
        <v>46113</v>
      </c>
      <c r="C1059" s="2" t="s">
        <v>72</v>
      </c>
      <c r="D1059" s="2" t="s">
        <v>116</v>
      </c>
      <c r="E1059" s="2">
        <v>2678</v>
      </c>
      <c r="F1059" s="2">
        <v>165</v>
      </c>
      <c r="G1059" s="2">
        <f t="shared" si="168"/>
        <v>32</v>
      </c>
      <c r="H1059" s="2">
        <f t="shared" si="169"/>
        <v>32</v>
      </c>
      <c r="I1059" s="2">
        <v>0</v>
      </c>
      <c r="J1059" s="44" t="s">
        <v>48</v>
      </c>
      <c r="K1059" s="2" t="s">
        <v>49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/>
      <c r="AM1059" s="2" t="s">
        <v>80</v>
      </c>
      <c r="AN1059" s="2">
        <f t="shared" si="161"/>
        <v>0</v>
      </c>
      <c r="AO1059" s="2">
        <f t="shared" si="162"/>
        <v>0</v>
      </c>
      <c r="AP1059" s="2">
        <f t="shared" si="163"/>
        <v>0</v>
      </c>
      <c r="AQ1059" s="2">
        <f t="shared" si="164"/>
        <v>0</v>
      </c>
      <c r="AR1059" s="2">
        <f t="shared" si="165"/>
        <v>0</v>
      </c>
      <c r="AS1059" s="2">
        <f t="shared" si="166"/>
        <v>0</v>
      </c>
      <c r="AT1059" s="25">
        <f t="shared" si="167"/>
        <v>0</v>
      </c>
    </row>
    <row r="1060" spans="1:46">
      <c r="A1060" s="24">
        <v>46142</v>
      </c>
      <c r="B1060" s="23">
        <f t="shared" si="160"/>
        <v>46113</v>
      </c>
      <c r="C1060" s="2" t="s">
        <v>72</v>
      </c>
      <c r="D1060" s="2" t="s">
        <v>87</v>
      </c>
      <c r="E1060" s="2">
        <v>1825</v>
      </c>
      <c r="F1060" s="2">
        <v>91</v>
      </c>
      <c r="G1060" s="2">
        <f t="shared" si="168"/>
        <v>20</v>
      </c>
      <c r="H1060" s="2">
        <f t="shared" si="169"/>
        <v>20</v>
      </c>
      <c r="I1060" s="2">
        <v>0</v>
      </c>
      <c r="J1060" s="44" t="s">
        <v>48</v>
      </c>
      <c r="K1060" s="2" t="s">
        <v>49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/>
      <c r="AM1060" s="2" t="s">
        <v>110</v>
      </c>
      <c r="AN1060" s="2">
        <f t="shared" si="161"/>
        <v>0</v>
      </c>
      <c r="AO1060" s="2">
        <f t="shared" si="162"/>
        <v>0</v>
      </c>
      <c r="AP1060" s="2">
        <f t="shared" si="163"/>
        <v>0</v>
      </c>
      <c r="AQ1060" s="2">
        <f t="shared" si="164"/>
        <v>0</v>
      </c>
      <c r="AR1060" s="2">
        <f t="shared" si="165"/>
        <v>0</v>
      </c>
      <c r="AS1060" s="2">
        <f t="shared" si="166"/>
        <v>0</v>
      </c>
      <c r="AT1060" s="25">
        <f t="shared" si="167"/>
        <v>0</v>
      </c>
    </row>
    <row r="1061" spans="1:46">
      <c r="A1061" s="24">
        <v>46142</v>
      </c>
      <c r="B1061" s="23">
        <f t="shared" si="160"/>
        <v>46113</v>
      </c>
      <c r="C1061" s="2" t="s">
        <v>66</v>
      </c>
      <c r="D1061" s="2" t="s">
        <v>1401</v>
      </c>
      <c r="E1061" s="2">
        <v>6319</v>
      </c>
      <c r="F1061" s="2">
        <v>200</v>
      </c>
      <c r="G1061" s="2">
        <f t="shared" si="168"/>
        <v>32</v>
      </c>
      <c r="H1061" s="2">
        <f t="shared" si="169"/>
        <v>31</v>
      </c>
      <c r="I1061" s="2">
        <v>1</v>
      </c>
      <c r="J1061" s="44" t="s">
        <v>48</v>
      </c>
      <c r="K1061" s="2" t="s">
        <v>49</v>
      </c>
      <c r="L1061" s="2">
        <v>1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/>
      <c r="AM1061" s="2" t="s">
        <v>110</v>
      </c>
      <c r="AN1061" s="2">
        <f t="shared" si="161"/>
        <v>1</v>
      </c>
      <c r="AO1061" s="2">
        <f t="shared" si="162"/>
        <v>0</v>
      </c>
      <c r="AP1061" s="2">
        <f t="shared" si="163"/>
        <v>0</v>
      </c>
      <c r="AQ1061" s="2">
        <f t="shared" si="164"/>
        <v>0</v>
      </c>
      <c r="AR1061" s="2">
        <f t="shared" si="165"/>
        <v>0</v>
      </c>
      <c r="AS1061" s="2">
        <f t="shared" si="166"/>
        <v>0</v>
      </c>
      <c r="AT1061" s="25">
        <f t="shared" si="167"/>
        <v>0</v>
      </c>
    </row>
    <row r="1062" spans="1:46">
      <c r="A1062" s="24">
        <v>46142</v>
      </c>
      <c r="B1062" s="23">
        <f t="shared" si="160"/>
        <v>46113</v>
      </c>
      <c r="C1062" s="2" t="s">
        <v>66</v>
      </c>
      <c r="D1062" s="2" t="s">
        <v>218</v>
      </c>
      <c r="E1062" s="2">
        <v>7140</v>
      </c>
      <c r="F1062" s="2">
        <v>63</v>
      </c>
      <c r="G1062" s="2">
        <f t="shared" si="168"/>
        <v>20</v>
      </c>
      <c r="H1062" s="2">
        <f t="shared" si="169"/>
        <v>20</v>
      </c>
      <c r="I1062" s="2">
        <v>0</v>
      </c>
      <c r="J1062" s="44" t="s">
        <v>48</v>
      </c>
      <c r="K1062" s="2" t="s">
        <v>49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/>
      <c r="AM1062" s="2" t="s">
        <v>110</v>
      </c>
      <c r="AN1062" s="2">
        <f t="shared" si="161"/>
        <v>0</v>
      </c>
      <c r="AO1062" s="2">
        <f t="shared" si="162"/>
        <v>0</v>
      </c>
      <c r="AP1062" s="2">
        <f t="shared" si="163"/>
        <v>0</v>
      </c>
      <c r="AQ1062" s="2">
        <f t="shared" si="164"/>
        <v>0</v>
      </c>
      <c r="AR1062" s="2">
        <f t="shared" si="165"/>
        <v>0</v>
      </c>
      <c r="AS1062" s="2">
        <f t="shared" si="166"/>
        <v>0</v>
      </c>
      <c r="AT1062" s="25">
        <f t="shared" si="167"/>
        <v>0</v>
      </c>
    </row>
    <row r="1063" spans="1:46">
      <c r="A1063" s="24">
        <v>46142</v>
      </c>
      <c r="B1063" s="23">
        <f t="shared" si="160"/>
        <v>46113</v>
      </c>
      <c r="C1063" s="2" t="s">
        <v>66</v>
      </c>
      <c r="D1063" s="2" t="s">
        <v>113</v>
      </c>
      <c r="E1063" s="2">
        <v>2598</v>
      </c>
      <c r="F1063" s="2">
        <v>665</v>
      </c>
      <c r="G1063" s="2">
        <f t="shared" si="168"/>
        <v>80</v>
      </c>
      <c r="H1063" s="2">
        <f t="shared" si="169"/>
        <v>79</v>
      </c>
      <c r="I1063" s="2">
        <v>1</v>
      </c>
      <c r="J1063" s="44" t="s">
        <v>48</v>
      </c>
      <c r="K1063" s="2" t="s">
        <v>49</v>
      </c>
      <c r="L1063" s="2">
        <v>1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/>
      <c r="AM1063" s="2" t="s">
        <v>110</v>
      </c>
      <c r="AN1063" s="2">
        <f t="shared" si="161"/>
        <v>1</v>
      </c>
      <c r="AO1063" s="2">
        <f t="shared" si="162"/>
        <v>0</v>
      </c>
      <c r="AP1063" s="2">
        <f t="shared" si="163"/>
        <v>0</v>
      </c>
      <c r="AQ1063" s="2">
        <f t="shared" si="164"/>
        <v>0</v>
      </c>
      <c r="AR1063" s="2">
        <f t="shared" si="165"/>
        <v>0</v>
      </c>
      <c r="AS1063" s="2">
        <f t="shared" si="166"/>
        <v>0</v>
      </c>
      <c r="AT1063" s="25">
        <f t="shared" si="167"/>
        <v>0</v>
      </c>
    </row>
    <row r="1064" spans="1:46">
      <c r="A1064" s="24">
        <v>46142</v>
      </c>
      <c r="B1064" s="23">
        <f t="shared" si="160"/>
        <v>46113</v>
      </c>
      <c r="C1064" s="2" t="s">
        <v>66</v>
      </c>
      <c r="D1064" s="2" t="s">
        <v>306</v>
      </c>
      <c r="E1064" s="2">
        <v>6225</v>
      </c>
      <c r="F1064" s="2">
        <v>204</v>
      </c>
      <c r="G1064" s="2">
        <f t="shared" si="168"/>
        <v>32</v>
      </c>
      <c r="H1064" s="2">
        <f t="shared" si="169"/>
        <v>31</v>
      </c>
      <c r="I1064" s="2">
        <v>1</v>
      </c>
      <c r="J1064" s="44" t="s">
        <v>48</v>
      </c>
      <c r="K1064" s="2" t="s">
        <v>49</v>
      </c>
      <c r="L1064" s="2">
        <v>1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/>
      <c r="AM1064" s="2" t="s">
        <v>110</v>
      </c>
      <c r="AN1064" s="2">
        <f t="shared" si="161"/>
        <v>1</v>
      </c>
      <c r="AO1064" s="2">
        <f t="shared" si="162"/>
        <v>0</v>
      </c>
      <c r="AP1064" s="2">
        <f t="shared" si="163"/>
        <v>0</v>
      </c>
      <c r="AQ1064" s="2">
        <f t="shared" si="164"/>
        <v>0</v>
      </c>
      <c r="AR1064" s="2">
        <f t="shared" si="165"/>
        <v>0</v>
      </c>
      <c r="AS1064" s="2">
        <f t="shared" si="166"/>
        <v>0</v>
      </c>
      <c r="AT1064" s="25">
        <f t="shared" si="167"/>
        <v>0</v>
      </c>
    </row>
    <row r="1065" spans="1:46">
      <c r="A1065" s="24">
        <v>46142</v>
      </c>
      <c r="B1065" s="23">
        <f t="shared" si="160"/>
        <v>46113</v>
      </c>
      <c r="C1065" s="2" t="s">
        <v>55</v>
      </c>
      <c r="D1065" s="2" t="s">
        <v>149</v>
      </c>
      <c r="E1065" s="2">
        <v>3305</v>
      </c>
      <c r="F1065" s="2">
        <v>267</v>
      </c>
      <c r="G1065" s="2">
        <f t="shared" si="168"/>
        <v>32</v>
      </c>
      <c r="H1065" s="2">
        <f t="shared" si="169"/>
        <v>31</v>
      </c>
      <c r="I1065" s="2">
        <v>1</v>
      </c>
      <c r="J1065" s="44" t="s">
        <v>48</v>
      </c>
      <c r="K1065" s="2" t="s">
        <v>49</v>
      </c>
      <c r="L1065" s="2">
        <v>1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/>
      <c r="AM1065" s="2" t="s">
        <v>1566</v>
      </c>
      <c r="AN1065" s="2">
        <f t="shared" si="161"/>
        <v>1</v>
      </c>
      <c r="AO1065" s="2">
        <f t="shared" si="162"/>
        <v>0</v>
      </c>
      <c r="AP1065" s="2">
        <f t="shared" si="163"/>
        <v>0</v>
      </c>
      <c r="AQ1065" s="2">
        <f t="shared" si="164"/>
        <v>0</v>
      </c>
      <c r="AR1065" s="2">
        <f t="shared" si="165"/>
        <v>0</v>
      </c>
      <c r="AS1065" s="2">
        <f t="shared" si="166"/>
        <v>0</v>
      </c>
      <c r="AT1065" s="25">
        <f t="shared" si="167"/>
        <v>0</v>
      </c>
    </row>
    <row r="1066" spans="1:46">
      <c r="A1066" s="24">
        <v>46142</v>
      </c>
      <c r="B1066" s="23">
        <f t="shared" si="160"/>
        <v>46113</v>
      </c>
      <c r="C1066" s="2" t="s">
        <v>55</v>
      </c>
      <c r="D1066" s="2" t="s">
        <v>106</v>
      </c>
      <c r="E1066" s="2">
        <v>3305</v>
      </c>
      <c r="F1066" s="2">
        <v>409</v>
      </c>
      <c r="G1066" s="2">
        <f t="shared" si="168"/>
        <v>50</v>
      </c>
      <c r="H1066" s="2">
        <f t="shared" si="169"/>
        <v>50</v>
      </c>
      <c r="I1066" s="2">
        <v>0</v>
      </c>
      <c r="J1066" s="44" t="s">
        <v>48</v>
      </c>
      <c r="K1066" s="2" t="s">
        <v>49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/>
      <c r="AM1066" s="2" t="s">
        <v>1566</v>
      </c>
      <c r="AN1066" s="2">
        <f t="shared" si="161"/>
        <v>0</v>
      </c>
      <c r="AO1066" s="2">
        <f t="shared" si="162"/>
        <v>0</v>
      </c>
      <c r="AP1066" s="2">
        <f t="shared" si="163"/>
        <v>0</v>
      </c>
      <c r="AQ1066" s="2">
        <f t="shared" si="164"/>
        <v>0</v>
      </c>
      <c r="AR1066" s="2">
        <f t="shared" si="165"/>
        <v>0</v>
      </c>
      <c r="AS1066" s="2">
        <f t="shared" si="166"/>
        <v>0</v>
      </c>
      <c r="AT1066" s="25">
        <f t="shared" si="167"/>
        <v>0</v>
      </c>
    </row>
    <row r="1067" spans="1:46">
      <c r="A1067" s="24">
        <v>46142</v>
      </c>
      <c r="B1067" s="23">
        <f t="shared" si="160"/>
        <v>46113</v>
      </c>
      <c r="C1067" s="2" t="s">
        <v>55</v>
      </c>
      <c r="D1067" s="2" t="s">
        <v>194</v>
      </c>
      <c r="E1067" s="2">
        <v>3305</v>
      </c>
      <c r="F1067" s="2">
        <v>235</v>
      </c>
      <c r="G1067" s="2">
        <f t="shared" si="168"/>
        <v>32</v>
      </c>
      <c r="H1067" s="2">
        <f t="shared" si="169"/>
        <v>30</v>
      </c>
      <c r="I1067" s="2">
        <v>2</v>
      </c>
      <c r="J1067" s="44" t="s">
        <v>48</v>
      </c>
      <c r="K1067" s="2" t="s">
        <v>49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1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1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/>
      <c r="AM1067" s="2" t="s">
        <v>1566</v>
      </c>
      <c r="AN1067" s="2">
        <f t="shared" si="161"/>
        <v>0</v>
      </c>
      <c r="AO1067" s="2">
        <f t="shared" si="162"/>
        <v>1</v>
      </c>
      <c r="AP1067" s="2">
        <f t="shared" si="163"/>
        <v>1</v>
      </c>
      <c r="AQ1067" s="2">
        <f t="shared" si="164"/>
        <v>0</v>
      </c>
      <c r="AR1067" s="2">
        <f t="shared" si="165"/>
        <v>0</v>
      </c>
      <c r="AS1067" s="2">
        <f t="shared" si="166"/>
        <v>0</v>
      </c>
      <c r="AT1067" s="25">
        <f t="shared" si="167"/>
        <v>0</v>
      </c>
    </row>
    <row r="1068" spans="1:46">
      <c r="A1068" s="24">
        <v>46142</v>
      </c>
      <c r="B1068" s="23">
        <f t="shared" si="160"/>
        <v>46113</v>
      </c>
      <c r="C1068" s="2" t="s">
        <v>55</v>
      </c>
      <c r="D1068" s="2" t="s">
        <v>132</v>
      </c>
      <c r="E1068" s="2">
        <v>1775</v>
      </c>
      <c r="F1068" s="2">
        <v>371</v>
      </c>
      <c r="G1068" s="2">
        <f t="shared" si="168"/>
        <v>50</v>
      </c>
      <c r="H1068" s="2">
        <f t="shared" si="169"/>
        <v>50</v>
      </c>
      <c r="I1068" s="2">
        <v>0</v>
      </c>
      <c r="J1068" s="44" t="s">
        <v>48</v>
      </c>
      <c r="K1068" s="2" t="s">
        <v>49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/>
      <c r="AM1068" s="2" t="s">
        <v>1566</v>
      </c>
      <c r="AN1068" s="2">
        <f t="shared" si="161"/>
        <v>0</v>
      </c>
      <c r="AO1068" s="2">
        <f t="shared" si="162"/>
        <v>0</v>
      </c>
      <c r="AP1068" s="2">
        <f t="shared" si="163"/>
        <v>0</v>
      </c>
      <c r="AQ1068" s="2">
        <f t="shared" si="164"/>
        <v>0</v>
      </c>
      <c r="AR1068" s="2">
        <f t="shared" si="165"/>
        <v>0</v>
      </c>
      <c r="AS1068" s="2">
        <f t="shared" si="166"/>
        <v>0</v>
      </c>
      <c r="AT1068" s="25">
        <f t="shared" si="167"/>
        <v>0</v>
      </c>
    </row>
    <row r="1069" spans="1:46">
      <c r="A1069" s="24">
        <v>46142</v>
      </c>
      <c r="B1069" s="23">
        <f t="shared" si="160"/>
        <v>46113</v>
      </c>
      <c r="C1069" s="2" t="s">
        <v>55</v>
      </c>
      <c r="D1069" s="2" t="s">
        <v>138</v>
      </c>
      <c r="E1069" s="2">
        <v>2598</v>
      </c>
      <c r="F1069" s="2">
        <v>356</v>
      </c>
      <c r="G1069" s="2">
        <f t="shared" si="168"/>
        <v>50</v>
      </c>
      <c r="H1069" s="2">
        <f t="shared" si="169"/>
        <v>42</v>
      </c>
      <c r="I1069" s="2">
        <v>8</v>
      </c>
      <c r="J1069" s="44" t="s">
        <v>67</v>
      </c>
      <c r="K1069" s="2" t="s">
        <v>49</v>
      </c>
      <c r="L1069" s="2">
        <v>1</v>
      </c>
      <c r="M1069" s="2">
        <v>0</v>
      </c>
      <c r="N1069" s="2">
        <v>0</v>
      </c>
      <c r="O1069" s="2">
        <v>1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6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/>
      <c r="AM1069" s="2" t="s">
        <v>1566</v>
      </c>
      <c r="AN1069" s="2">
        <f t="shared" si="161"/>
        <v>1</v>
      </c>
      <c r="AO1069" s="2">
        <f t="shared" si="162"/>
        <v>1</v>
      </c>
      <c r="AP1069" s="2">
        <f t="shared" si="163"/>
        <v>6</v>
      </c>
      <c r="AQ1069" s="2">
        <f t="shared" si="164"/>
        <v>0</v>
      </c>
      <c r="AR1069" s="2">
        <f t="shared" si="165"/>
        <v>0</v>
      </c>
      <c r="AS1069" s="2">
        <f t="shared" si="166"/>
        <v>0</v>
      </c>
      <c r="AT1069" s="25">
        <f t="shared" si="167"/>
        <v>0</v>
      </c>
    </row>
    <row r="1070" spans="1:46">
      <c r="A1070" s="24">
        <v>46142</v>
      </c>
      <c r="B1070" s="23">
        <f t="shared" si="160"/>
        <v>46113</v>
      </c>
      <c r="C1070" s="2" t="s">
        <v>55</v>
      </c>
      <c r="D1070" s="2" t="s">
        <v>138</v>
      </c>
      <c r="E1070" s="2">
        <v>2598</v>
      </c>
      <c r="F1070" s="2">
        <v>332</v>
      </c>
      <c r="G1070" s="2">
        <f t="shared" si="168"/>
        <v>50</v>
      </c>
      <c r="H1070" s="2">
        <f t="shared" si="169"/>
        <v>50</v>
      </c>
      <c r="I1070" s="2">
        <v>0</v>
      </c>
      <c r="J1070" s="44" t="s">
        <v>48</v>
      </c>
      <c r="K1070" s="2" t="s">
        <v>49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/>
      <c r="AM1070" s="2" t="s">
        <v>1566</v>
      </c>
      <c r="AN1070" s="2">
        <f t="shared" si="161"/>
        <v>0</v>
      </c>
      <c r="AO1070" s="2">
        <f t="shared" si="162"/>
        <v>0</v>
      </c>
      <c r="AP1070" s="2">
        <f t="shared" si="163"/>
        <v>0</v>
      </c>
      <c r="AQ1070" s="2">
        <f t="shared" si="164"/>
        <v>0</v>
      </c>
      <c r="AR1070" s="2">
        <f t="shared" si="165"/>
        <v>0</v>
      </c>
      <c r="AS1070" s="2">
        <f t="shared" si="166"/>
        <v>0</v>
      </c>
      <c r="AT1070" s="25">
        <f t="shared" si="167"/>
        <v>0</v>
      </c>
    </row>
    <row r="1071" spans="1:46">
      <c r="A1071" s="24">
        <v>46142</v>
      </c>
      <c r="B1071" s="23">
        <f t="shared" si="160"/>
        <v>46113</v>
      </c>
      <c r="C1071" s="2" t="s">
        <v>55</v>
      </c>
      <c r="D1071" s="2" t="s">
        <v>222</v>
      </c>
      <c r="E1071" s="2">
        <v>2593</v>
      </c>
      <c r="F1071" s="2">
        <v>128</v>
      </c>
      <c r="G1071" s="2">
        <f t="shared" si="168"/>
        <v>20</v>
      </c>
      <c r="H1071" s="2">
        <f t="shared" si="169"/>
        <v>19</v>
      </c>
      <c r="I1071" s="2">
        <v>1</v>
      </c>
      <c r="J1071" s="44" t="s">
        <v>48</v>
      </c>
      <c r="K1071" s="2" t="s">
        <v>49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1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/>
      <c r="AM1071" s="2" t="s">
        <v>1566</v>
      </c>
      <c r="AN1071" s="2">
        <f t="shared" si="161"/>
        <v>0</v>
      </c>
      <c r="AO1071" s="2">
        <f t="shared" si="162"/>
        <v>0</v>
      </c>
      <c r="AP1071" s="2">
        <f t="shared" si="163"/>
        <v>0</v>
      </c>
      <c r="AQ1071" s="2">
        <f t="shared" si="164"/>
        <v>1</v>
      </c>
      <c r="AR1071" s="2">
        <f t="shared" si="165"/>
        <v>0</v>
      </c>
      <c r="AS1071" s="2">
        <f t="shared" si="166"/>
        <v>0</v>
      </c>
      <c r="AT1071" s="25">
        <f t="shared" si="167"/>
        <v>0</v>
      </c>
    </row>
    <row r="1072" spans="1:46">
      <c r="A1072" s="24">
        <v>46142</v>
      </c>
      <c r="B1072" s="23">
        <f t="shared" si="160"/>
        <v>46113</v>
      </c>
      <c r="C1072" s="2" t="s">
        <v>55</v>
      </c>
      <c r="D1072" s="2" t="s">
        <v>222</v>
      </c>
      <c r="E1072" s="2">
        <v>2593</v>
      </c>
      <c r="F1072" s="2">
        <v>95</v>
      </c>
      <c r="G1072" s="2">
        <f t="shared" si="168"/>
        <v>20</v>
      </c>
      <c r="H1072" s="2">
        <f t="shared" si="169"/>
        <v>20</v>
      </c>
      <c r="I1072" s="2">
        <v>0</v>
      </c>
      <c r="J1072" s="44" t="s">
        <v>48</v>
      </c>
      <c r="K1072" s="2" t="s">
        <v>49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/>
      <c r="AM1072" s="2" t="s">
        <v>1566</v>
      </c>
      <c r="AN1072" s="2">
        <f t="shared" si="161"/>
        <v>0</v>
      </c>
      <c r="AO1072" s="2">
        <f t="shared" si="162"/>
        <v>0</v>
      </c>
      <c r="AP1072" s="2">
        <f t="shared" si="163"/>
        <v>0</v>
      </c>
      <c r="AQ1072" s="2">
        <f t="shared" si="164"/>
        <v>0</v>
      </c>
      <c r="AR1072" s="2">
        <f t="shared" si="165"/>
        <v>0</v>
      </c>
      <c r="AS1072" s="2">
        <f t="shared" si="166"/>
        <v>0</v>
      </c>
      <c r="AT1072" s="25">
        <f t="shared" si="167"/>
        <v>0</v>
      </c>
    </row>
    <row r="1073" spans="1:46">
      <c r="A1073" s="24">
        <v>46142</v>
      </c>
      <c r="B1073" s="23">
        <f t="shared" si="160"/>
        <v>46113</v>
      </c>
      <c r="C1073" s="2" t="s">
        <v>62</v>
      </c>
      <c r="D1073" s="2" t="s">
        <v>287</v>
      </c>
      <c r="E1073" s="2">
        <v>6282</v>
      </c>
      <c r="F1073" s="2">
        <v>63</v>
      </c>
      <c r="G1073" s="2">
        <f t="shared" si="168"/>
        <v>20</v>
      </c>
      <c r="H1073" s="2">
        <f t="shared" si="169"/>
        <v>20</v>
      </c>
      <c r="I1073" s="2">
        <v>0</v>
      </c>
      <c r="J1073" s="44" t="s">
        <v>48</v>
      </c>
      <c r="K1073" s="2" t="s">
        <v>49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/>
      <c r="AM1073" s="2" t="s">
        <v>1568</v>
      </c>
      <c r="AN1073" s="2">
        <f t="shared" si="161"/>
        <v>0</v>
      </c>
      <c r="AO1073" s="2">
        <f t="shared" si="162"/>
        <v>0</v>
      </c>
      <c r="AP1073" s="2">
        <f t="shared" si="163"/>
        <v>0</v>
      </c>
      <c r="AQ1073" s="2">
        <f t="shared" si="164"/>
        <v>0</v>
      </c>
      <c r="AR1073" s="2">
        <f t="shared" si="165"/>
        <v>0</v>
      </c>
      <c r="AS1073" s="2">
        <f t="shared" si="166"/>
        <v>0</v>
      </c>
      <c r="AT1073" s="25">
        <f t="shared" si="167"/>
        <v>0</v>
      </c>
    </row>
    <row r="1074" spans="1:46">
      <c r="A1074" s="24">
        <v>46142</v>
      </c>
      <c r="B1074" s="23">
        <f t="shared" si="160"/>
        <v>46113</v>
      </c>
      <c r="C1074" s="2" t="s">
        <v>63</v>
      </c>
      <c r="D1074" s="2" t="s">
        <v>257</v>
      </c>
      <c r="E1074" s="2">
        <v>2574</v>
      </c>
      <c r="F1074" s="2">
        <v>199</v>
      </c>
      <c r="G1074" s="2">
        <f t="shared" si="168"/>
        <v>32</v>
      </c>
      <c r="H1074" s="2">
        <f t="shared" si="169"/>
        <v>31</v>
      </c>
      <c r="I1074" s="2">
        <v>1</v>
      </c>
      <c r="J1074" s="44" t="s">
        <v>48</v>
      </c>
      <c r="K1074" s="2" t="s">
        <v>49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1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/>
      <c r="AM1074" s="2" t="s">
        <v>1568</v>
      </c>
      <c r="AN1074" s="2">
        <f t="shared" si="161"/>
        <v>0</v>
      </c>
      <c r="AO1074" s="2">
        <f t="shared" si="162"/>
        <v>1</v>
      </c>
      <c r="AP1074" s="2">
        <f t="shared" si="163"/>
        <v>0</v>
      </c>
      <c r="AQ1074" s="2">
        <f t="shared" si="164"/>
        <v>0</v>
      </c>
      <c r="AR1074" s="2">
        <f t="shared" si="165"/>
        <v>0</v>
      </c>
      <c r="AS1074" s="2">
        <f t="shared" si="166"/>
        <v>0</v>
      </c>
      <c r="AT1074" s="25">
        <f t="shared" si="167"/>
        <v>0</v>
      </c>
    </row>
    <row r="1075" spans="1:46">
      <c r="A1075" s="24">
        <v>46142</v>
      </c>
      <c r="B1075" s="23">
        <f t="shared" si="160"/>
        <v>46113</v>
      </c>
      <c r="C1075" s="2" t="s">
        <v>63</v>
      </c>
      <c r="D1075" s="2" t="s">
        <v>140</v>
      </c>
      <c r="E1075" s="2">
        <v>2598</v>
      </c>
      <c r="F1075" s="2">
        <v>400</v>
      </c>
      <c r="G1075" s="2">
        <f t="shared" si="168"/>
        <v>50</v>
      </c>
      <c r="H1075" s="2">
        <f t="shared" si="169"/>
        <v>49</v>
      </c>
      <c r="I1075" s="2">
        <v>1</v>
      </c>
      <c r="J1075" s="44" t="s">
        <v>48</v>
      </c>
      <c r="K1075" s="2" t="s">
        <v>49</v>
      </c>
      <c r="L1075" s="2">
        <v>1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/>
      <c r="AM1075" s="2" t="s">
        <v>1568</v>
      </c>
      <c r="AN1075" s="2">
        <f t="shared" si="161"/>
        <v>1</v>
      </c>
      <c r="AO1075" s="2">
        <f t="shared" si="162"/>
        <v>0</v>
      </c>
      <c r="AP1075" s="2">
        <f t="shared" si="163"/>
        <v>0</v>
      </c>
      <c r="AQ1075" s="2">
        <f t="shared" si="164"/>
        <v>0</v>
      </c>
      <c r="AR1075" s="2">
        <f t="shared" si="165"/>
        <v>0</v>
      </c>
      <c r="AS1075" s="2">
        <f t="shared" si="166"/>
        <v>0</v>
      </c>
      <c r="AT1075" s="25">
        <f t="shared" si="167"/>
        <v>0</v>
      </c>
    </row>
    <row r="1076" spans="1:46">
      <c r="A1076" s="24">
        <v>46142</v>
      </c>
      <c r="B1076" s="23">
        <f t="shared" si="160"/>
        <v>46113</v>
      </c>
      <c r="C1076" s="2" t="s">
        <v>63</v>
      </c>
      <c r="D1076" s="2" t="s">
        <v>138</v>
      </c>
      <c r="E1076" s="2">
        <v>2598</v>
      </c>
      <c r="F1076" s="2">
        <v>53</v>
      </c>
      <c r="G1076" s="2">
        <f t="shared" si="168"/>
        <v>20</v>
      </c>
      <c r="H1076" s="2">
        <f t="shared" si="169"/>
        <v>20</v>
      </c>
      <c r="I1076" s="2">
        <v>0</v>
      </c>
      <c r="J1076" s="44" t="s">
        <v>48</v>
      </c>
      <c r="K1076" s="2" t="s">
        <v>49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/>
      <c r="AM1076" s="2" t="s">
        <v>1568</v>
      </c>
      <c r="AN1076" s="2">
        <f t="shared" si="161"/>
        <v>0</v>
      </c>
      <c r="AO1076" s="2">
        <f t="shared" si="162"/>
        <v>0</v>
      </c>
      <c r="AP1076" s="2">
        <f t="shared" si="163"/>
        <v>0</v>
      </c>
      <c r="AQ1076" s="2">
        <f t="shared" si="164"/>
        <v>0</v>
      </c>
      <c r="AR1076" s="2">
        <f t="shared" si="165"/>
        <v>0</v>
      </c>
      <c r="AS1076" s="2">
        <f t="shared" si="166"/>
        <v>0</v>
      </c>
      <c r="AT1076" s="25">
        <f t="shared" si="167"/>
        <v>0</v>
      </c>
    </row>
    <row r="1077" spans="1:46">
      <c r="A1077" s="24">
        <v>46142</v>
      </c>
      <c r="B1077" s="23">
        <f t="shared" si="160"/>
        <v>46113</v>
      </c>
      <c r="C1077" s="2" t="s">
        <v>63</v>
      </c>
      <c r="D1077" s="2" t="s">
        <v>225</v>
      </c>
      <c r="E1077" s="2">
        <v>2598</v>
      </c>
      <c r="F1077" s="2">
        <v>163</v>
      </c>
      <c r="G1077" s="2">
        <f t="shared" si="168"/>
        <v>32</v>
      </c>
      <c r="H1077" s="2">
        <f t="shared" si="169"/>
        <v>32</v>
      </c>
      <c r="I1077" s="2">
        <v>0</v>
      </c>
      <c r="J1077" s="44" t="s">
        <v>48</v>
      </c>
      <c r="K1077" s="2" t="s">
        <v>49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/>
      <c r="AM1077" s="2" t="s">
        <v>1568</v>
      </c>
      <c r="AN1077" s="2">
        <f t="shared" si="161"/>
        <v>0</v>
      </c>
      <c r="AO1077" s="2">
        <f t="shared" si="162"/>
        <v>0</v>
      </c>
      <c r="AP1077" s="2">
        <f t="shared" si="163"/>
        <v>0</v>
      </c>
      <c r="AQ1077" s="2">
        <f t="shared" si="164"/>
        <v>0</v>
      </c>
      <c r="AR1077" s="2">
        <f t="shared" si="165"/>
        <v>0</v>
      </c>
      <c r="AS1077" s="2">
        <f t="shared" si="166"/>
        <v>0</v>
      </c>
      <c r="AT1077" s="25">
        <f t="shared" si="167"/>
        <v>0</v>
      </c>
    </row>
    <row r="1078" spans="1:46">
      <c r="A1078" s="24">
        <v>46142</v>
      </c>
      <c r="B1078" s="23">
        <f t="shared" si="160"/>
        <v>46113</v>
      </c>
      <c r="C1078" s="2" t="s">
        <v>63</v>
      </c>
      <c r="D1078" s="2" t="s">
        <v>409</v>
      </c>
      <c r="E1078" s="2">
        <v>1731</v>
      </c>
      <c r="F1078" s="2">
        <v>331</v>
      </c>
      <c r="G1078" s="2">
        <f t="shared" si="168"/>
        <v>50</v>
      </c>
      <c r="H1078" s="2">
        <f t="shared" si="169"/>
        <v>50</v>
      </c>
      <c r="I1078" s="2">
        <v>0</v>
      </c>
      <c r="J1078" s="44" t="s">
        <v>48</v>
      </c>
      <c r="K1078" s="2" t="s">
        <v>49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/>
      <c r="AM1078" s="2" t="s">
        <v>1568</v>
      </c>
      <c r="AN1078" s="2">
        <f t="shared" si="161"/>
        <v>0</v>
      </c>
      <c r="AO1078" s="2">
        <f t="shared" si="162"/>
        <v>0</v>
      </c>
      <c r="AP1078" s="2">
        <f t="shared" si="163"/>
        <v>0</v>
      </c>
      <c r="AQ1078" s="2">
        <f t="shared" si="164"/>
        <v>0</v>
      </c>
      <c r="AR1078" s="2">
        <f t="shared" si="165"/>
        <v>0</v>
      </c>
      <c r="AS1078" s="2">
        <f t="shared" si="166"/>
        <v>0</v>
      </c>
      <c r="AT1078" s="25">
        <f t="shared" si="167"/>
        <v>0</v>
      </c>
    </row>
    <row r="1079" spans="1:46">
      <c r="A1079" s="24">
        <v>46142</v>
      </c>
      <c r="B1079" s="23">
        <f t="shared" si="160"/>
        <v>46113</v>
      </c>
      <c r="C1079" s="2" t="s">
        <v>62</v>
      </c>
      <c r="D1079" s="2" t="s">
        <v>287</v>
      </c>
      <c r="E1079" s="2">
        <v>6282</v>
      </c>
      <c r="F1079" s="2">
        <v>1000</v>
      </c>
      <c r="G1079" s="2">
        <f t="shared" si="168"/>
        <v>80</v>
      </c>
      <c r="H1079" s="2">
        <f t="shared" si="169"/>
        <v>80</v>
      </c>
      <c r="I1079" s="2">
        <v>0</v>
      </c>
      <c r="J1079" s="44" t="s">
        <v>48</v>
      </c>
      <c r="K1079" s="2" t="s">
        <v>49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/>
      <c r="AM1079" s="2" t="s">
        <v>1568</v>
      </c>
      <c r="AN1079" s="2">
        <f t="shared" si="161"/>
        <v>0</v>
      </c>
      <c r="AO1079" s="2">
        <f t="shared" si="162"/>
        <v>0</v>
      </c>
      <c r="AP1079" s="2">
        <f t="shared" si="163"/>
        <v>0</v>
      </c>
      <c r="AQ1079" s="2">
        <f t="shared" si="164"/>
        <v>0</v>
      </c>
      <c r="AR1079" s="2">
        <f t="shared" si="165"/>
        <v>0</v>
      </c>
      <c r="AS1079" s="2">
        <f t="shared" si="166"/>
        <v>0</v>
      </c>
      <c r="AT1079" s="25">
        <f t="shared" si="167"/>
        <v>0</v>
      </c>
    </row>
    <row r="1080" spans="1:46">
      <c r="A1080" s="24">
        <v>46142</v>
      </c>
      <c r="B1080" s="23">
        <f t="shared" si="160"/>
        <v>46113</v>
      </c>
      <c r="C1080" s="2" t="s">
        <v>63</v>
      </c>
      <c r="D1080" s="2" t="s">
        <v>96</v>
      </c>
      <c r="E1080" s="2">
        <v>1802</v>
      </c>
      <c r="F1080" s="2">
        <v>160</v>
      </c>
      <c r="G1080" s="2">
        <f t="shared" si="168"/>
        <v>32</v>
      </c>
      <c r="H1080" s="2">
        <f t="shared" si="169"/>
        <v>32</v>
      </c>
      <c r="I1080" s="2">
        <v>0</v>
      </c>
      <c r="J1080" s="44" t="s">
        <v>48</v>
      </c>
      <c r="K1080" s="2" t="s">
        <v>49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/>
      <c r="AM1080" s="2" t="s">
        <v>1569</v>
      </c>
      <c r="AN1080" s="2">
        <f t="shared" si="161"/>
        <v>0</v>
      </c>
      <c r="AO1080" s="2">
        <f t="shared" si="162"/>
        <v>0</v>
      </c>
      <c r="AP1080" s="2">
        <f t="shared" si="163"/>
        <v>0</v>
      </c>
      <c r="AQ1080" s="2">
        <f t="shared" si="164"/>
        <v>0</v>
      </c>
      <c r="AR1080" s="2">
        <f t="shared" si="165"/>
        <v>0</v>
      </c>
      <c r="AS1080" s="2">
        <f t="shared" si="166"/>
        <v>0</v>
      </c>
      <c r="AT1080" s="25">
        <f t="shared" si="167"/>
        <v>0</v>
      </c>
    </row>
    <row r="1081" spans="1:46">
      <c r="A1081" s="24">
        <v>46142</v>
      </c>
      <c r="B1081" s="23">
        <f t="shared" si="160"/>
        <v>46113</v>
      </c>
      <c r="C1081" s="2" t="s">
        <v>63</v>
      </c>
      <c r="D1081" s="2" t="s">
        <v>411</v>
      </c>
      <c r="E1081" s="2">
        <v>6284</v>
      </c>
      <c r="F1081" s="2">
        <v>770</v>
      </c>
      <c r="G1081" s="2">
        <f t="shared" si="168"/>
        <v>80</v>
      </c>
      <c r="H1081" s="2">
        <f t="shared" si="169"/>
        <v>79</v>
      </c>
      <c r="I1081" s="2">
        <v>1</v>
      </c>
      <c r="J1081" s="44" t="s">
        <v>48</v>
      </c>
      <c r="K1081" s="2" t="s">
        <v>49</v>
      </c>
      <c r="L1081" s="2">
        <v>1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/>
      <c r="AM1081" s="2" t="s">
        <v>1568</v>
      </c>
      <c r="AN1081" s="2">
        <f t="shared" si="161"/>
        <v>1</v>
      </c>
      <c r="AO1081" s="2">
        <f t="shared" si="162"/>
        <v>0</v>
      </c>
      <c r="AP1081" s="2">
        <f t="shared" si="163"/>
        <v>0</v>
      </c>
      <c r="AQ1081" s="2">
        <f t="shared" si="164"/>
        <v>0</v>
      </c>
      <c r="AR1081" s="2">
        <f t="shared" si="165"/>
        <v>0</v>
      </c>
      <c r="AS1081" s="2">
        <f t="shared" si="166"/>
        <v>0</v>
      </c>
      <c r="AT1081" s="25">
        <f t="shared" si="167"/>
        <v>0</v>
      </c>
    </row>
    <row r="1082" spans="1:46">
      <c r="A1082" s="24">
        <v>46142</v>
      </c>
      <c r="B1082" s="23">
        <f t="shared" si="160"/>
        <v>46113</v>
      </c>
      <c r="C1082" s="2" t="s">
        <v>160</v>
      </c>
      <c r="D1082" s="2" t="s">
        <v>1580</v>
      </c>
      <c r="E1082" s="2">
        <v>6328</v>
      </c>
      <c r="F1082" s="2">
        <v>369</v>
      </c>
      <c r="G1082" s="2">
        <f t="shared" si="168"/>
        <v>50</v>
      </c>
      <c r="H1082" s="2">
        <f t="shared" si="169"/>
        <v>50</v>
      </c>
      <c r="I1082" s="2">
        <v>0</v>
      </c>
      <c r="J1082" s="44" t="s">
        <v>48</v>
      </c>
      <c r="K1082" s="2" t="s">
        <v>49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/>
      <c r="AM1082" s="2" t="s">
        <v>93</v>
      </c>
      <c r="AN1082" s="2">
        <f t="shared" si="161"/>
        <v>0</v>
      </c>
      <c r="AO1082" s="2">
        <f t="shared" si="162"/>
        <v>0</v>
      </c>
      <c r="AP1082" s="2">
        <f t="shared" si="163"/>
        <v>0</v>
      </c>
      <c r="AQ1082" s="2">
        <f t="shared" si="164"/>
        <v>0</v>
      </c>
      <c r="AR1082" s="2">
        <f t="shared" si="165"/>
        <v>0</v>
      </c>
      <c r="AS1082" s="2">
        <f t="shared" si="166"/>
        <v>0</v>
      </c>
      <c r="AT1082" s="25">
        <f t="shared" si="167"/>
        <v>0</v>
      </c>
    </row>
    <row r="1083" spans="1:46">
      <c r="A1083" s="24">
        <v>46142</v>
      </c>
      <c r="B1083" s="23">
        <f t="shared" si="160"/>
        <v>46113</v>
      </c>
      <c r="C1083" s="2" t="s">
        <v>160</v>
      </c>
      <c r="D1083" s="2" t="s">
        <v>1571</v>
      </c>
      <c r="E1083" s="2">
        <v>6328</v>
      </c>
      <c r="F1083" s="2">
        <v>206</v>
      </c>
      <c r="G1083" s="2">
        <f t="shared" si="168"/>
        <v>32</v>
      </c>
      <c r="H1083" s="2">
        <f t="shared" si="169"/>
        <v>31</v>
      </c>
      <c r="I1083" s="2">
        <v>1</v>
      </c>
      <c r="J1083" s="44" t="s">
        <v>48</v>
      </c>
      <c r="K1083" s="2" t="s">
        <v>49</v>
      </c>
      <c r="L1083" s="2">
        <v>1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/>
      <c r="AM1083" s="2" t="s">
        <v>93</v>
      </c>
      <c r="AN1083" s="2">
        <f t="shared" si="161"/>
        <v>1</v>
      </c>
      <c r="AO1083" s="2">
        <f t="shared" si="162"/>
        <v>0</v>
      </c>
      <c r="AP1083" s="2">
        <f t="shared" si="163"/>
        <v>0</v>
      </c>
      <c r="AQ1083" s="2">
        <f t="shared" si="164"/>
        <v>0</v>
      </c>
      <c r="AR1083" s="2">
        <f t="shared" si="165"/>
        <v>0</v>
      </c>
      <c r="AS1083" s="2">
        <f t="shared" si="166"/>
        <v>0</v>
      </c>
      <c r="AT1083" s="25">
        <f t="shared" si="167"/>
        <v>0</v>
      </c>
    </row>
    <row r="1084" spans="1:46">
      <c r="A1084" s="24">
        <v>46142</v>
      </c>
      <c r="B1084" s="23">
        <f t="shared" si="160"/>
        <v>46113</v>
      </c>
      <c r="C1084" s="2" t="s">
        <v>160</v>
      </c>
      <c r="D1084" s="2" t="s">
        <v>263</v>
      </c>
      <c r="E1084" s="2">
        <v>3218</v>
      </c>
      <c r="F1084" s="2">
        <v>262</v>
      </c>
      <c r="G1084" s="2">
        <f t="shared" si="168"/>
        <v>32</v>
      </c>
      <c r="H1084" s="2">
        <f t="shared" si="169"/>
        <v>32</v>
      </c>
      <c r="I1084" s="2">
        <v>0</v>
      </c>
      <c r="J1084" s="44" t="s">
        <v>48</v>
      </c>
      <c r="K1084" s="2" t="s">
        <v>49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/>
      <c r="AM1084" s="2" t="s">
        <v>93</v>
      </c>
      <c r="AN1084" s="2">
        <f t="shared" si="161"/>
        <v>0</v>
      </c>
      <c r="AO1084" s="2">
        <f t="shared" si="162"/>
        <v>0</v>
      </c>
      <c r="AP1084" s="2">
        <f t="shared" si="163"/>
        <v>0</v>
      </c>
      <c r="AQ1084" s="2">
        <f t="shared" si="164"/>
        <v>0</v>
      </c>
      <c r="AR1084" s="2">
        <f t="shared" si="165"/>
        <v>0</v>
      </c>
      <c r="AS1084" s="2">
        <f t="shared" si="166"/>
        <v>0</v>
      </c>
      <c r="AT1084" s="25">
        <f t="shared" si="167"/>
        <v>0</v>
      </c>
    </row>
    <row r="1085" spans="1:46">
      <c r="A1085" s="24">
        <v>46142</v>
      </c>
      <c r="B1085" s="23">
        <f t="shared" si="160"/>
        <v>46113</v>
      </c>
      <c r="C1085" s="2" t="s">
        <v>160</v>
      </c>
      <c r="D1085" s="2" t="s">
        <v>120</v>
      </c>
      <c r="E1085" s="2">
        <v>3326</v>
      </c>
      <c r="F1085" s="2">
        <v>191</v>
      </c>
      <c r="G1085" s="2">
        <f t="shared" si="168"/>
        <v>32</v>
      </c>
      <c r="H1085" s="2">
        <f t="shared" si="169"/>
        <v>32</v>
      </c>
      <c r="I1085" s="2">
        <v>0</v>
      </c>
      <c r="J1085" s="44" t="s">
        <v>48</v>
      </c>
      <c r="K1085" s="2" t="s">
        <v>49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/>
      <c r="AM1085" s="2" t="s">
        <v>93</v>
      </c>
      <c r="AN1085" s="2">
        <f t="shared" si="161"/>
        <v>0</v>
      </c>
      <c r="AO1085" s="2">
        <f t="shared" si="162"/>
        <v>0</v>
      </c>
      <c r="AP1085" s="2">
        <f t="shared" si="163"/>
        <v>0</v>
      </c>
      <c r="AQ1085" s="2">
        <f t="shared" si="164"/>
        <v>0</v>
      </c>
      <c r="AR1085" s="2">
        <f t="shared" si="165"/>
        <v>0</v>
      </c>
      <c r="AS1085" s="2">
        <f t="shared" si="166"/>
        <v>0</v>
      </c>
      <c r="AT1085" s="25">
        <f t="shared" si="167"/>
        <v>0</v>
      </c>
    </row>
    <row r="1086" spans="1:46">
      <c r="A1086" s="24">
        <v>46142</v>
      </c>
      <c r="B1086" s="23">
        <f t="shared" si="160"/>
        <v>46113</v>
      </c>
      <c r="C1086" s="2" t="s">
        <v>160</v>
      </c>
      <c r="D1086" s="2" t="s">
        <v>162</v>
      </c>
      <c r="E1086" s="2">
        <v>3227</v>
      </c>
      <c r="F1086" s="2">
        <v>119</v>
      </c>
      <c r="G1086" s="2">
        <f t="shared" si="168"/>
        <v>20</v>
      </c>
      <c r="H1086" s="2">
        <f t="shared" si="169"/>
        <v>18</v>
      </c>
      <c r="I1086" s="2">
        <v>2</v>
      </c>
      <c r="J1086" s="44" t="s">
        <v>67</v>
      </c>
      <c r="K1086" s="2" t="s">
        <v>49</v>
      </c>
      <c r="L1086" s="2">
        <v>1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1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/>
      <c r="AM1086" s="2" t="s">
        <v>93</v>
      </c>
      <c r="AN1086" s="2">
        <f t="shared" si="161"/>
        <v>1</v>
      </c>
      <c r="AO1086" s="2">
        <f t="shared" si="162"/>
        <v>0</v>
      </c>
      <c r="AP1086" s="2">
        <f t="shared" si="163"/>
        <v>0</v>
      </c>
      <c r="AQ1086" s="2">
        <f t="shared" si="164"/>
        <v>0</v>
      </c>
      <c r="AR1086" s="2">
        <f t="shared" si="165"/>
        <v>1</v>
      </c>
      <c r="AS1086" s="2">
        <f t="shared" si="166"/>
        <v>0</v>
      </c>
      <c r="AT1086" s="25">
        <f t="shared" si="167"/>
        <v>0</v>
      </c>
    </row>
    <row r="1087" spans="1:46">
      <c r="A1087" s="24">
        <v>46142</v>
      </c>
      <c r="B1087" s="23">
        <f t="shared" si="160"/>
        <v>46113</v>
      </c>
      <c r="C1087" s="2" t="s">
        <v>82</v>
      </c>
      <c r="D1087" s="2" t="s">
        <v>1299</v>
      </c>
      <c r="E1087" s="2">
        <v>1650</v>
      </c>
      <c r="F1087" s="2">
        <v>248</v>
      </c>
      <c r="G1087" s="2">
        <f t="shared" si="168"/>
        <v>32</v>
      </c>
      <c r="H1087" s="2">
        <f t="shared" si="169"/>
        <v>32</v>
      </c>
      <c r="I1087" s="2">
        <v>0</v>
      </c>
      <c r="J1087" s="44" t="s">
        <v>48</v>
      </c>
      <c r="K1087" s="2" t="s">
        <v>49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/>
      <c r="AM1087" s="2" t="s">
        <v>93</v>
      </c>
      <c r="AN1087" s="2">
        <f t="shared" si="161"/>
        <v>0</v>
      </c>
      <c r="AO1087" s="2">
        <f t="shared" si="162"/>
        <v>0</v>
      </c>
      <c r="AP1087" s="2">
        <f t="shared" si="163"/>
        <v>0</v>
      </c>
      <c r="AQ1087" s="2">
        <f t="shared" si="164"/>
        <v>0</v>
      </c>
      <c r="AR1087" s="2">
        <f t="shared" si="165"/>
        <v>0</v>
      </c>
      <c r="AS1087" s="2">
        <f t="shared" si="166"/>
        <v>0</v>
      </c>
      <c r="AT1087" s="25">
        <f t="shared" si="167"/>
        <v>0</v>
      </c>
    </row>
    <row r="1088" spans="1:46">
      <c r="A1088" s="24">
        <v>46142</v>
      </c>
      <c r="B1088" s="23">
        <f t="shared" si="160"/>
        <v>46113</v>
      </c>
      <c r="C1088" s="2" t="s">
        <v>160</v>
      </c>
      <c r="D1088" s="2" t="s">
        <v>91</v>
      </c>
      <c r="E1088" s="2">
        <v>6248</v>
      </c>
      <c r="F1088" s="2">
        <v>593</v>
      </c>
      <c r="G1088" s="2">
        <f t="shared" si="168"/>
        <v>80</v>
      </c>
      <c r="H1088" s="2">
        <f t="shared" si="169"/>
        <v>76</v>
      </c>
      <c r="I1088" s="2">
        <v>4</v>
      </c>
      <c r="J1088" s="44" t="s">
        <v>48</v>
      </c>
      <c r="K1088" s="2" t="s">
        <v>49</v>
      </c>
      <c r="L1088" s="2">
        <v>3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1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/>
      <c r="AM1088" s="2" t="s">
        <v>93</v>
      </c>
      <c r="AN1088" s="2">
        <f t="shared" si="161"/>
        <v>3</v>
      </c>
      <c r="AO1088" s="2">
        <f t="shared" si="162"/>
        <v>1</v>
      </c>
      <c r="AP1088" s="2">
        <f t="shared" si="163"/>
        <v>0</v>
      </c>
      <c r="AQ1088" s="2">
        <f t="shared" si="164"/>
        <v>0</v>
      </c>
      <c r="AR1088" s="2">
        <f t="shared" si="165"/>
        <v>0</v>
      </c>
      <c r="AS1088" s="2">
        <f t="shared" si="166"/>
        <v>0</v>
      </c>
      <c r="AT1088" s="25">
        <f t="shared" si="167"/>
        <v>0</v>
      </c>
    </row>
    <row r="1089" spans="1:46">
      <c r="A1089" s="24">
        <v>46142</v>
      </c>
      <c r="B1089" s="23">
        <f t="shared" si="160"/>
        <v>46113</v>
      </c>
      <c r="C1089" s="2" t="s">
        <v>160</v>
      </c>
      <c r="D1089" s="2" t="s">
        <v>162</v>
      </c>
      <c r="E1089" s="2">
        <v>3227</v>
      </c>
      <c r="F1089" s="2">
        <v>117</v>
      </c>
      <c r="G1089" s="2">
        <f t="shared" si="168"/>
        <v>20</v>
      </c>
      <c r="H1089" s="2">
        <f t="shared" si="169"/>
        <v>20</v>
      </c>
      <c r="I1089" s="2">
        <v>0</v>
      </c>
      <c r="J1089" s="44" t="s">
        <v>48</v>
      </c>
      <c r="K1089" s="2" t="s">
        <v>49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/>
      <c r="AM1089" s="2" t="s">
        <v>93</v>
      </c>
      <c r="AN1089" s="2">
        <f t="shared" si="161"/>
        <v>0</v>
      </c>
      <c r="AO1089" s="2">
        <f t="shared" si="162"/>
        <v>0</v>
      </c>
      <c r="AP1089" s="2">
        <f t="shared" si="163"/>
        <v>0</v>
      </c>
      <c r="AQ1089" s="2">
        <f t="shared" si="164"/>
        <v>0</v>
      </c>
      <c r="AR1089" s="2">
        <f t="shared" si="165"/>
        <v>0</v>
      </c>
      <c r="AS1089" s="2">
        <f t="shared" si="166"/>
        <v>0</v>
      </c>
      <c r="AT1089" s="25">
        <f t="shared" si="167"/>
        <v>0</v>
      </c>
    </row>
    <row r="1090" spans="1:46">
      <c r="A1090" s="24">
        <v>46142</v>
      </c>
      <c r="B1090" s="23">
        <f t="shared" ref="B1090:B1102" si="170">EOMONTH(A1090,-1)+1</f>
        <v>46113</v>
      </c>
      <c r="C1090" s="2" t="s">
        <v>66</v>
      </c>
      <c r="D1090" s="2" t="s">
        <v>1580</v>
      </c>
      <c r="E1090" s="2">
        <v>6328</v>
      </c>
      <c r="F1090" s="2">
        <v>712</v>
      </c>
      <c r="G1090" s="2">
        <f t="shared" si="168"/>
        <v>80</v>
      </c>
      <c r="H1090" s="2">
        <f t="shared" si="169"/>
        <v>79</v>
      </c>
      <c r="I1090" s="2">
        <v>1</v>
      </c>
      <c r="J1090" s="44" t="s">
        <v>48</v>
      </c>
      <c r="K1090" s="2" t="s">
        <v>49</v>
      </c>
      <c r="L1090" s="2">
        <v>1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/>
      <c r="AM1090" s="2" t="s">
        <v>93</v>
      </c>
      <c r="AN1090" s="2">
        <f t="shared" ref="AN1090:AN1102" si="171">+L1090+AI1090</f>
        <v>1</v>
      </c>
      <c r="AO1090" s="2">
        <f t="shared" ref="AO1090:AO1102" si="172">+M1090+N1090+O1090+P1090+Q1090+R1090+S1090+T1090+U1090+V1090</f>
        <v>0</v>
      </c>
      <c r="AP1090" s="2">
        <f t="shared" ref="AP1090:AP1102" si="173">+AE1090+AF1090</f>
        <v>0</v>
      </c>
      <c r="AQ1090" s="2">
        <f t="shared" ref="AQ1090:AQ1102" si="174">+AK1090+AD1090+AC1090+AJ1090</f>
        <v>0</v>
      </c>
      <c r="AR1090" s="2">
        <f t="shared" ref="AR1090:AR1102" si="175">+W1090+X1090+Y1090+Z1090+AA1090+AB1090</f>
        <v>0</v>
      </c>
      <c r="AS1090" s="2">
        <f t="shared" ref="AS1090:AS1102" si="176">+AG1090</f>
        <v>0</v>
      </c>
      <c r="AT1090" s="25">
        <f t="shared" ref="AT1090:AT1102" si="177">+AH1090</f>
        <v>0</v>
      </c>
    </row>
    <row r="1091" spans="1:46">
      <c r="A1091" s="24">
        <v>46142</v>
      </c>
      <c r="B1091" s="23">
        <f t="shared" si="170"/>
        <v>46113</v>
      </c>
      <c r="C1091" s="2" t="s">
        <v>95</v>
      </c>
      <c r="D1091" s="2" t="s">
        <v>301</v>
      </c>
      <c r="E1091" s="2">
        <v>8080</v>
      </c>
      <c r="F1091" s="2">
        <v>215</v>
      </c>
      <c r="G1091" s="2">
        <f t="shared" ref="G1091:G1102" si="178">IF(F1091&lt;1001,IF(F1091&gt;500,80,IF(F1091&gt;280,50,IF(F1091&gt;150,32,IF(F1091&lt;51,F1091,20)))),125)</f>
        <v>32</v>
      </c>
      <c r="H1091" s="2">
        <f t="shared" ref="H1091:H1102" si="179">G1091-I1091</f>
        <v>32</v>
      </c>
      <c r="I1091" s="2">
        <v>0</v>
      </c>
      <c r="J1091" s="44" t="s">
        <v>48</v>
      </c>
      <c r="K1091" s="2" t="s">
        <v>49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/>
      <c r="AM1091" s="2" t="s">
        <v>1567</v>
      </c>
      <c r="AN1091" s="2">
        <f t="shared" si="171"/>
        <v>0</v>
      </c>
      <c r="AO1091" s="2">
        <f t="shared" si="172"/>
        <v>0</v>
      </c>
      <c r="AP1091" s="2">
        <f t="shared" si="173"/>
        <v>0</v>
      </c>
      <c r="AQ1091" s="2">
        <f t="shared" si="174"/>
        <v>0</v>
      </c>
      <c r="AR1091" s="2">
        <f t="shared" si="175"/>
        <v>0</v>
      </c>
      <c r="AS1091" s="2">
        <f t="shared" si="176"/>
        <v>0</v>
      </c>
      <c r="AT1091" s="25">
        <f t="shared" si="177"/>
        <v>0</v>
      </c>
    </row>
    <row r="1092" spans="1:46">
      <c r="A1092" s="24">
        <v>46142</v>
      </c>
      <c r="B1092" s="23">
        <f t="shared" si="170"/>
        <v>46113</v>
      </c>
      <c r="C1092" s="2" t="s">
        <v>95</v>
      </c>
      <c r="D1092" s="2" t="s">
        <v>273</v>
      </c>
      <c r="E1092" s="2">
        <v>1802</v>
      </c>
      <c r="F1092" s="2">
        <v>180</v>
      </c>
      <c r="G1092" s="2">
        <f t="shared" si="178"/>
        <v>32</v>
      </c>
      <c r="H1092" s="2">
        <f t="shared" si="179"/>
        <v>32</v>
      </c>
      <c r="I1092" s="2">
        <v>0</v>
      </c>
      <c r="J1092" s="44" t="s">
        <v>48</v>
      </c>
      <c r="K1092" s="2" t="s">
        <v>49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/>
      <c r="AM1092" s="2" t="s">
        <v>1567</v>
      </c>
      <c r="AN1092" s="2">
        <f t="shared" si="171"/>
        <v>0</v>
      </c>
      <c r="AO1092" s="2">
        <f t="shared" si="172"/>
        <v>0</v>
      </c>
      <c r="AP1092" s="2">
        <f t="shared" si="173"/>
        <v>0</v>
      </c>
      <c r="AQ1092" s="2">
        <f t="shared" si="174"/>
        <v>0</v>
      </c>
      <c r="AR1092" s="2">
        <f t="shared" si="175"/>
        <v>0</v>
      </c>
      <c r="AS1092" s="2">
        <f t="shared" si="176"/>
        <v>0</v>
      </c>
      <c r="AT1092" s="25">
        <f t="shared" si="177"/>
        <v>0</v>
      </c>
    </row>
    <row r="1093" spans="1:46">
      <c r="A1093" s="24">
        <v>46142</v>
      </c>
      <c r="B1093" s="23">
        <f t="shared" si="170"/>
        <v>46113</v>
      </c>
      <c r="C1093" s="2" t="s">
        <v>95</v>
      </c>
      <c r="D1093" s="2" t="s">
        <v>96</v>
      </c>
      <c r="E1093" s="2">
        <v>1802</v>
      </c>
      <c r="F1093" s="2">
        <v>147</v>
      </c>
      <c r="G1093" s="2">
        <f t="shared" si="178"/>
        <v>20</v>
      </c>
      <c r="H1093" s="2">
        <f t="shared" si="179"/>
        <v>20</v>
      </c>
      <c r="I1093" s="2">
        <v>0</v>
      </c>
      <c r="J1093" s="44" t="s">
        <v>48</v>
      </c>
      <c r="K1093" s="2" t="s">
        <v>49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/>
      <c r="AM1093" s="2" t="s">
        <v>1567</v>
      </c>
      <c r="AN1093" s="2">
        <f t="shared" si="171"/>
        <v>0</v>
      </c>
      <c r="AO1093" s="2">
        <f t="shared" si="172"/>
        <v>0</v>
      </c>
      <c r="AP1093" s="2">
        <f t="shared" si="173"/>
        <v>0</v>
      </c>
      <c r="AQ1093" s="2">
        <f t="shared" si="174"/>
        <v>0</v>
      </c>
      <c r="AR1093" s="2">
        <f t="shared" si="175"/>
        <v>0</v>
      </c>
      <c r="AS1093" s="2">
        <f t="shared" si="176"/>
        <v>0</v>
      </c>
      <c r="AT1093" s="25">
        <f t="shared" si="177"/>
        <v>0</v>
      </c>
    </row>
    <row r="1094" spans="1:46">
      <c r="A1094" s="24">
        <v>46142</v>
      </c>
      <c r="B1094" s="23">
        <f t="shared" si="170"/>
        <v>46113</v>
      </c>
      <c r="C1094" s="2" t="s">
        <v>46</v>
      </c>
      <c r="D1094" s="2" t="s">
        <v>1542</v>
      </c>
      <c r="E1094" s="2">
        <v>6285</v>
      </c>
      <c r="F1094" s="2">
        <v>221</v>
      </c>
      <c r="G1094" s="2">
        <f t="shared" si="178"/>
        <v>32</v>
      </c>
      <c r="H1094" s="2">
        <f t="shared" si="179"/>
        <v>32</v>
      </c>
      <c r="I1094" s="2">
        <v>0</v>
      </c>
      <c r="J1094" s="44" t="s">
        <v>48</v>
      </c>
      <c r="K1094" s="2" t="s">
        <v>49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/>
      <c r="AM1094" s="2" t="s">
        <v>1567</v>
      </c>
      <c r="AN1094" s="2">
        <f t="shared" si="171"/>
        <v>0</v>
      </c>
      <c r="AO1094" s="2">
        <f t="shared" si="172"/>
        <v>0</v>
      </c>
      <c r="AP1094" s="2">
        <f t="shared" si="173"/>
        <v>0</v>
      </c>
      <c r="AQ1094" s="2">
        <f t="shared" si="174"/>
        <v>0</v>
      </c>
      <c r="AR1094" s="2">
        <f t="shared" si="175"/>
        <v>0</v>
      </c>
      <c r="AS1094" s="2">
        <f t="shared" si="176"/>
        <v>0</v>
      </c>
      <c r="AT1094" s="25">
        <f t="shared" si="177"/>
        <v>0</v>
      </c>
    </row>
    <row r="1095" spans="1:46">
      <c r="A1095" s="24">
        <v>46142</v>
      </c>
      <c r="B1095" s="23">
        <f t="shared" si="170"/>
        <v>46113</v>
      </c>
      <c r="C1095" s="2" t="s">
        <v>46</v>
      </c>
      <c r="D1095" s="2" t="s">
        <v>255</v>
      </c>
      <c r="E1095" s="2">
        <v>8168</v>
      </c>
      <c r="F1095" s="2">
        <v>256</v>
      </c>
      <c r="G1095" s="2">
        <f t="shared" si="178"/>
        <v>32</v>
      </c>
      <c r="H1095" s="2">
        <f t="shared" si="179"/>
        <v>31</v>
      </c>
      <c r="I1095" s="2">
        <v>1</v>
      </c>
      <c r="J1095" s="44" t="s">
        <v>48</v>
      </c>
      <c r="K1095" s="2" t="s">
        <v>49</v>
      </c>
      <c r="L1095" s="2">
        <v>1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/>
      <c r="AM1095" s="2" t="s">
        <v>1567</v>
      </c>
      <c r="AN1095" s="2">
        <f t="shared" si="171"/>
        <v>1</v>
      </c>
      <c r="AO1095" s="2">
        <f t="shared" si="172"/>
        <v>0</v>
      </c>
      <c r="AP1095" s="2">
        <f t="shared" si="173"/>
        <v>0</v>
      </c>
      <c r="AQ1095" s="2">
        <f t="shared" si="174"/>
        <v>0</v>
      </c>
      <c r="AR1095" s="2">
        <f t="shared" si="175"/>
        <v>0</v>
      </c>
      <c r="AS1095" s="2">
        <f t="shared" si="176"/>
        <v>0</v>
      </c>
      <c r="AT1095" s="25">
        <f t="shared" si="177"/>
        <v>0</v>
      </c>
    </row>
    <row r="1096" spans="1:46">
      <c r="A1096" s="24">
        <v>46142</v>
      </c>
      <c r="B1096" s="23">
        <f t="shared" si="170"/>
        <v>46113</v>
      </c>
      <c r="C1096" s="2" t="s">
        <v>95</v>
      </c>
      <c r="D1096" s="2" t="s">
        <v>159</v>
      </c>
      <c r="E1096" s="2">
        <v>6296</v>
      </c>
      <c r="F1096" s="2">
        <v>765</v>
      </c>
      <c r="G1096" s="2">
        <f t="shared" si="178"/>
        <v>80</v>
      </c>
      <c r="H1096" s="2">
        <f t="shared" si="179"/>
        <v>79</v>
      </c>
      <c r="I1096" s="2">
        <v>1</v>
      </c>
      <c r="J1096" s="44" t="s">
        <v>48</v>
      </c>
      <c r="K1096" s="2" t="s">
        <v>49</v>
      </c>
      <c r="L1096" s="2">
        <v>1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/>
      <c r="AM1096" s="2" t="s">
        <v>1567</v>
      </c>
      <c r="AN1096" s="2">
        <f t="shared" si="171"/>
        <v>1</v>
      </c>
      <c r="AO1096" s="2">
        <f t="shared" si="172"/>
        <v>0</v>
      </c>
      <c r="AP1096" s="2">
        <f t="shared" si="173"/>
        <v>0</v>
      </c>
      <c r="AQ1096" s="2">
        <f t="shared" si="174"/>
        <v>0</v>
      </c>
      <c r="AR1096" s="2">
        <f t="shared" si="175"/>
        <v>0</v>
      </c>
      <c r="AS1096" s="2">
        <f t="shared" si="176"/>
        <v>0</v>
      </c>
      <c r="AT1096" s="25">
        <f t="shared" si="177"/>
        <v>0</v>
      </c>
    </row>
    <row r="1097" spans="1:46">
      <c r="A1097" s="24">
        <v>46142</v>
      </c>
      <c r="B1097" s="23">
        <f t="shared" si="170"/>
        <v>46113</v>
      </c>
      <c r="C1097" s="2" t="s">
        <v>46</v>
      </c>
      <c r="D1097" s="2" t="s">
        <v>1578</v>
      </c>
      <c r="E1097" s="2">
        <v>6296</v>
      </c>
      <c r="F1097" s="2">
        <v>198</v>
      </c>
      <c r="G1097" s="2">
        <f t="shared" si="178"/>
        <v>32</v>
      </c>
      <c r="H1097" s="2">
        <f t="shared" si="179"/>
        <v>32</v>
      </c>
      <c r="I1097" s="2">
        <v>0</v>
      </c>
      <c r="J1097" s="44" t="s">
        <v>48</v>
      </c>
      <c r="K1097" s="2" t="s">
        <v>49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/>
      <c r="AM1097" s="2" t="s">
        <v>1567</v>
      </c>
      <c r="AN1097" s="2">
        <f t="shared" si="171"/>
        <v>0</v>
      </c>
      <c r="AO1097" s="2">
        <f t="shared" si="172"/>
        <v>0</v>
      </c>
      <c r="AP1097" s="2">
        <f t="shared" si="173"/>
        <v>0</v>
      </c>
      <c r="AQ1097" s="2">
        <f t="shared" si="174"/>
        <v>0</v>
      </c>
      <c r="AR1097" s="2">
        <f t="shared" si="175"/>
        <v>0</v>
      </c>
      <c r="AS1097" s="2">
        <f t="shared" si="176"/>
        <v>0</v>
      </c>
      <c r="AT1097" s="25">
        <f t="shared" si="177"/>
        <v>0</v>
      </c>
    </row>
    <row r="1098" spans="1:46">
      <c r="A1098" s="24">
        <v>46142</v>
      </c>
      <c r="B1098" s="23">
        <f t="shared" si="170"/>
        <v>46113</v>
      </c>
      <c r="C1098" s="2" t="s">
        <v>46</v>
      </c>
      <c r="D1098" s="2" t="s">
        <v>287</v>
      </c>
      <c r="E1098" s="2">
        <v>6282</v>
      </c>
      <c r="F1098" s="2">
        <v>809</v>
      </c>
      <c r="G1098" s="2">
        <f t="shared" si="178"/>
        <v>80</v>
      </c>
      <c r="H1098" s="2">
        <f t="shared" si="179"/>
        <v>78</v>
      </c>
      <c r="I1098" s="2">
        <v>2</v>
      </c>
      <c r="J1098" s="44" t="s">
        <v>48</v>
      </c>
      <c r="K1098" s="2" t="s">
        <v>49</v>
      </c>
      <c r="L1098" s="2">
        <v>2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/>
      <c r="AM1098" s="2" t="s">
        <v>1567</v>
      </c>
      <c r="AN1098" s="2">
        <f t="shared" si="171"/>
        <v>2</v>
      </c>
      <c r="AO1098" s="2">
        <f t="shared" si="172"/>
        <v>0</v>
      </c>
      <c r="AP1098" s="2">
        <f t="shared" si="173"/>
        <v>0</v>
      </c>
      <c r="AQ1098" s="2">
        <f t="shared" si="174"/>
        <v>0</v>
      </c>
      <c r="AR1098" s="2">
        <f t="shared" si="175"/>
        <v>0</v>
      </c>
      <c r="AS1098" s="2">
        <f t="shared" si="176"/>
        <v>0</v>
      </c>
      <c r="AT1098" s="25">
        <f t="shared" si="177"/>
        <v>0</v>
      </c>
    </row>
    <row r="1099" spans="1:46">
      <c r="A1099" s="24">
        <v>46142</v>
      </c>
      <c r="B1099" s="23">
        <f t="shared" si="170"/>
        <v>46113</v>
      </c>
      <c r="C1099" s="2" t="s">
        <v>46</v>
      </c>
      <c r="D1099" s="2" t="s">
        <v>309</v>
      </c>
      <c r="E1099" s="2">
        <v>6269</v>
      </c>
      <c r="F1099" s="2">
        <v>86</v>
      </c>
      <c r="G1099" s="2">
        <f t="shared" si="178"/>
        <v>20</v>
      </c>
      <c r="H1099" s="2">
        <f t="shared" si="179"/>
        <v>20</v>
      </c>
      <c r="I1099" s="2">
        <v>0</v>
      </c>
      <c r="J1099" s="44" t="s">
        <v>48</v>
      </c>
      <c r="K1099" s="2" t="s">
        <v>49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/>
      <c r="AM1099" s="2" t="s">
        <v>1567</v>
      </c>
      <c r="AN1099" s="2">
        <f t="shared" si="171"/>
        <v>0</v>
      </c>
      <c r="AO1099" s="2">
        <f t="shared" si="172"/>
        <v>0</v>
      </c>
      <c r="AP1099" s="2">
        <f t="shared" si="173"/>
        <v>0</v>
      </c>
      <c r="AQ1099" s="2">
        <f t="shared" si="174"/>
        <v>0</v>
      </c>
      <c r="AR1099" s="2">
        <f t="shared" si="175"/>
        <v>0</v>
      </c>
      <c r="AS1099" s="2">
        <f t="shared" si="176"/>
        <v>0</v>
      </c>
      <c r="AT1099" s="25">
        <f t="shared" si="177"/>
        <v>0</v>
      </c>
    </row>
    <row r="1100" spans="1:46">
      <c r="A1100" s="24">
        <v>46142</v>
      </c>
      <c r="B1100" s="23">
        <f t="shared" si="170"/>
        <v>46113</v>
      </c>
      <c r="C1100" s="2" t="s">
        <v>95</v>
      </c>
      <c r="D1100" s="2" t="s">
        <v>1211</v>
      </c>
      <c r="E1100" s="2">
        <v>8111</v>
      </c>
      <c r="F1100" s="2">
        <v>230</v>
      </c>
      <c r="G1100" s="2">
        <f t="shared" si="178"/>
        <v>32</v>
      </c>
      <c r="H1100" s="2">
        <f t="shared" si="179"/>
        <v>30</v>
      </c>
      <c r="I1100" s="2">
        <v>2</v>
      </c>
      <c r="J1100" s="44" t="s">
        <v>48</v>
      </c>
      <c r="K1100" s="2" t="s">
        <v>49</v>
      </c>
      <c r="L1100" s="2">
        <v>2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/>
      <c r="AM1100" s="2" t="s">
        <v>1567</v>
      </c>
      <c r="AN1100" s="2">
        <f t="shared" si="171"/>
        <v>2</v>
      </c>
      <c r="AO1100" s="2">
        <f t="shared" si="172"/>
        <v>0</v>
      </c>
      <c r="AP1100" s="2">
        <f t="shared" si="173"/>
        <v>0</v>
      </c>
      <c r="AQ1100" s="2">
        <f t="shared" si="174"/>
        <v>0</v>
      </c>
      <c r="AR1100" s="2">
        <f t="shared" si="175"/>
        <v>0</v>
      </c>
      <c r="AS1100" s="2">
        <f t="shared" si="176"/>
        <v>0</v>
      </c>
      <c r="AT1100" s="25">
        <f t="shared" si="177"/>
        <v>0</v>
      </c>
    </row>
    <row r="1101" spans="1:46">
      <c r="A1101" s="24">
        <v>46142</v>
      </c>
      <c r="B1101" s="23">
        <f t="shared" si="170"/>
        <v>46113</v>
      </c>
      <c r="C1101" s="2" t="s">
        <v>95</v>
      </c>
      <c r="D1101" s="2" t="s">
        <v>303</v>
      </c>
      <c r="E1101" s="2">
        <v>6222</v>
      </c>
      <c r="F1101" s="2">
        <v>150</v>
      </c>
      <c r="G1101" s="2">
        <f t="shared" si="178"/>
        <v>20</v>
      </c>
      <c r="H1101" s="2">
        <f t="shared" si="179"/>
        <v>20</v>
      </c>
      <c r="I1101" s="2">
        <v>0</v>
      </c>
      <c r="J1101" s="44" t="s">
        <v>48</v>
      </c>
      <c r="K1101" s="2" t="s">
        <v>49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/>
      <c r="AM1101" s="2" t="s">
        <v>1567</v>
      </c>
      <c r="AN1101" s="2">
        <f t="shared" si="171"/>
        <v>0</v>
      </c>
      <c r="AO1101" s="2">
        <f t="shared" si="172"/>
        <v>0</v>
      </c>
      <c r="AP1101" s="2">
        <f t="shared" si="173"/>
        <v>0</v>
      </c>
      <c r="AQ1101" s="2">
        <f t="shared" si="174"/>
        <v>0</v>
      </c>
      <c r="AR1101" s="2">
        <f t="shared" si="175"/>
        <v>0</v>
      </c>
      <c r="AS1101" s="2">
        <f t="shared" si="176"/>
        <v>0</v>
      </c>
      <c r="AT1101" s="25">
        <f t="shared" si="177"/>
        <v>0</v>
      </c>
    </row>
    <row r="1102" spans="1:46">
      <c r="A1102" s="31">
        <v>46142</v>
      </c>
      <c r="B1102" s="32">
        <f t="shared" si="170"/>
        <v>46113</v>
      </c>
      <c r="C1102" s="2" t="s">
        <v>46</v>
      </c>
      <c r="D1102" s="2" t="s">
        <v>264</v>
      </c>
      <c r="E1102" s="2">
        <v>1713</v>
      </c>
      <c r="F1102" s="2">
        <v>320</v>
      </c>
      <c r="G1102" s="2">
        <f t="shared" si="178"/>
        <v>50</v>
      </c>
      <c r="H1102" s="2">
        <f t="shared" si="179"/>
        <v>49</v>
      </c>
      <c r="I1102" s="2">
        <v>1</v>
      </c>
      <c r="J1102" s="44" t="s">
        <v>48</v>
      </c>
      <c r="K1102" s="2" t="s">
        <v>49</v>
      </c>
      <c r="L1102" s="2">
        <v>1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33"/>
      <c r="AM1102" s="2" t="s">
        <v>1567</v>
      </c>
      <c r="AN1102" s="33">
        <f t="shared" si="171"/>
        <v>1</v>
      </c>
      <c r="AO1102" s="33">
        <f t="shared" si="172"/>
        <v>0</v>
      </c>
      <c r="AP1102" s="33">
        <f t="shared" si="173"/>
        <v>0</v>
      </c>
      <c r="AQ1102" s="33">
        <f t="shared" si="174"/>
        <v>0</v>
      </c>
      <c r="AR1102" s="33">
        <f t="shared" si="175"/>
        <v>0</v>
      </c>
      <c r="AS1102" s="33">
        <f t="shared" si="176"/>
        <v>0</v>
      </c>
      <c r="AT1102" s="34">
        <f t="shared" si="177"/>
        <v>0</v>
      </c>
    </row>
    <row r="1103" spans="1:46">
      <c r="A1103" s="24">
        <v>46114</v>
      </c>
      <c r="B1103" s="23">
        <f t="shared" ref="B1103:B1166" si="180">EOMONTH(A1103,-1)+1</f>
        <v>46113</v>
      </c>
      <c r="C1103" s="2" t="s">
        <v>160</v>
      </c>
      <c r="D1103" s="2" t="s">
        <v>355</v>
      </c>
      <c r="E1103" s="2">
        <v>1474</v>
      </c>
      <c r="F1103" s="2">
        <v>32</v>
      </c>
      <c r="G1103" s="2">
        <v>32</v>
      </c>
      <c r="H1103" s="2">
        <v>32</v>
      </c>
      <c r="I1103" s="2">
        <f t="shared" ref="I1103:I1166" si="181">F1103-H1103</f>
        <v>0</v>
      </c>
      <c r="J1103" s="44" t="s">
        <v>80</v>
      </c>
      <c r="K1103" s="2">
        <v>100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/>
      <c r="AM1103" s="2" t="s">
        <v>80</v>
      </c>
      <c r="AN1103" s="2">
        <f t="shared" ref="AN1103:AN1166" si="182">+L1103+AI1103</f>
        <v>0</v>
      </c>
      <c r="AO1103" s="2">
        <f t="shared" ref="AO1103:AO1166" si="183">+M1103+N1103+O1103+P1103+Q1103+R1103+S1103+T1103+U1103+V1103</f>
        <v>0</v>
      </c>
      <c r="AP1103" s="2">
        <f t="shared" ref="AP1103:AP1166" si="184">+AE1103+AF1103</f>
        <v>0</v>
      </c>
      <c r="AQ1103" s="2">
        <f t="shared" ref="AQ1103:AQ1166" si="185">+AK1103+AD1103+AC1103+AJ1103</f>
        <v>0</v>
      </c>
      <c r="AR1103" s="2">
        <f t="shared" ref="AR1103:AR1166" si="186">+W1103+X1103+Y1103+Z1103+AA1103+AB1103</f>
        <v>0</v>
      </c>
      <c r="AS1103" s="2">
        <f t="shared" ref="AS1103:AS1166" si="187">+AG1103</f>
        <v>0</v>
      </c>
      <c r="AT1103" s="25">
        <f t="shared" ref="AT1103:AT1166" si="188">+AH1103</f>
        <v>0</v>
      </c>
    </row>
    <row r="1104" spans="1:46">
      <c r="A1104" s="24">
        <v>46114</v>
      </c>
      <c r="B1104" s="23">
        <f t="shared" si="180"/>
        <v>46113</v>
      </c>
      <c r="C1104" s="2" t="s">
        <v>160</v>
      </c>
      <c r="D1104" s="2" t="s">
        <v>378</v>
      </c>
      <c r="E1104" s="2">
        <v>1474</v>
      </c>
      <c r="F1104" s="2">
        <v>50</v>
      </c>
      <c r="G1104" s="2">
        <v>50</v>
      </c>
      <c r="H1104" s="2">
        <v>49</v>
      </c>
      <c r="I1104" s="2">
        <f t="shared" si="181"/>
        <v>1</v>
      </c>
      <c r="J1104" s="44" t="s">
        <v>80</v>
      </c>
      <c r="K1104" s="2">
        <v>100</v>
      </c>
      <c r="L1104" s="2">
        <v>1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/>
      <c r="AM1104" s="2" t="s">
        <v>80</v>
      </c>
      <c r="AN1104" s="2">
        <f t="shared" si="182"/>
        <v>1</v>
      </c>
      <c r="AO1104" s="2">
        <f t="shared" si="183"/>
        <v>0</v>
      </c>
      <c r="AP1104" s="2">
        <f t="shared" si="184"/>
        <v>0</v>
      </c>
      <c r="AQ1104" s="2">
        <f t="shared" si="185"/>
        <v>0</v>
      </c>
      <c r="AR1104" s="2">
        <f t="shared" si="186"/>
        <v>0</v>
      </c>
      <c r="AS1104" s="2">
        <f t="shared" si="187"/>
        <v>0</v>
      </c>
      <c r="AT1104" s="25">
        <f t="shared" si="188"/>
        <v>0</v>
      </c>
    </row>
    <row r="1105" spans="1:46">
      <c r="A1105" s="24">
        <v>46114</v>
      </c>
      <c r="B1105" s="23">
        <f t="shared" si="180"/>
        <v>46113</v>
      </c>
      <c r="C1105" s="2" t="s">
        <v>114</v>
      </c>
      <c r="D1105" s="2" t="s">
        <v>292</v>
      </c>
      <c r="E1105" s="2">
        <v>6315</v>
      </c>
      <c r="F1105" s="2">
        <v>33</v>
      </c>
      <c r="G1105" s="2">
        <v>33</v>
      </c>
      <c r="H1105" s="2">
        <v>33</v>
      </c>
      <c r="I1105" s="2">
        <f t="shared" si="181"/>
        <v>0</v>
      </c>
      <c r="J1105" s="44" t="s">
        <v>103</v>
      </c>
      <c r="K1105" s="2">
        <v>100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/>
      <c r="AM1105" s="2" t="s">
        <v>103</v>
      </c>
      <c r="AN1105" s="2">
        <f t="shared" si="182"/>
        <v>0</v>
      </c>
      <c r="AO1105" s="2">
        <f t="shared" si="183"/>
        <v>0</v>
      </c>
      <c r="AP1105" s="2">
        <f t="shared" si="184"/>
        <v>0</v>
      </c>
      <c r="AQ1105" s="2">
        <f t="shared" si="185"/>
        <v>0</v>
      </c>
      <c r="AR1105" s="2">
        <f t="shared" si="186"/>
        <v>0</v>
      </c>
      <c r="AS1105" s="2">
        <f t="shared" si="187"/>
        <v>0</v>
      </c>
      <c r="AT1105" s="25">
        <f t="shared" si="188"/>
        <v>0</v>
      </c>
    </row>
    <row r="1106" spans="1:46">
      <c r="A1106" s="24">
        <v>46114</v>
      </c>
      <c r="B1106" s="23">
        <f t="shared" si="180"/>
        <v>46113</v>
      </c>
      <c r="C1106" s="2" t="s">
        <v>95</v>
      </c>
      <c r="D1106" s="2" t="s">
        <v>244</v>
      </c>
      <c r="E1106" s="2">
        <v>6296</v>
      </c>
      <c r="F1106" s="2">
        <v>30</v>
      </c>
      <c r="G1106" s="2">
        <v>30</v>
      </c>
      <c r="H1106" s="2">
        <v>28</v>
      </c>
      <c r="I1106" s="2">
        <f t="shared" si="181"/>
        <v>2</v>
      </c>
      <c r="J1106" s="44" t="s">
        <v>1567</v>
      </c>
      <c r="K1106" s="2">
        <v>100</v>
      </c>
      <c r="L1106" s="2">
        <v>2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/>
      <c r="AM1106" s="2" t="s">
        <v>1567</v>
      </c>
      <c r="AN1106" s="2">
        <f t="shared" si="182"/>
        <v>2</v>
      </c>
      <c r="AO1106" s="2">
        <f t="shared" si="183"/>
        <v>0</v>
      </c>
      <c r="AP1106" s="2">
        <f t="shared" si="184"/>
        <v>0</v>
      </c>
      <c r="AQ1106" s="2">
        <f t="shared" si="185"/>
        <v>0</v>
      </c>
      <c r="AR1106" s="2">
        <f t="shared" si="186"/>
        <v>0</v>
      </c>
      <c r="AS1106" s="2">
        <f t="shared" si="187"/>
        <v>0</v>
      </c>
      <c r="AT1106" s="25">
        <f t="shared" si="188"/>
        <v>0</v>
      </c>
    </row>
    <row r="1107" spans="1:46">
      <c r="A1107" s="24">
        <v>46114</v>
      </c>
      <c r="B1107" s="23">
        <f t="shared" si="180"/>
        <v>46113</v>
      </c>
      <c r="C1107" s="2" t="s">
        <v>95</v>
      </c>
      <c r="D1107" s="2" t="s">
        <v>250</v>
      </c>
      <c r="E1107" s="2">
        <v>1865</v>
      </c>
      <c r="F1107" s="2">
        <v>47</v>
      </c>
      <c r="G1107" s="2">
        <v>47</v>
      </c>
      <c r="H1107" s="2">
        <v>47</v>
      </c>
      <c r="I1107" s="2">
        <f t="shared" si="181"/>
        <v>0</v>
      </c>
      <c r="J1107" s="44" t="s">
        <v>1567</v>
      </c>
      <c r="K1107" s="2">
        <v>100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/>
      <c r="AM1107" s="2" t="s">
        <v>1567</v>
      </c>
      <c r="AN1107" s="2">
        <f t="shared" si="182"/>
        <v>0</v>
      </c>
      <c r="AO1107" s="2">
        <f t="shared" si="183"/>
        <v>0</v>
      </c>
      <c r="AP1107" s="2">
        <f t="shared" si="184"/>
        <v>0</v>
      </c>
      <c r="AQ1107" s="2">
        <f t="shared" si="185"/>
        <v>0</v>
      </c>
      <c r="AR1107" s="2">
        <f t="shared" si="186"/>
        <v>0</v>
      </c>
      <c r="AS1107" s="2">
        <f t="shared" si="187"/>
        <v>0</v>
      </c>
      <c r="AT1107" s="25">
        <f t="shared" si="188"/>
        <v>0</v>
      </c>
    </row>
    <row r="1108" spans="1:46">
      <c r="A1108" s="24">
        <v>46115</v>
      </c>
      <c r="B1108" s="23">
        <f t="shared" si="180"/>
        <v>46113</v>
      </c>
      <c r="C1108" s="2" t="s">
        <v>114</v>
      </c>
      <c r="D1108" s="2" t="s">
        <v>365</v>
      </c>
      <c r="E1108" s="2">
        <v>3287</v>
      </c>
      <c r="F1108" s="2">
        <v>94</v>
      </c>
      <c r="G1108" s="2">
        <v>94</v>
      </c>
      <c r="H1108" s="2">
        <v>92</v>
      </c>
      <c r="I1108" s="2">
        <f t="shared" si="181"/>
        <v>2</v>
      </c>
      <c r="J1108" s="44" t="s">
        <v>103</v>
      </c>
      <c r="K1108" s="2">
        <v>100</v>
      </c>
      <c r="L1108" s="2">
        <v>2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/>
      <c r="AM1108" s="2" t="s">
        <v>103</v>
      </c>
      <c r="AN1108" s="2">
        <f t="shared" si="182"/>
        <v>2</v>
      </c>
      <c r="AO1108" s="2">
        <f t="shared" si="183"/>
        <v>0</v>
      </c>
      <c r="AP1108" s="2">
        <f t="shared" si="184"/>
        <v>0</v>
      </c>
      <c r="AQ1108" s="2">
        <f t="shared" si="185"/>
        <v>0</v>
      </c>
      <c r="AR1108" s="2">
        <f t="shared" si="186"/>
        <v>0</v>
      </c>
      <c r="AS1108" s="2">
        <f t="shared" si="187"/>
        <v>0</v>
      </c>
      <c r="AT1108" s="25">
        <f t="shared" si="188"/>
        <v>0</v>
      </c>
    </row>
    <row r="1109" spans="1:46">
      <c r="A1109" s="24">
        <v>46115</v>
      </c>
      <c r="B1109" s="23">
        <f t="shared" si="180"/>
        <v>46113</v>
      </c>
      <c r="C1109" s="2" t="s">
        <v>114</v>
      </c>
      <c r="D1109" s="2" t="s">
        <v>354</v>
      </c>
      <c r="E1109" s="2">
        <v>3287</v>
      </c>
      <c r="F1109" s="2">
        <v>44</v>
      </c>
      <c r="G1109" s="2">
        <v>44</v>
      </c>
      <c r="H1109" s="2">
        <v>44</v>
      </c>
      <c r="I1109" s="2">
        <f t="shared" si="181"/>
        <v>0</v>
      </c>
      <c r="J1109" s="44" t="s">
        <v>103</v>
      </c>
      <c r="K1109" s="2">
        <v>100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/>
      <c r="AM1109" s="2" t="s">
        <v>103</v>
      </c>
      <c r="AN1109" s="2">
        <f t="shared" si="182"/>
        <v>0</v>
      </c>
      <c r="AO1109" s="2">
        <f t="shared" si="183"/>
        <v>0</v>
      </c>
      <c r="AP1109" s="2">
        <f t="shared" si="184"/>
        <v>0</v>
      </c>
      <c r="AQ1109" s="2">
        <f t="shared" si="185"/>
        <v>0</v>
      </c>
      <c r="AR1109" s="2">
        <f t="shared" si="186"/>
        <v>0</v>
      </c>
      <c r="AS1109" s="2">
        <f t="shared" si="187"/>
        <v>0</v>
      </c>
      <c r="AT1109" s="25">
        <f t="shared" si="188"/>
        <v>0</v>
      </c>
    </row>
    <row r="1110" spans="1:46">
      <c r="A1110" s="24">
        <v>46115</v>
      </c>
      <c r="B1110" s="23">
        <f t="shared" si="180"/>
        <v>46113</v>
      </c>
      <c r="C1110" s="2" t="s">
        <v>97</v>
      </c>
      <c r="D1110" s="2" t="s">
        <v>1507</v>
      </c>
      <c r="E1110" s="2">
        <v>3337</v>
      </c>
      <c r="F1110" s="2">
        <v>12</v>
      </c>
      <c r="G1110" s="2">
        <v>12</v>
      </c>
      <c r="H1110" s="2">
        <v>0</v>
      </c>
      <c r="I1110" s="2">
        <f t="shared" si="181"/>
        <v>12</v>
      </c>
      <c r="J1110" s="44" t="s">
        <v>103</v>
      </c>
      <c r="K1110" s="2">
        <v>100</v>
      </c>
      <c r="L1110" s="2">
        <v>9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3</v>
      </c>
      <c r="AL1110" s="2"/>
      <c r="AM1110" s="2" t="s">
        <v>103</v>
      </c>
      <c r="AN1110" s="2">
        <f t="shared" si="182"/>
        <v>9</v>
      </c>
      <c r="AO1110" s="2">
        <f t="shared" si="183"/>
        <v>0</v>
      </c>
      <c r="AP1110" s="2">
        <f t="shared" si="184"/>
        <v>0</v>
      </c>
      <c r="AQ1110" s="2">
        <f t="shared" si="185"/>
        <v>3</v>
      </c>
      <c r="AR1110" s="2">
        <f t="shared" si="186"/>
        <v>0</v>
      </c>
      <c r="AS1110" s="2">
        <f t="shared" si="187"/>
        <v>0</v>
      </c>
      <c r="AT1110" s="25">
        <f t="shared" si="188"/>
        <v>0</v>
      </c>
    </row>
    <row r="1111" spans="1:46">
      <c r="A1111" s="24">
        <v>46115</v>
      </c>
      <c r="B1111" s="23">
        <f t="shared" si="180"/>
        <v>46113</v>
      </c>
      <c r="C1111" s="2" t="s">
        <v>72</v>
      </c>
      <c r="D1111" s="2" t="s">
        <v>345</v>
      </c>
      <c r="E1111" s="2">
        <v>2724</v>
      </c>
      <c r="F1111" s="2">
        <v>58</v>
      </c>
      <c r="G1111" s="2">
        <v>58</v>
      </c>
      <c r="H1111" s="2">
        <v>57</v>
      </c>
      <c r="I1111" s="2">
        <f t="shared" si="181"/>
        <v>1</v>
      </c>
      <c r="J1111" s="44" t="s">
        <v>103</v>
      </c>
      <c r="K1111" s="2">
        <v>100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1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/>
      <c r="AM1111" s="2" t="s">
        <v>103</v>
      </c>
      <c r="AN1111" s="2">
        <f t="shared" si="182"/>
        <v>0</v>
      </c>
      <c r="AO1111" s="2">
        <f t="shared" si="183"/>
        <v>1</v>
      </c>
      <c r="AP1111" s="2">
        <f t="shared" si="184"/>
        <v>0</v>
      </c>
      <c r="AQ1111" s="2">
        <f t="shared" si="185"/>
        <v>0</v>
      </c>
      <c r="AR1111" s="2">
        <f t="shared" si="186"/>
        <v>0</v>
      </c>
      <c r="AS1111" s="2">
        <f t="shared" si="187"/>
        <v>0</v>
      </c>
      <c r="AT1111" s="25">
        <f t="shared" si="188"/>
        <v>0</v>
      </c>
    </row>
    <row r="1112" spans="1:46">
      <c r="A1112" s="24">
        <v>46115</v>
      </c>
      <c r="B1112" s="23">
        <f t="shared" si="180"/>
        <v>46113</v>
      </c>
      <c r="C1112" s="2" t="s">
        <v>72</v>
      </c>
      <c r="D1112" s="2" t="s">
        <v>363</v>
      </c>
      <c r="E1112" s="2">
        <v>9315</v>
      </c>
      <c r="F1112" s="2">
        <v>51</v>
      </c>
      <c r="G1112" s="2">
        <v>51</v>
      </c>
      <c r="H1112" s="2">
        <v>43</v>
      </c>
      <c r="I1112" s="2">
        <f t="shared" si="181"/>
        <v>8</v>
      </c>
      <c r="J1112" s="44" t="s">
        <v>103</v>
      </c>
      <c r="K1112" s="2">
        <v>100</v>
      </c>
      <c r="L1112" s="2">
        <v>8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/>
      <c r="AM1112" s="2" t="s">
        <v>103</v>
      </c>
      <c r="AN1112" s="2">
        <f t="shared" si="182"/>
        <v>8</v>
      </c>
      <c r="AO1112" s="2">
        <f t="shared" si="183"/>
        <v>0</v>
      </c>
      <c r="AP1112" s="2">
        <f t="shared" si="184"/>
        <v>0</v>
      </c>
      <c r="AQ1112" s="2">
        <f t="shared" si="185"/>
        <v>0</v>
      </c>
      <c r="AR1112" s="2">
        <f t="shared" si="186"/>
        <v>0</v>
      </c>
      <c r="AS1112" s="2">
        <f t="shared" si="187"/>
        <v>0</v>
      </c>
      <c r="AT1112" s="25">
        <f t="shared" si="188"/>
        <v>0</v>
      </c>
    </row>
    <row r="1113" spans="1:46">
      <c r="A1113" s="24">
        <v>46115</v>
      </c>
      <c r="B1113" s="23">
        <f t="shared" si="180"/>
        <v>46113</v>
      </c>
      <c r="C1113" s="2" t="s">
        <v>114</v>
      </c>
      <c r="D1113" s="2" t="s">
        <v>343</v>
      </c>
      <c r="E1113" s="2">
        <v>3287</v>
      </c>
      <c r="F1113" s="2">
        <v>245</v>
      </c>
      <c r="G1113" s="2">
        <v>245</v>
      </c>
      <c r="H1113" s="2">
        <v>242</v>
      </c>
      <c r="I1113" s="2">
        <f t="shared" si="181"/>
        <v>3</v>
      </c>
      <c r="J1113" s="44" t="s">
        <v>103</v>
      </c>
      <c r="K1113" s="2">
        <v>100</v>
      </c>
      <c r="L1113" s="2">
        <v>2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1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/>
      <c r="AM1113" s="2" t="s">
        <v>103</v>
      </c>
      <c r="AN1113" s="2">
        <f t="shared" si="182"/>
        <v>2</v>
      </c>
      <c r="AO1113" s="2">
        <f t="shared" si="183"/>
        <v>0</v>
      </c>
      <c r="AP1113" s="2">
        <f t="shared" si="184"/>
        <v>0</v>
      </c>
      <c r="AQ1113" s="2">
        <f t="shared" si="185"/>
        <v>1</v>
      </c>
      <c r="AR1113" s="2">
        <f t="shared" si="186"/>
        <v>0</v>
      </c>
      <c r="AS1113" s="2">
        <f t="shared" si="187"/>
        <v>0</v>
      </c>
      <c r="AT1113" s="25">
        <f t="shared" si="188"/>
        <v>0</v>
      </c>
    </row>
    <row r="1114" spans="1:46">
      <c r="A1114" s="24">
        <v>46115</v>
      </c>
      <c r="B1114" s="23">
        <f t="shared" si="180"/>
        <v>46113</v>
      </c>
      <c r="C1114" s="2" t="s">
        <v>66</v>
      </c>
      <c r="D1114" s="2" t="s">
        <v>188</v>
      </c>
      <c r="E1114" s="2">
        <v>6210</v>
      </c>
      <c r="F1114" s="2">
        <v>48</v>
      </c>
      <c r="G1114" s="2">
        <v>48</v>
      </c>
      <c r="H1114" s="2">
        <v>48</v>
      </c>
      <c r="I1114" s="2">
        <f t="shared" si="181"/>
        <v>0</v>
      </c>
      <c r="J1114" s="44" t="s">
        <v>99</v>
      </c>
      <c r="K1114" s="2">
        <v>100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/>
      <c r="AM1114" s="2" t="s">
        <v>99</v>
      </c>
      <c r="AN1114" s="2">
        <f t="shared" si="182"/>
        <v>0</v>
      </c>
      <c r="AO1114" s="2">
        <f t="shared" si="183"/>
        <v>0</v>
      </c>
      <c r="AP1114" s="2">
        <f t="shared" si="184"/>
        <v>0</v>
      </c>
      <c r="AQ1114" s="2">
        <f t="shared" si="185"/>
        <v>0</v>
      </c>
      <c r="AR1114" s="2">
        <f t="shared" si="186"/>
        <v>0</v>
      </c>
      <c r="AS1114" s="2">
        <f t="shared" si="187"/>
        <v>0</v>
      </c>
      <c r="AT1114" s="25">
        <f t="shared" si="188"/>
        <v>0</v>
      </c>
    </row>
    <row r="1115" spans="1:46">
      <c r="A1115" s="24">
        <v>46115</v>
      </c>
      <c r="B1115" s="23">
        <f t="shared" si="180"/>
        <v>46113</v>
      </c>
      <c r="C1115" s="2" t="s">
        <v>46</v>
      </c>
      <c r="D1115" s="2" t="s">
        <v>129</v>
      </c>
      <c r="E1115" s="2">
        <v>1713</v>
      </c>
      <c r="F1115" s="2">
        <v>51</v>
      </c>
      <c r="G1115" s="2">
        <v>51</v>
      </c>
      <c r="H1115" s="2">
        <v>50</v>
      </c>
      <c r="I1115" s="2">
        <f t="shared" si="181"/>
        <v>1</v>
      </c>
      <c r="J1115" s="44" t="s">
        <v>1567</v>
      </c>
      <c r="K1115" s="2">
        <v>100</v>
      </c>
      <c r="L1115" s="2">
        <v>1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/>
      <c r="AM1115" s="2" t="s">
        <v>1567</v>
      </c>
      <c r="AN1115" s="2">
        <f t="shared" si="182"/>
        <v>1</v>
      </c>
      <c r="AO1115" s="2">
        <f t="shared" si="183"/>
        <v>0</v>
      </c>
      <c r="AP1115" s="2">
        <f t="shared" si="184"/>
        <v>0</v>
      </c>
      <c r="AQ1115" s="2">
        <f t="shared" si="185"/>
        <v>0</v>
      </c>
      <c r="AR1115" s="2">
        <f t="shared" si="186"/>
        <v>0</v>
      </c>
      <c r="AS1115" s="2">
        <f t="shared" si="187"/>
        <v>0</v>
      </c>
      <c r="AT1115" s="25">
        <f t="shared" si="188"/>
        <v>0</v>
      </c>
    </row>
    <row r="1116" spans="1:46">
      <c r="A1116" s="24">
        <v>46115</v>
      </c>
      <c r="B1116" s="23">
        <f t="shared" si="180"/>
        <v>46113</v>
      </c>
      <c r="C1116" s="2" t="s">
        <v>95</v>
      </c>
      <c r="D1116" s="2" t="s">
        <v>347</v>
      </c>
      <c r="E1116" s="2">
        <v>3240</v>
      </c>
      <c r="F1116" s="2">
        <v>91</v>
      </c>
      <c r="G1116" s="2">
        <v>91</v>
      </c>
      <c r="H1116" s="2">
        <v>89</v>
      </c>
      <c r="I1116" s="2">
        <f t="shared" si="181"/>
        <v>2</v>
      </c>
      <c r="J1116" s="44" t="s">
        <v>1567</v>
      </c>
      <c r="K1116" s="2">
        <v>100</v>
      </c>
      <c r="L1116" s="2">
        <v>1</v>
      </c>
      <c r="M1116" s="2">
        <v>1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/>
      <c r="AM1116" s="2" t="s">
        <v>1567</v>
      </c>
      <c r="AN1116" s="2">
        <f t="shared" si="182"/>
        <v>1</v>
      </c>
      <c r="AO1116" s="2">
        <f t="shared" si="183"/>
        <v>1</v>
      </c>
      <c r="AP1116" s="2">
        <f t="shared" si="184"/>
        <v>0</v>
      </c>
      <c r="AQ1116" s="2">
        <f t="shared" si="185"/>
        <v>0</v>
      </c>
      <c r="AR1116" s="2">
        <f t="shared" si="186"/>
        <v>0</v>
      </c>
      <c r="AS1116" s="2">
        <f t="shared" si="187"/>
        <v>0</v>
      </c>
      <c r="AT1116" s="25">
        <f t="shared" si="188"/>
        <v>0</v>
      </c>
    </row>
    <row r="1117" spans="1:46">
      <c r="A1117" s="24">
        <v>46115</v>
      </c>
      <c r="B1117" s="23">
        <f t="shared" si="180"/>
        <v>46113</v>
      </c>
      <c r="C1117" s="2" t="s">
        <v>46</v>
      </c>
      <c r="D1117" s="2" t="s">
        <v>51</v>
      </c>
      <c r="E1117" s="2">
        <v>6221</v>
      </c>
      <c r="F1117" s="2">
        <v>47</v>
      </c>
      <c r="G1117" s="2">
        <v>47</v>
      </c>
      <c r="H1117" s="2">
        <v>46</v>
      </c>
      <c r="I1117" s="2">
        <f t="shared" si="181"/>
        <v>1</v>
      </c>
      <c r="J1117" s="44" t="s">
        <v>1567</v>
      </c>
      <c r="K1117" s="2">
        <v>100</v>
      </c>
      <c r="L1117" s="2">
        <v>1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/>
      <c r="AM1117" s="2" t="s">
        <v>1567</v>
      </c>
      <c r="AN1117" s="2">
        <f t="shared" si="182"/>
        <v>1</v>
      </c>
      <c r="AO1117" s="2">
        <f t="shared" si="183"/>
        <v>0</v>
      </c>
      <c r="AP1117" s="2">
        <f t="shared" si="184"/>
        <v>0</v>
      </c>
      <c r="AQ1117" s="2">
        <f t="shared" si="185"/>
        <v>0</v>
      </c>
      <c r="AR1117" s="2">
        <f t="shared" si="186"/>
        <v>0</v>
      </c>
      <c r="AS1117" s="2">
        <f t="shared" si="187"/>
        <v>0</v>
      </c>
      <c r="AT1117" s="25">
        <f t="shared" si="188"/>
        <v>0</v>
      </c>
    </row>
    <row r="1118" spans="1:46">
      <c r="A1118" s="24">
        <v>46115</v>
      </c>
      <c r="B1118" s="23">
        <f t="shared" si="180"/>
        <v>46113</v>
      </c>
      <c r="C1118" s="2" t="s">
        <v>46</v>
      </c>
      <c r="D1118" s="2" t="s">
        <v>176</v>
      </c>
      <c r="E1118" s="2">
        <v>7152</v>
      </c>
      <c r="F1118" s="2">
        <v>29</v>
      </c>
      <c r="G1118" s="2">
        <v>29</v>
      </c>
      <c r="H1118" s="2">
        <v>29</v>
      </c>
      <c r="I1118" s="2">
        <f t="shared" si="181"/>
        <v>0</v>
      </c>
      <c r="J1118" s="44" t="s">
        <v>1567</v>
      </c>
      <c r="K1118" s="2">
        <v>100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/>
      <c r="AM1118" s="2" t="s">
        <v>1567</v>
      </c>
      <c r="AN1118" s="2">
        <f t="shared" si="182"/>
        <v>0</v>
      </c>
      <c r="AO1118" s="2">
        <f t="shared" si="183"/>
        <v>0</v>
      </c>
      <c r="AP1118" s="2">
        <f t="shared" si="184"/>
        <v>0</v>
      </c>
      <c r="AQ1118" s="2">
        <f t="shared" si="185"/>
        <v>0</v>
      </c>
      <c r="AR1118" s="2">
        <f t="shared" si="186"/>
        <v>0</v>
      </c>
      <c r="AS1118" s="2">
        <f t="shared" si="187"/>
        <v>0</v>
      </c>
      <c r="AT1118" s="25">
        <f t="shared" si="188"/>
        <v>0</v>
      </c>
    </row>
    <row r="1119" spans="1:46">
      <c r="A1119" s="24">
        <v>46115</v>
      </c>
      <c r="B1119" s="23">
        <f t="shared" si="180"/>
        <v>46113</v>
      </c>
      <c r="C1119" s="2" t="s">
        <v>55</v>
      </c>
      <c r="D1119" s="2" t="s">
        <v>61</v>
      </c>
      <c r="E1119" s="2">
        <v>2764</v>
      </c>
      <c r="F1119" s="2">
        <v>34</v>
      </c>
      <c r="G1119" s="2">
        <v>34</v>
      </c>
      <c r="H1119" s="2">
        <v>32</v>
      </c>
      <c r="I1119" s="2">
        <f t="shared" si="181"/>
        <v>2</v>
      </c>
      <c r="J1119" s="44" t="s">
        <v>1566</v>
      </c>
      <c r="K1119" s="2">
        <v>100</v>
      </c>
      <c r="L1119" s="2">
        <v>2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/>
      <c r="AM1119" s="2" t="s">
        <v>1566</v>
      </c>
      <c r="AN1119" s="2">
        <f t="shared" si="182"/>
        <v>2</v>
      </c>
      <c r="AO1119" s="2">
        <f t="shared" si="183"/>
        <v>0</v>
      </c>
      <c r="AP1119" s="2">
        <f t="shared" si="184"/>
        <v>0</v>
      </c>
      <c r="AQ1119" s="2">
        <f t="shared" si="185"/>
        <v>0</v>
      </c>
      <c r="AR1119" s="2">
        <f t="shared" si="186"/>
        <v>0</v>
      </c>
      <c r="AS1119" s="2">
        <f t="shared" si="187"/>
        <v>0</v>
      </c>
      <c r="AT1119" s="25">
        <f t="shared" si="188"/>
        <v>0</v>
      </c>
    </row>
    <row r="1120" spans="1:46">
      <c r="A1120" s="24">
        <v>46115</v>
      </c>
      <c r="B1120" s="23">
        <f t="shared" si="180"/>
        <v>46113</v>
      </c>
      <c r="C1120" s="2" t="s">
        <v>160</v>
      </c>
      <c r="D1120" s="2" t="s">
        <v>341</v>
      </c>
      <c r="E1120" s="2">
        <v>6216</v>
      </c>
      <c r="F1120" s="2">
        <v>38</v>
      </c>
      <c r="G1120" s="2">
        <v>38</v>
      </c>
      <c r="H1120" s="2">
        <v>0</v>
      </c>
      <c r="I1120" s="2">
        <f t="shared" si="181"/>
        <v>38</v>
      </c>
      <c r="J1120" s="44" t="s">
        <v>80</v>
      </c>
      <c r="K1120" s="2">
        <v>100</v>
      </c>
      <c r="L1120" s="2">
        <v>0</v>
      </c>
      <c r="M1120" s="2">
        <v>0</v>
      </c>
      <c r="N1120" s="2">
        <v>0</v>
      </c>
      <c r="O1120" s="2">
        <v>0</v>
      </c>
      <c r="P1120" s="2">
        <v>38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/>
      <c r="AM1120" s="2" t="s">
        <v>80</v>
      </c>
      <c r="AN1120" s="2">
        <f t="shared" si="182"/>
        <v>0</v>
      </c>
      <c r="AO1120" s="2">
        <f t="shared" si="183"/>
        <v>38</v>
      </c>
      <c r="AP1120" s="2">
        <f t="shared" si="184"/>
        <v>0</v>
      </c>
      <c r="AQ1120" s="2">
        <f t="shared" si="185"/>
        <v>0</v>
      </c>
      <c r="AR1120" s="2">
        <f t="shared" si="186"/>
        <v>0</v>
      </c>
      <c r="AS1120" s="2">
        <f t="shared" si="187"/>
        <v>0</v>
      </c>
      <c r="AT1120" s="25">
        <f t="shared" si="188"/>
        <v>0</v>
      </c>
    </row>
    <row r="1121" spans="1:46">
      <c r="A1121" s="24">
        <v>46115</v>
      </c>
      <c r="B1121" s="23">
        <f t="shared" si="180"/>
        <v>46113</v>
      </c>
      <c r="C1121" s="2" t="s">
        <v>160</v>
      </c>
      <c r="D1121" s="2" t="s">
        <v>341</v>
      </c>
      <c r="E1121" s="2">
        <v>6216</v>
      </c>
      <c r="F1121" s="2">
        <v>34</v>
      </c>
      <c r="G1121" s="2">
        <v>34</v>
      </c>
      <c r="H1121" s="2">
        <v>34</v>
      </c>
      <c r="I1121" s="2">
        <f t="shared" si="181"/>
        <v>0</v>
      </c>
      <c r="J1121" s="44" t="s">
        <v>80</v>
      </c>
      <c r="K1121" s="2">
        <v>100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/>
      <c r="AM1121" s="2" t="s">
        <v>80</v>
      </c>
      <c r="AN1121" s="2">
        <f t="shared" si="182"/>
        <v>0</v>
      </c>
      <c r="AO1121" s="2">
        <f t="shared" si="183"/>
        <v>0</v>
      </c>
      <c r="AP1121" s="2">
        <f t="shared" si="184"/>
        <v>0</v>
      </c>
      <c r="AQ1121" s="2">
        <f t="shared" si="185"/>
        <v>0</v>
      </c>
      <c r="AR1121" s="2">
        <f t="shared" si="186"/>
        <v>0</v>
      </c>
      <c r="AS1121" s="2">
        <f t="shared" si="187"/>
        <v>0</v>
      </c>
      <c r="AT1121" s="25">
        <f t="shared" si="188"/>
        <v>0</v>
      </c>
    </row>
    <row r="1122" spans="1:46">
      <c r="A1122" s="24">
        <v>46115</v>
      </c>
      <c r="B1122" s="23">
        <f t="shared" si="180"/>
        <v>46113</v>
      </c>
      <c r="C1122" s="2" t="s">
        <v>97</v>
      </c>
      <c r="D1122" s="2" t="s">
        <v>395</v>
      </c>
      <c r="E1122" s="2">
        <v>9151</v>
      </c>
      <c r="F1122" s="2">
        <v>92</v>
      </c>
      <c r="G1122" s="2">
        <v>92</v>
      </c>
      <c r="H1122" s="2">
        <v>82</v>
      </c>
      <c r="I1122" s="2">
        <f t="shared" si="181"/>
        <v>10</v>
      </c>
      <c r="J1122" s="44" t="s">
        <v>80</v>
      </c>
      <c r="K1122" s="2">
        <v>100</v>
      </c>
      <c r="L1122" s="2">
        <v>10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/>
      <c r="AM1122" s="2" t="s">
        <v>80</v>
      </c>
      <c r="AN1122" s="2">
        <f t="shared" si="182"/>
        <v>10</v>
      </c>
      <c r="AO1122" s="2">
        <f t="shared" si="183"/>
        <v>0</v>
      </c>
      <c r="AP1122" s="2">
        <f t="shared" si="184"/>
        <v>0</v>
      </c>
      <c r="AQ1122" s="2">
        <f t="shared" si="185"/>
        <v>0</v>
      </c>
      <c r="AR1122" s="2">
        <f t="shared" si="186"/>
        <v>0</v>
      </c>
      <c r="AS1122" s="2">
        <f t="shared" si="187"/>
        <v>0</v>
      </c>
      <c r="AT1122" s="25">
        <f t="shared" si="188"/>
        <v>0</v>
      </c>
    </row>
    <row r="1123" spans="1:46">
      <c r="A1123" s="24">
        <v>46115</v>
      </c>
      <c r="B1123" s="23">
        <f t="shared" si="180"/>
        <v>46113</v>
      </c>
      <c r="C1123" s="2" t="s">
        <v>55</v>
      </c>
      <c r="D1123" s="2" t="s">
        <v>332</v>
      </c>
      <c r="E1123" s="2">
        <v>2594</v>
      </c>
      <c r="F1123" s="2">
        <v>272</v>
      </c>
      <c r="G1123" s="2">
        <v>272</v>
      </c>
      <c r="H1123" s="2">
        <v>244</v>
      </c>
      <c r="I1123" s="2">
        <f t="shared" si="181"/>
        <v>28</v>
      </c>
      <c r="J1123" s="44" t="s">
        <v>349</v>
      </c>
      <c r="K1123" s="2">
        <v>100</v>
      </c>
      <c r="L1123" s="2">
        <v>15</v>
      </c>
      <c r="M1123" s="2">
        <v>6</v>
      </c>
      <c r="N1123" s="2">
        <v>0</v>
      </c>
      <c r="O1123" s="2">
        <v>0</v>
      </c>
      <c r="P1123" s="2">
        <v>2</v>
      </c>
      <c r="Q1123" s="2">
        <v>0</v>
      </c>
      <c r="R1123" s="2">
        <v>5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/>
      <c r="AM1123" s="2" t="s">
        <v>349</v>
      </c>
      <c r="AN1123" s="2">
        <f t="shared" si="182"/>
        <v>15</v>
      </c>
      <c r="AO1123" s="2">
        <f t="shared" si="183"/>
        <v>13</v>
      </c>
      <c r="AP1123" s="2">
        <f t="shared" si="184"/>
        <v>0</v>
      </c>
      <c r="AQ1123" s="2">
        <f t="shared" si="185"/>
        <v>0</v>
      </c>
      <c r="AR1123" s="2">
        <f t="shared" si="186"/>
        <v>0</v>
      </c>
      <c r="AS1123" s="2">
        <f t="shared" si="187"/>
        <v>0</v>
      </c>
      <c r="AT1123" s="25">
        <f t="shared" si="188"/>
        <v>0</v>
      </c>
    </row>
    <row r="1124" spans="1:46">
      <c r="A1124" s="24">
        <v>46115</v>
      </c>
      <c r="B1124" s="23">
        <f t="shared" si="180"/>
        <v>46113</v>
      </c>
      <c r="C1124" s="2" t="s">
        <v>55</v>
      </c>
      <c r="D1124" s="2" t="s">
        <v>332</v>
      </c>
      <c r="E1124" s="2">
        <v>2594</v>
      </c>
      <c r="F1124" s="2">
        <v>327</v>
      </c>
      <c r="G1124" s="2">
        <v>327</v>
      </c>
      <c r="H1124" s="2">
        <v>272</v>
      </c>
      <c r="I1124" s="2">
        <f t="shared" si="181"/>
        <v>55</v>
      </c>
      <c r="J1124" s="44" t="s">
        <v>349</v>
      </c>
      <c r="K1124" s="2">
        <v>100</v>
      </c>
      <c r="L1124" s="2">
        <v>48</v>
      </c>
      <c r="M1124" s="2">
        <v>0</v>
      </c>
      <c r="N1124" s="2">
        <v>4</v>
      </c>
      <c r="O1124" s="2">
        <v>0</v>
      </c>
      <c r="P1124" s="2">
        <v>3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/>
      <c r="AM1124" s="2" t="s">
        <v>349</v>
      </c>
      <c r="AN1124" s="2">
        <f t="shared" si="182"/>
        <v>48</v>
      </c>
      <c r="AO1124" s="2">
        <f t="shared" si="183"/>
        <v>7</v>
      </c>
      <c r="AP1124" s="2">
        <f t="shared" si="184"/>
        <v>0</v>
      </c>
      <c r="AQ1124" s="2">
        <f t="shared" si="185"/>
        <v>0</v>
      </c>
      <c r="AR1124" s="2">
        <f t="shared" si="186"/>
        <v>0</v>
      </c>
      <c r="AS1124" s="2">
        <f t="shared" si="187"/>
        <v>0</v>
      </c>
      <c r="AT1124" s="25">
        <f t="shared" si="188"/>
        <v>0</v>
      </c>
    </row>
    <row r="1125" spans="1:46">
      <c r="A1125" s="24">
        <v>46118</v>
      </c>
      <c r="B1125" s="23">
        <f t="shared" si="180"/>
        <v>46113</v>
      </c>
      <c r="C1125" s="2" t="s">
        <v>97</v>
      </c>
      <c r="D1125" s="2" t="s">
        <v>399</v>
      </c>
      <c r="E1125" s="2">
        <v>9151</v>
      </c>
      <c r="F1125" s="2">
        <v>264</v>
      </c>
      <c r="G1125" s="2">
        <v>264</v>
      </c>
      <c r="H1125" s="2">
        <v>212</v>
      </c>
      <c r="I1125" s="2">
        <f t="shared" si="181"/>
        <v>52</v>
      </c>
      <c r="J1125" s="44" t="s">
        <v>80</v>
      </c>
      <c r="K1125" s="2">
        <v>100</v>
      </c>
      <c r="L1125" s="2">
        <v>15</v>
      </c>
      <c r="M1125" s="2">
        <v>0</v>
      </c>
      <c r="N1125" s="2">
        <v>0</v>
      </c>
      <c r="O1125" s="2">
        <v>0</v>
      </c>
      <c r="P1125" s="2">
        <v>35</v>
      </c>
      <c r="Q1125" s="2">
        <v>0</v>
      </c>
      <c r="R1125" s="2">
        <v>0</v>
      </c>
      <c r="S1125" s="2">
        <v>0</v>
      </c>
      <c r="T1125" s="2">
        <v>0</v>
      </c>
      <c r="U1125" s="2">
        <v>1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1</v>
      </c>
      <c r="AH1125" s="2">
        <v>0</v>
      </c>
      <c r="AI1125" s="2">
        <v>0</v>
      </c>
      <c r="AJ1125" s="2">
        <v>0</v>
      </c>
      <c r="AK1125" s="2">
        <v>0</v>
      </c>
      <c r="AL1125" s="2"/>
      <c r="AM1125" s="2" t="s">
        <v>80</v>
      </c>
      <c r="AN1125" s="2">
        <f t="shared" si="182"/>
        <v>15</v>
      </c>
      <c r="AO1125" s="2">
        <f t="shared" si="183"/>
        <v>36</v>
      </c>
      <c r="AP1125" s="2">
        <f t="shared" si="184"/>
        <v>0</v>
      </c>
      <c r="AQ1125" s="2">
        <f t="shared" si="185"/>
        <v>0</v>
      </c>
      <c r="AR1125" s="2">
        <f t="shared" si="186"/>
        <v>0</v>
      </c>
      <c r="AS1125" s="2">
        <f t="shared" si="187"/>
        <v>1</v>
      </c>
      <c r="AT1125" s="25">
        <f t="shared" si="188"/>
        <v>0</v>
      </c>
    </row>
    <row r="1126" spans="1:46">
      <c r="A1126" s="24">
        <v>46118</v>
      </c>
      <c r="B1126" s="23">
        <f t="shared" si="180"/>
        <v>46113</v>
      </c>
      <c r="C1126" s="2" t="s">
        <v>160</v>
      </c>
      <c r="D1126" s="2" t="s">
        <v>1227</v>
      </c>
      <c r="E1126" s="2">
        <v>1474</v>
      </c>
      <c r="F1126" s="2">
        <v>27</v>
      </c>
      <c r="G1126" s="2">
        <v>27</v>
      </c>
      <c r="H1126" s="2">
        <v>27</v>
      </c>
      <c r="I1126" s="2">
        <f t="shared" si="181"/>
        <v>0</v>
      </c>
      <c r="J1126" s="44" t="s">
        <v>80</v>
      </c>
      <c r="K1126" s="2">
        <v>100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/>
      <c r="AM1126" s="2" t="s">
        <v>80</v>
      </c>
      <c r="AN1126" s="2">
        <f t="shared" si="182"/>
        <v>0</v>
      </c>
      <c r="AO1126" s="2">
        <f t="shared" si="183"/>
        <v>0</v>
      </c>
      <c r="AP1126" s="2">
        <f t="shared" si="184"/>
        <v>0</v>
      </c>
      <c r="AQ1126" s="2">
        <f t="shared" si="185"/>
        <v>0</v>
      </c>
      <c r="AR1126" s="2">
        <f t="shared" si="186"/>
        <v>0</v>
      </c>
      <c r="AS1126" s="2">
        <f t="shared" si="187"/>
        <v>0</v>
      </c>
      <c r="AT1126" s="25">
        <f t="shared" si="188"/>
        <v>0</v>
      </c>
    </row>
    <row r="1127" spans="1:46">
      <c r="A1127" s="24">
        <v>46118</v>
      </c>
      <c r="B1127" s="23">
        <f t="shared" si="180"/>
        <v>46113</v>
      </c>
      <c r="C1127" s="2" t="s">
        <v>114</v>
      </c>
      <c r="D1127" s="2" t="s">
        <v>338</v>
      </c>
      <c r="E1127" s="2">
        <v>3287</v>
      </c>
      <c r="F1127" s="2">
        <v>126</v>
      </c>
      <c r="G1127" s="2">
        <v>126</v>
      </c>
      <c r="H1127" s="2">
        <v>123</v>
      </c>
      <c r="I1127" s="2">
        <f t="shared" si="181"/>
        <v>3</v>
      </c>
      <c r="J1127" s="44" t="s">
        <v>103</v>
      </c>
      <c r="K1127" s="2">
        <v>100</v>
      </c>
      <c r="L1127" s="2">
        <v>3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/>
      <c r="AM1127" s="2" t="s">
        <v>103</v>
      </c>
      <c r="AN1127" s="2">
        <f t="shared" si="182"/>
        <v>3</v>
      </c>
      <c r="AO1127" s="2">
        <f t="shared" si="183"/>
        <v>0</v>
      </c>
      <c r="AP1127" s="2">
        <f t="shared" si="184"/>
        <v>0</v>
      </c>
      <c r="AQ1127" s="2">
        <f t="shared" si="185"/>
        <v>0</v>
      </c>
      <c r="AR1127" s="2">
        <f t="shared" si="186"/>
        <v>0</v>
      </c>
      <c r="AS1127" s="2">
        <f t="shared" si="187"/>
        <v>0</v>
      </c>
      <c r="AT1127" s="25">
        <f t="shared" si="188"/>
        <v>0</v>
      </c>
    </row>
    <row r="1128" spans="1:46">
      <c r="A1128" s="24">
        <v>46118</v>
      </c>
      <c r="B1128" s="23">
        <f t="shared" si="180"/>
        <v>46113</v>
      </c>
      <c r="C1128" s="2" t="s">
        <v>114</v>
      </c>
      <c r="D1128" s="2" t="s">
        <v>365</v>
      </c>
      <c r="E1128" s="2">
        <v>3287</v>
      </c>
      <c r="F1128" s="2">
        <v>204</v>
      </c>
      <c r="G1128" s="2">
        <v>204</v>
      </c>
      <c r="H1128" s="2">
        <v>200</v>
      </c>
      <c r="I1128" s="2">
        <f t="shared" si="181"/>
        <v>4</v>
      </c>
      <c r="J1128" s="44" t="s">
        <v>103</v>
      </c>
      <c r="K1128" s="2">
        <v>100</v>
      </c>
      <c r="L1128" s="2">
        <v>2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1</v>
      </c>
      <c r="W1128" s="2">
        <v>0</v>
      </c>
      <c r="X1128" s="2">
        <v>0</v>
      </c>
      <c r="Y1128" s="2">
        <v>0</v>
      </c>
      <c r="Z1128" s="2">
        <v>0</v>
      </c>
      <c r="AA1128" s="2">
        <v>1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/>
      <c r="AM1128" s="2" t="s">
        <v>103</v>
      </c>
      <c r="AN1128" s="2">
        <f t="shared" si="182"/>
        <v>2</v>
      </c>
      <c r="AO1128" s="2">
        <f t="shared" si="183"/>
        <v>1</v>
      </c>
      <c r="AP1128" s="2">
        <f t="shared" si="184"/>
        <v>0</v>
      </c>
      <c r="AQ1128" s="2">
        <f t="shared" si="185"/>
        <v>0</v>
      </c>
      <c r="AR1128" s="2">
        <f t="shared" si="186"/>
        <v>1</v>
      </c>
      <c r="AS1128" s="2">
        <f t="shared" si="187"/>
        <v>0</v>
      </c>
      <c r="AT1128" s="25">
        <f t="shared" si="188"/>
        <v>0</v>
      </c>
    </row>
    <row r="1129" spans="1:46">
      <c r="A1129" s="24">
        <v>46118</v>
      </c>
      <c r="B1129" s="23">
        <f t="shared" si="180"/>
        <v>46113</v>
      </c>
      <c r="C1129" s="2" t="s">
        <v>72</v>
      </c>
      <c r="D1129" s="2" t="s">
        <v>347</v>
      </c>
      <c r="E1129" s="2">
        <v>3240</v>
      </c>
      <c r="F1129" s="2">
        <v>542</v>
      </c>
      <c r="G1129" s="2">
        <v>542</v>
      </c>
      <c r="H1129" s="2">
        <v>502</v>
      </c>
      <c r="I1129" s="2">
        <f t="shared" si="181"/>
        <v>40</v>
      </c>
      <c r="J1129" s="44" t="s">
        <v>103</v>
      </c>
      <c r="K1129" s="2">
        <v>100</v>
      </c>
      <c r="L1129" s="2">
        <v>15</v>
      </c>
      <c r="M1129" s="2">
        <v>25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/>
      <c r="AM1129" s="2" t="s">
        <v>103</v>
      </c>
      <c r="AN1129" s="2">
        <f t="shared" si="182"/>
        <v>15</v>
      </c>
      <c r="AO1129" s="2">
        <f t="shared" si="183"/>
        <v>25</v>
      </c>
      <c r="AP1129" s="2">
        <f t="shared" si="184"/>
        <v>0</v>
      </c>
      <c r="AQ1129" s="2">
        <f t="shared" si="185"/>
        <v>0</v>
      </c>
      <c r="AR1129" s="2">
        <f t="shared" si="186"/>
        <v>0</v>
      </c>
      <c r="AS1129" s="2">
        <f t="shared" si="187"/>
        <v>0</v>
      </c>
      <c r="AT1129" s="25">
        <f t="shared" si="188"/>
        <v>0</v>
      </c>
    </row>
    <row r="1130" spans="1:46">
      <c r="A1130" s="24">
        <v>46118</v>
      </c>
      <c r="B1130" s="23">
        <f t="shared" si="180"/>
        <v>46113</v>
      </c>
      <c r="C1130" s="2" t="s">
        <v>72</v>
      </c>
      <c r="D1130" s="2" t="s">
        <v>345</v>
      </c>
      <c r="E1130" s="2">
        <v>2724</v>
      </c>
      <c r="F1130" s="2">
        <v>310</v>
      </c>
      <c r="G1130" s="2">
        <v>310</v>
      </c>
      <c r="H1130" s="2">
        <v>310</v>
      </c>
      <c r="I1130" s="2">
        <f t="shared" si="181"/>
        <v>0</v>
      </c>
      <c r="J1130" s="44" t="s">
        <v>103</v>
      </c>
      <c r="K1130" s="2">
        <v>100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/>
      <c r="AM1130" s="2" t="s">
        <v>103</v>
      </c>
      <c r="AN1130" s="2">
        <f t="shared" si="182"/>
        <v>0</v>
      </c>
      <c r="AO1130" s="2">
        <f t="shared" si="183"/>
        <v>0</v>
      </c>
      <c r="AP1130" s="2">
        <f t="shared" si="184"/>
        <v>0</v>
      </c>
      <c r="AQ1130" s="2">
        <f t="shared" si="185"/>
        <v>0</v>
      </c>
      <c r="AR1130" s="2">
        <f t="shared" si="186"/>
        <v>0</v>
      </c>
      <c r="AS1130" s="2">
        <f t="shared" si="187"/>
        <v>0</v>
      </c>
      <c r="AT1130" s="25">
        <f t="shared" si="188"/>
        <v>0</v>
      </c>
    </row>
    <row r="1131" spans="1:46">
      <c r="A1131" s="24">
        <v>46118</v>
      </c>
      <c r="B1131" s="23">
        <f t="shared" si="180"/>
        <v>46113</v>
      </c>
      <c r="C1131" s="2" t="s">
        <v>160</v>
      </c>
      <c r="D1131" s="2" t="s">
        <v>379</v>
      </c>
      <c r="E1131" s="2">
        <v>6306</v>
      </c>
      <c r="F1131" s="2">
        <v>28</v>
      </c>
      <c r="G1131" s="2">
        <v>28</v>
      </c>
      <c r="H1131" s="2">
        <v>27</v>
      </c>
      <c r="I1131" s="2">
        <f t="shared" si="181"/>
        <v>1</v>
      </c>
      <c r="J1131" s="44" t="s">
        <v>93</v>
      </c>
      <c r="K1131" s="2">
        <v>100</v>
      </c>
      <c r="L1131" s="2">
        <v>0</v>
      </c>
      <c r="M1131" s="2">
        <v>0</v>
      </c>
      <c r="N1131" s="2">
        <v>0</v>
      </c>
      <c r="O1131" s="2">
        <v>0</v>
      </c>
      <c r="P1131" s="2">
        <v>1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/>
      <c r="AM1131" s="2" t="s">
        <v>93</v>
      </c>
      <c r="AN1131" s="2">
        <f t="shared" si="182"/>
        <v>0</v>
      </c>
      <c r="AO1131" s="2">
        <f t="shared" si="183"/>
        <v>1</v>
      </c>
      <c r="AP1131" s="2">
        <f t="shared" si="184"/>
        <v>0</v>
      </c>
      <c r="AQ1131" s="2">
        <f t="shared" si="185"/>
        <v>0</v>
      </c>
      <c r="AR1131" s="2">
        <f t="shared" si="186"/>
        <v>0</v>
      </c>
      <c r="AS1131" s="2">
        <f t="shared" si="187"/>
        <v>0</v>
      </c>
      <c r="AT1131" s="25">
        <f t="shared" si="188"/>
        <v>0</v>
      </c>
    </row>
    <row r="1132" spans="1:46">
      <c r="A1132" s="24">
        <v>46118</v>
      </c>
      <c r="B1132" s="23">
        <f t="shared" si="180"/>
        <v>46113</v>
      </c>
      <c r="C1132" s="2" t="s">
        <v>82</v>
      </c>
      <c r="D1132" s="2" t="s">
        <v>259</v>
      </c>
      <c r="E1132" s="2">
        <v>3317</v>
      </c>
      <c r="F1132" s="2">
        <v>43</v>
      </c>
      <c r="G1132" s="2">
        <v>43</v>
      </c>
      <c r="H1132" s="2">
        <v>41</v>
      </c>
      <c r="I1132" s="2">
        <f t="shared" si="181"/>
        <v>2</v>
      </c>
      <c r="J1132" s="44" t="s">
        <v>93</v>
      </c>
      <c r="K1132" s="2">
        <v>100</v>
      </c>
      <c r="L1132" s="2">
        <v>1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1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/>
      <c r="AM1132" s="2" t="s">
        <v>93</v>
      </c>
      <c r="AN1132" s="2">
        <f t="shared" si="182"/>
        <v>1</v>
      </c>
      <c r="AO1132" s="2">
        <f t="shared" si="183"/>
        <v>1</v>
      </c>
      <c r="AP1132" s="2">
        <f t="shared" si="184"/>
        <v>0</v>
      </c>
      <c r="AQ1132" s="2">
        <f t="shared" si="185"/>
        <v>0</v>
      </c>
      <c r="AR1132" s="2">
        <f t="shared" si="186"/>
        <v>0</v>
      </c>
      <c r="AS1132" s="2">
        <f t="shared" si="187"/>
        <v>0</v>
      </c>
      <c r="AT1132" s="25">
        <f t="shared" si="188"/>
        <v>0</v>
      </c>
    </row>
    <row r="1133" spans="1:46">
      <c r="A1133" s="24">
        <v>46118</v>
      </c>
      <c r="B1133" s="23">
        <f t="shared" si="180"/>
        <v>46113</v>
      </c>
      <c r="C1133" s="2" t="s">
        <v>160</v>
      </c>
      <c r="D1133" s="2" t="s">
        <v>1467</v>
      </c>
      <c r="E1133" s="2">
        <v>3331</v>
      </c>
      <c r="F1133" s="2">
        <v>46</v>
      </c>
      <c r="G1133" s="2">
        <v>46</v>
      </c>
      <c r="H1133" s="2">
        <v>40</v>
      </c>
      <c r="I1133" s="2">
        <f t="shared" si="181"/>
        <v>6</v>
      </c>
      <c r="J1133" s="44" t="s">
        <v>93</v>
      </c>
      <c r="K1133" s="2">
        <v>100</v>
      </c>
      <c r="L1133" s="2">
        <v>0</v>
      </c>
      <c r="M1133" s="2">
        <v>0</v>
      </c>
      <c r="N1133" s="2">
        <v>0</v>
      </c>
      <c r="O1133" s="2">
        <v>0</v>
      </c>
      <c r="P1133" s="2">
        <v>6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/>
      <c r="AM1133" s="2" t="s">
        <v>93</v>
      </c>
      <c r="AN1133" s="2">
        <f t="shared" si="182"/>
        <v>0</v>
      </c>
      <c r="AO1133" s="2">
        <f t="shared" si="183"/>
        <v>6</v>
      </c>
      <c r="AP1133" s="2">
        <f t="shared" si="184"/>
        <v>0</v>
      </c>
      <c r="AQ1133" s="2">
        <f t="shared" si="185"/>
        <v>0</v>
      </c>
      <c r="AR1133" s="2">
        <f t="shared" si="186"/>
        <v>0</v>
      </c>
      <c r="AS1133" s="2">
        <f t="shared" si="187"/>
        <v>0</v>
      </c>
      <c r="AT1133" s="25">
        <f t="shared" si="188"/>
        <v>0</v>
      </c>
    </row>
    <row r="1134" spans="1:46">
      <c r="A1134" s="24">
        <v>46118</v>
      </c>
      <c r="B1134" s="23">
        <f t="shared" si="180"/>
        <v>46113</v>
      </c>
      <c r="C1134" s="2" t="s">
        <v>82</v>
      </c>
      <c r="D1134" s="2" t="s">
        <v>1299</v>
      </c>
      <c r="E1134" s="2">
        <v>1650</v>
      </c>
      <c r="F1134" s="2">
        <v>52</v>
      </c>
      <c r="G1134" s="2">
        <v>52</v>
      </c>
      <c r="H1134" s="2">
        <v>52</v>
      </c>
      <c r="I1134" s="2">
        <f t="shared" si="181"/>
        <v>0</v>
      </c>
      <c r="J1134" s="44" t="s">
        <v>93</v>
      </c>
      <c r="K1134" s="2">
        <v>100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/>
      <c r="AM1134" s="2" t="s">
        <v>93</v>
      </c>
      <c r="AN1134" s="2">
        <f t="shared" si="182"/>
        <v>0</v>
      </c>
      <c r="AO1134" s="2">
        <f t="shared" si="183"/>
        <v>0</v>
      </c>
      <c r="AP1134" s="2">
        <f t="shared" si="184"/>
        <v>0</v>
      </c>
      <c r="AQ1134" s="2">
        <f t="shared" si="185"/>
        <v>0</v>
      </c>
      <c r="AR1134" s="2">
        <f t="shared" si="186"/>
        <v>0</v>
      </c>
      <c r="AS1134" s="2">
        <f t="shared" si="187"/>
        <v>0</v>
      </c>
      <c r="AT1134" s="25">
        <f t="shared" si="188"/>
        <v>0</v>
      </c>
    </row>
    <row r="1135" spans="1:46">
      <c r="A1135" s="24">
        <v>46118</v>
      </c>
      <c r="B1135" s="23">
        <f t="shared" si="180"/>
        <v>46113</v>
      </c>
      <c r="C1135" s="2" t="s">
        <v>160</v>
      </c>
      <c r="D1135" s="2" t="s">
        <v>378</v>
      </c>
      <c r="E1135" s="2">
        <v>1474</v>
      </c>
      <c r="F1135" s="2">
        <v>75</v>
      </c>
      <c r="G1135" s="2">
        <v>75</v>
      </c>
      <c r="H1135" s="2">
        <v>62</v>
      </c>
      <c r="I1135" s="2">
        <f t="shared" si="181"/>
        <v>13</v>
      </c>
      <c r="J1135" s="44" t="s">
        <v>93</v>
      </c>
      <c r="K1135" s="2">
        <v>100</v>
      </c>
      <c r="L1135" s="2">
        <v>8</v>
      </c>
      <c r="M1135" s="2">
        <v>0</v>
      </c>
      <c r="N1135" s="2">
        <v>0</v>
      </c>
      <c r="O1135" s="2">
        <v>0</v>
      </c>
      <c r="P1135" s="2">
        <v>5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/>
      <c r="AM1135" s="2" t="s">
        <v>93</v>
      </c>
      <c r="AN1135" s="2">
        <f t="shared" si="182"/>
        <v>8</v>
      </c>
      <c r="AO1135" s="2">
        <f t="shared" si="183"/>
        <v>5</v>
      </c>
      <c r="AP1135" s="2">
        <f t="shared" si="184"/>
        <v>0</v>
      </c>
      <c r="AQ1135" s="2">
        <f t="shared" si="185"/>
        <v>0</v>
      </c>
      <c r="AR1135" s="2">
        <f t="shared" si="186"/>
        <v>0</v>
      </c>
      <c r="AS1135" s="2">
        <f t="shared" si="187"/>
        <v>0</v>
      </c>
      <c r="AT1135" s="25">
        <f t="shared" si="188"/>
        <v>0</v>
      </c>
    </row>
    <row r="1136" spans="1:46">
      <c r="A1136" s="24">
        <v>46118</v>
      </c>
      <c r="B1136" s="23">
        <f t="shared" si="180"/>
        <v>46113</v>
      </c>
      <c r="C1136" s="2" t="s">
        <v>95</v>
      </c>
      <c r="D1136" s="2" t="s">
        <v>360</v>
      </c>
      <c r="E1136" s="2">
        <v>90024</v>
      </c>
      <c r="F1136" s="2">
        <v>171</v>
      </c>
      <c r="G1136" s="2">
        <v>171</v>
      </c>
      <c r="H1136" s="2">
        <v>161</v>
      </c>
      <c r="I1136" s="2">
        <f t="shared" si="181"/>
        <v>10</v>
      </c>
      <c r="J1136" s="44" t="s">
        <v>1567</v>
      </c>
      <c r="K1136" s="2">
        <v>100</v>
      </c>
      <c r="L1136" s="2">
        <v>10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/>
      <c r="AM1136" s="2" t="s">
        <v>1567</v>
      </c>
      <c r="AN1136" s="2">
        <f t="shared" si="182"/>
        <v>10</v>
      </c>
      <c r="AO1136" s="2">
        <f t="shared" si="183"/>
        <v>0</v>
      </c>
      <c r="AP1136" s="2">
        <f t="shared" si="184"/>
        <v>0</v>
      </c>
      <c r="AQ1136" s="2">
        <f t="shared" si="185"/>
        <v>0</v>
      </c>
      <c r="AR1136" s="2">
        <f t="shared" si="186"/>
        <v>0</v>
      </c>
      <c r="AS1136" s="2">
        <f t="shared" si="187"/>
        <v>0</v>
      </c>
      <c r="AT1136" s="25">
        <f t="shared" si="188"/>
        <v>0</v>
      </c>
    </row>
    <row r="1137" spans="1:46">
      <c r="A1137" s="24">
        <v>46118</v>
      </c>
      <c r="B1137" s="23">
        <f t="shared" si="180"/>
        <v>46113</v>
      </c>
      <c r="C1137" s="2" t="s">
        <v>95</v>
      </c>
      <c r="D1137" s="2" t="s">
        <v>342</v>
      </c>
      <c r="E1137" s="2">
        <v>90024</v>
      </c>
      <c r="F1137" s="2">
        <v>159</v>
      </c>
      <c r="G1137" s="2">
        <v>159</v>
      </c>
      <c r="H1137" s="2">
        <v>148</v>
      </c>
      <c r="I1137" s="2">
        <f t="shared" si="181"/>
        <v>11</v>
      </c>
      <c r="J1137" s="44" t="s">
        <v>1567</v>
      </c>
      <c r="K1137" s="2">
        <v>100</v>
      </c>
      <c r="L1137" s="2">
        <v>8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3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/>
      <c r="AM1137" s="2" t="s">
        <v>1567</v>
      </c>
      <c r="AN1137" s="2">
        <f t="shared" si="182"/>
        <v>8</v>
      </c>
      <c r="AO1137" s="2">
        <f t="shared" si="183"/>
        <v>3</v>
      </c>
      <c r="AP1137" s="2">
        <f t="shared" si="184"/>
        <v>0</v>
      </c>
      <c r="AQ1137" s="2">
        <f t="shared" si="185"/>
        <v>0</v>
      </c>
      <c r="AR1137" s="2">
        <f t="shared" si="186"/>
        <v>0</v>
      </c>
      <c r="AS1137" s="2">
        <f t="shared" si="187"/>
        <v>0</v>
      </c>
      <c r="AT1137" s="25">
        <f t="shared" si="188"/>
        <v>0</v>
      </c>
    </row>
    <row r="1138" spans="1:46">
      <c r="A1138" s="24">
        <v>46118</v>
      </c>
      <c r="B1138" s="23">
        <f t="shared" si="180"/>
        <v>46113</v>
      </c>
      <c r="C1138" s="2" t="s">
        <v>46</v>
      </c>
      <c r="D1138" s="2" t="s">
        <v>217</v>
      </c>
      <c r="E1138" s="2">
        <v>7152</v>
      </c>
      <c r="F1138" s="2">
        <v>48</v>
      </c>
      <c r="G1138" s="2">
        <v>48</v>
      </c>
      <c r="H1138" s="2">
        <v>46</v>
      </c>
      <c r="I1138" s="2">
        <f t="shared" si="181"/>
        <v>2</v>
      </c>
      <c r="J1138" s="44" t="s">
        <v>1567</v>
      </c>
      <c r="K1138" s="2">
        <v>100</v>
      </c>
      <c r="L1138" s="2">
        <v>2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/>
      <c r="AM1138" s="2" t="s">
        <v>1567</v>
      </c>
      <c r="AN1138" s="2">
        <f t="shared" si="182"/>
        <v>2</v>
      </c>
      <c r="AO1138" s="2">
        <f t="shared" si="183"/>
        <v>0</v>
      </c>
      <c r="AP1138" s="2">
        <f t="shared" si="184"/>
        <v>0</v>
      </c>
      <c r="AQ1138" s="2">
        <f t="shared" si="185"/>
        <v>0</v>
      </c>
      <c r="AR1138" s="2">
        <f t="shared" si="186"/>
        <v>0</v>
      </c>
      <c r="AS1138" s="2">
        <f t="shared" si="187"/>
        <v>0</v>
      </c>
      <c r="AT1138" s="25">
        <f t="shared" si="188"/>
        <v>0</v>
      </c>
    </row>
    <row r="1139" spans="1:46">
      <c r="A1139" s="24">
        <v>46118</v>
      </c>
      <c r="B1139" s="23">
        <f t="shared" si="180"/>
        <v>46113</v>
      </c>
      <c r="C1139" s="2" t="s">
        <v>97</v>
      </c>
      <c r="D1139" s="2" t="s">
        <v>1309</v>
      </c>
      <c r="E1139" s="2">
        <v>3327</v>
      </c>
      <c r="F1139" s="2">
        <v>56</v>
      </c>
      <c r="G1139" s="2">
        <v>56</v>
      </c>
      <c r="H1139" s="2">
        <v>56</v>
      </c>
      <c r="I1139" s="2">
        <f t="shared" si="181"/>
        <v>0</v>
      </c>
      <c r="J1139" s="44" t="s">
        <v>110</v>
      </c>
      <c r="K1139" s="2">
        <v>100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/>
      <c r="AM1139" s="2" t="s">
        <v>110</v>
      </c>
      <c r="AN1139" s="2">
        <f t="shared" si="182"/>
        <v>0</v>
      </c>
      <c r="AO1139" s="2">
        <f t="shared" si="183"/>
        <v>0</v>
      </c>
      <c r="AP1139" s="2">
        <f t="shared" si="184"/>
        <v>0</v>
      </c>
      <c r="AQ1139" s="2">
        <f t="shared" si="185"/>
        <v>0</v>
      </c>
      <c r="AR1139" s="2">
        <f t="shared" si="186"/>
        <v>0</v>
      </c>
      <c r="AS1139" s="2">
        <f t="shared" si="187"/>
        <v>0</v>
      </c>
      <c r="AT1139" s="25">
        <f t="shared" si="188"/>
        <v>0</v>
      </c>
    </row>
    <row r="1140" spans="1:46">
      <c r="A1140" s="24">
        <v>46118</v>
      </c>
      <c r="B1140" s="23">
        <f t="shared" si="180"/>
        <v>46113</v>
      </c>
      <c r="C1140" s="2" t="s">
        <v>97</v>
      </c>
      <c r="D1140" s="2" t="s">
        <v>256</v>
      </c>
      <c r="E1140" s="2">
        <v>3319</v>
      </c>
      <c r="F1140" s="2">
        <v>54</v>
      </c>
      <c r="G1140" s="2">
        <v>54</v>
      </c>
      <c r="H1140" s="2">
        <v>53</v>
      </c>
      <c r="I1140" s="2">
        <f t="shared" si="181"/>
        <v>1</v>
      </c>
      <c r="J1140" s="44" t="s">
        <v>110</v>
      </c>
      <c r="K1140" s="2">
        <v>100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1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/>
      <c r="AM1140" s="2" t="s">
        <v>110</v>
      </c>
      <c r="AN1140" s="2">
        <f t="shared" si="182"/>
        <v>0</v>
      </c>
      <c r="AO1140" s="2">
        <f t="shared" si="183"/>
        <v>1</v>
      </c>
      <c r="AP1140" s="2">
        <f t="shared" si="184"/>
        <v>0</v>
      </c>
      <c r="AQ1140" s="2">
        <f t="shared" si="185"/>
        <v>0</v>
      </c>
      <c r="AR1140" s="2">
        <f t="shared" si="186"/>
        <v>0</v>
      </c>
      <c r="AS1140" s="2">
        <f t="shared" si="187"/>
        <v>0</v>
      </c>
      <c r="AT1140" s="25">
        <f t="shared" si="188"/>
        <v>0</v>
      </c>
    </row>
    <row r="1141" spans="1:46">
      <c r="A1141" s="24">
        <v>46118</v>
      </c>
      <c r="B1141" s="23">
        <f t="shared" si="180"/>
        <v>46113</v>
      </c>
      <c r="C1141" s="2" t="s">
        <v>97</v>
      </c>
      <c r="D1141" s="2" t="s">
        <v>353</v>
      </c>
      <c r="E1141" s="2">
        <v>9151</v>
      </c>
      <c r="F1141" s="2">
        <v>271</v>
      </c>
      <c r="G1141" s="2">
        <v>271</v>
      </c>
      <c r="H1141" s="2">
        <v>268</v>
      </c>
      <c r="I1141" s="2">
        <f t="shared" si="181"/>
        <v>3</v>
      </c>
      <c r="J1141" s="44" t="s">
        <v>110</v>
      </c>
      <c r="K1141" s="2">
        <v>100</v>
      </c>
      <c r="L1141" s="2">
        <v>3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/>
      <c r="AM1141" s="2" t="s">
        <v>110</v>
      </c>
      <c r="AN1141" s="2">
        <f t="shared" si="182"/>
        <v>3</v>
      </c>
      <c r="AO1141" s="2">
        <f t="shared" si="183"/>
        <v>0</v>
      </c>
      <c r="AP1141" s="2">
        <f t="shared" si="184"/>
        <v>0</v>
      </c>
      <c r="AQ1141" s="2">
        <f t="shared" si="185"/>
        <v>0</v>
      </c>
      <c r="AR1141" s="2">
        <f t="shared" si="186"/>
        <v>0</v>
      </c>
      <c r="AS1141" s="2">
        <f t="shared" si="187"/>
        <v>0</v>
      </c>
      <c r="AT1141" s="25">
        <f t="shared" si="188"/>
        <v>0</v>
      </c>
    </row>
    <row r="1142" spans="1:46">
      <c r="A1142" s="24">
        <v>46118</v>
      </c>
      <c r="B1142" s="23">
        <f t="shared" si="180"/>
        <v>46113</v>
      </c>
      <c r="C1142" s="2" t="s">
        <v>55</v>
      </c>
      <c r="D1142" s="2" t="s">
        <v>352</v>
      </c>
      <c r="E1142" s="2">
        <v>7078</v>
      </c>
      <c r="F1142" s="2">
        <v>192</v>
      </c>
      <c r="G1142" s="2">
        <v>192</v>
      </c>
      <c r="H1142" s="2">
        <v>155</v>
      </c>
      <c r="I1142" s="2">
        <f t="shared" si="181"/>
        <v>37</v>
      </c>
      <c r="J1142" s="44" t="s">
        <v>1566</v>
      </c>
      <c r="K1142" s="2">
        <v>100</v>
      </c>
      <c r="L1142" s="2">
        <v>18</v>
      </c>
      <c r="M1142" s="2">
        <v>0</v>
      </c>
      <c r="N1142" s="2">
        <v>9</v>
      </c>
      <c r="O1142" s="2">
        <v>0</v>
      </c>
      <c r="P1142" s="2">
        <v>9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1</v>
      </c>
      <c r="AH1142" s="2">
        <v>0</v>
      </c>
      <c r="AI1142" s="2">
        <v>0</v>
      </c>
      <c r="AJ1142" s="2">
        <v>0</v>
      </c>
      <c r="AK1142" s="2">
        <v>0</v>
      </c>
      <c r="AL1142" s="2"/>
      <c r="AM1142" s="2" t="s">
        <v>1566</v>
      </c>
      <c r="AN1142" s="2">
        <f t="shared" si="182"/>
        <v>18</v>
      </c>
      <c r="AO1142" s="2">
        <f t="shared" si="183"/>
        <v>18</v>
      </c>
      <c r="AP1142" s="2">
        <f t="shared" si="184"/>
        <v>0</v>
      </c>
      <c r="AQ1142" s="2">
        <f t="shared" si="185"/>
        <v>0</v>
      </c>
      <c r="AR1142" s="2">
        <f t="shared" si="186"/>
        <v>0</v>
      </c>
      <c r="AS1142" s="2">
        <f t="shared" si="187"/>
        <v>1</v>
      </c>
      <c r="AT1142" s="25">
        <f t="shared" si="188"/>
        <v>0</v>
      </c>
    </row>
    <row r="1143" spans="1:46">
      <c r="A1143" s="24">
        <v>46119</v>
      </c>
      <c r="B1143" s="23">
        <f t="shared" si="180"/>
        <v>46113</v>
      </c>
      <c r="C1143" s="2" t="s">
        <v>55</v>
      </c>
      <c r="D1143" s="2" t="s">
        <v>332</v>
      </c>
      <c r="E1143" s="2">
        <v>2594</v>
      </c>
      <c r="F1143" s="2">
        <v>80</v>
      </c>
      <c r="G1143" s="2">
        <v>80</v>
      </c>
      <c r="H1143" s="2">
        <v>79</v>
      </c>
      <c r="I1143" s="2">
        <f t="shared" si="181"/>
        <v>1</v>
      </c>
      <c r="J1143" s="44" t="s">
        <v>80</v>
      </c>
      <c r="K1143" s="2">
        <v>100</v>
      </c>
      <c r="L1143" s="2">
        <v>1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/>
      <c r="AM1143" s="2" t="s">
        <v>80</v>
      </c>
      <c r="AN1143" s="2">
        <f t="shared" si="182"/>
        <v>1</v>
      </c>
      <c r="AO1143" s="2">
        <f t="shared" si="183"/>
        <v>0</v>
      </c>
      <c r="AP1143" s="2">
        <f t="shared" si="184"/>
        <v>0</v>
      </c>
      <c r="AQ1143" s="2">
        <f t="shared" si="185"/>
        <v>0</v>
      </c>
      <c r="AR1143" s="2">
        <f t="shared" si="186"/>
        <v>0</v>
      </c>
      <c r="AS1143" s="2">
        <f t="shared" si="187"/>
        <v>0</v>
      </c>
      <c r="AT1143" s="25">
        <f t="shared" si="188"/>
        <v>0</v>
      </c>
    </row>
    <row r="1144" spans="1:46">
      <c r="A1144" s="24">
        <v>46119</v>
      </c>
      <c r="B1144" s="23">
        <f t="shared" si="180"/>
        <v>46113</v>
      </c>
      <c r="C1144" s="2" t="s">
        <v>82</v>
      </c>
      <c r="D1144" s="2" t="s">
        <v>401</v>
      </c>
      <c r="E1144" s="2">
        <v>1650</v>
      </c>
      <c r="F1144" s="2">
        <v>46</v>
      </c>
      <c r="G1144" s="2">
        <v>46</v>
      </c>
      <c r="H1144" s="2">
        <v>45</v>
      </c>
      <c r="I1144" s="2">
        <f t="shared" si="181"/>
        <v>1</v>
      </c>
      <c r="J1144" s="44" t="s">
        <v>80</v>
      </c>
      <c r="K1144" s="2">
        <v>100</v>
      </c>
      <c r="L1144" s="2">
        <v>1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/>
      <c r="AM1144" s="2" t="s">
        <v>80</v>
      </c>
      <c r="AN1144" s="2">
        <f t="shared" si="182"/>
        <v>1</v>
      </c>
      <c r="AO1144" s="2">
        <f t="shared" si="183"/>
        <v>0</v>
      </c>
      <c r="AP1144" s="2">
        <f t="shared" si="184"/>
        <v>0</v>
      </c>
      <c r="AQ1144" s="2">
        <f t="shared" si="185"/>
        <v>0</v>
      </c>
      <c r="AR1144" s="2">
        <f t="shared" si="186"/>
        <v>0</v>
      </c>
      <c r="AS1144" s="2">
        <f t="shared" si="187"/>
        <v>0</v>
      </c>
      <c r="AT1144" s="25">
        <f t="shared" si="188"/>
        <v>0</v>
      </c>
    </row>
    <row r="1145" spans="1:46">
      <c r="A1145" s="24">
        <v>46119</v>
      </c>
      <c r="B1145" s="23">
        <f t="shared" si="180"/>
        <v>46113</v>
      </c>
      <c r="C1145" s="2" t="s">
        <v>160</v>
      </c>
      <c r="D1145" s="2" t="s">
        <v>1467</v>
      </c>
      <c r="E1145" s="2">
        <v>3331</v>
      </c>
      <c r="F1145" s="2">
        <v>16</v>
      </c>
      <c r="G1145" s="2">
        <v>16</v>
      </c>
      <c r="H1145" s="2">
        <v>16</v>
      </c>
      <c r="I1145" s="2">
        <f t="shared" si="181"/>
        <v>0</v>
      </c>
      <c r="J1145" s="44" t="s">
        <v>93</v>
      </c>
      <c r="K1145" s="2">
        <v>100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/>
      <c r="AM1145" s="2" t="s">
        <v>93</v>
      </c>
      <c r="AN1145" s="2">
        <f t="shared" si="182"/>
        <v>0</v>
      </c>
      <c r="AO1145" s="2">
        <f t="shared" si="183"/>
        <v>0</v>
      </c>
      <c r="AP1145" s="2">
        <f t="shared" si="184"/>
        <v>0</v>
      </c>
      <c r="AQ1145" s="2">
        <f t="shared" si="185"/>
        <v>0</v>
      </c>
      <c r="AR1145" s="2">
        <f t="shared" si="186"/>
        <v>0</v>
      </c>
      <c r="AS1145" s="2">
        <f t="shared" si="187"/>
        <v>0</v>
      </c>
      <c r="AT1145" s="25">
        <f t="shared" si="188"/>
        <v>0</v>
      </c>
    </row>
    <row r="1146" spans="1:46">
      <c r="A1146" s="24">
        <v>46119</v>
      </c>
      <c r="B1146" s="23">
        <f t="shared" si="180"/>
        <v>46113</v>
      </c>
      <c r="C1146" s="2" t="s">
        <v>114</v>
      </c>
      <c r="D1146" s="2" t="s">
        <v>366</v>
      </c>
      <c r="E1146" s="2">
        <v>3287</v>
      </c>
      <c r="F1146" s="2">
        <v>56</v>
      </c>
      <c r="G1146" s="2">
        <v>56</v>
      </c>
      <c r="H1146" s="2">
        <v>55</v>
      </c>
      <c r="I1146" s="2">
        <f t="shared" si="181"/>
        <v>1</v>
      </c>
      <c r="J1146" s="44" t="s">
        <v>103</v>
      </c>
      <c r="K1146" s="2">
        <v>100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1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/>
      <c r="AM1146" s="2" t="s">
        <v>103</v>
      </c>
      <c r="AN1146" s="2">
        <f t="shared" si="182"/>
        <v>0</v>
      </c>
      <c r="AO1146" s="2">
        <f t="shared" si="183"/>
        <v>0</v>
      </c>
      <c r="AP1146" s="2">
        <f t="shared" si="184"/>
        <v>0</v>
      </c>
      <c r="AQ1146" s="2">
        <f t="shared" si="185"/>
        <v>1</v>
      </c>
      <c r="AR1146" s="2">
        <f t="shared" si="186"/>
        <v>0</v>
      </c>
      <c r="AS1146" s="2">
        <f t="shared" si="187"/>
        <v>0</v>
      </c>
      <c r="AT1146" s="25">
        <f t="shared" si="188"/>
        <v>0</v>
      </c>
    </row>
    <row r="1147" spans="1:46">
      <c r="A1147" s="24">
        <v>46119</v>
      </c>
      <c r="B1147" s="23">
        <f t="shared" si="180"/>
        <v>46113</v>
      </c>
      <c r="C1147" s="2" t="s">
        <v>72</v>
      </c>
      <c r="D1147" s="2" t="s">
        <v>358</v>
      </c>
      <c r="E1147" s="2">
        <v>3273</v>
      </c>
      <c r="F1147" s="2">
        <v>148</v>
      </c>
      <c r="G1147" s="2">
        <v>148</v>
      </c>
      <c r="H1147" s="2">
        <v>145</v>
      </c>
      <c r="I1147" s="2">
        <f t="shared" si="181"/>
        <v>3</v>
      </c>
      <c r="J1147" s="44" t="s">
        <v>103</v>
      </c>
      <c r="K1147" s="2">
        <v>100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3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/>
      <c r="AM1147" s="2" t="s">
        <v>103</v>
      </c>
      <c r="AN1147" s="2">
        <f t="shared" si="182"/>
        <v>0</v>
      </c>
      <c r="AO1147" s="2">
        <f t="shared" si="183"/>
        <v>3</v>
      </c>
      <c r="AP1147" s="2">
        <f t="shared" si="184"/>
        <v>0</v>
      </c>
      <c r="AQ1147" s="2">
        <f t="shared" si="185"/>
        <v>0</v>
      </c>
      <c r="AR1147" s="2">
        <f t="shared" si="186"/>
        <v>0</v>
      </c>
      <c r="AS1147" s="2">
        <f t="shared" si="187"/>
        <v>0</v>
      </c>
      <c r="AT1147" s="25">
        <f t="shared" si="188"/>
        <v>0</v>
      </c>
    </row>
    <row r="1148" spans="1:46">
      <c r="A1148" s="24">
        <v>46119</v>
      </c>
      <c r="B1148" s="23">
        <f t="shared" si="180"/>
        <v>46113</v>
      </c>
      <c r="C1148" s="2" t="s">
        <v>72</v>
      </c>
      <c r="D1148" s="2" t="s">
        <v>408</v>
      </c>
      <c r="E1148" s="2">
        <v>9315</v>
      </c>
      <c r="F1148" s="2">
        <v>68</v>
      </c>
      <c r="G1148" s="2">
        <v>68</v>
      </c>
      <c r="H1148" s="2">
        <v>67</v>
      </c>
      <c r="I1148" s="2">
        <f t="shared" si="181"/>
        <v>1</v>
      </c>
      <c r="J1148" s="44" t="s">
        <v>103</v>
      </c>
      <c r="K1148" s="2">
        <v>100</v>
      </c>
      <c r="L1148" s="2">
        <v>0</v>
      </c>
      <c r="M1148" s="2">
        <v>1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/>
      <c r="AM1148" s="2" t="s">
        <v>103</v>
      </c>
      <c r="AN1148" s="2">
        <f t="shared" si="182"/>
        <v>0</v>
      </c>
      <c r="AO1148" s="2">
        <f t="shared" si="183"/>
        <v>1</v>
      </c>
      <c r="AP1148" s="2">
        <f t="shared" si="184"/>
        <v>0</v>
      </c>
      <c r="AQ1148" s="2">
        <f t="shared" si="185"/>
        <v>0</v>
      </c>
      <c r="AR1148" s="2">
        <f t="shared" si="186"/>
        <v>0</v>
      </c>
      <c r="AS1148" s="2">
        <f t="shared" si="187"/>
        <v>0</v>
      </c>
      <c r="AT1148" s="25">
        <f t="shared" si="188"/>
        <v>0</v>
      </c>
    </row>
    <row r="1149" spans="1:46">
      <c r="A1149" s="24">
        <v>46119</v>
      </c>
      <c r="B1149" s="23">
        <f t="shared" si="180"/>
        <v>46113</v>
      </c>
      <c r="C1149" s="2" t="s">
        <v>114</v>
      </c>
      <c r="D1149" s="2" t="s">
        <v>350</v>
      </c>
      <c r="E1149" s="2">
        <v>3287</v>
      </c>
      <c r="F1149" s="2">
        <v>55</v>
      </c>
      <c r="G1149" s="2">
        <v>55</v>
      </c>
      <c r="H1149" s="2">
        <v>55</v>
      </c>
      <c r="I1149" s="2">
        <f t="shared" si="181"/>
        <v>0</v>
      </c>
      <c r="J1149" s="44" t="s">
        <v>103</v>
      </c>
      <c r="K1149" s="2">
        <v>100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/>
      <c r="AM1149" s="2" t="s">
        <v>103</v>
      </c>
      <c r="AN1149" s="2">
        <f t="shared" si="182"/>
        <v>0</v>
      </c>
      <c r="AO1149" s="2">
        <f t="shared" si="183"/>
        <v>0</v>
      </c>
      <c r="AP1149" s="2">
        <f t="shared" si="184"/>
        <v>0</v>
      </c>
      <c r="AQ1149" s="2">
        <f t="shared" si="185"/>
        <v>0</v>
      </c>
      <c r="AR1149" s="2">
        <f t="shared" si="186"/>
        <v>0</v>
      </c>
      <c r="AS1149" s="2">
        <f t="shared" si="187"/>
        <v>0</v>
      </c>
      <c r="AT1149" s="25">
        <f t="shared" si="188"/>
        <v>0</v>
      </c>
    </row>
    <row r="1150" spans="1:46">
      <c r="A1150" s="24">
        <v>46119</v>
      </c>
      <c r="B1150" s="23">
        <f t="shared" si="180"/>
        <v>46113</v>
      </c>
      <c r="C1150" s="2" t="s">
        <v>114</v>
      </c>
      <c r="D1150" s="2" t="s">
        <v>350</v>
      </c>
      <c r="E1150" s="2">
        <v>3287</v>
      </c>
      <c r="F1150" s="2">
        <v>20</v>
      </c>
      <c r="G1150" s="2">
        <v>20</v>
      </c>
      <c r="H1150" s="2">
        <v>20</v>
      </c>
      <c r="I1150" s="2">
        <f t="shared" si="181"/>
        <v>0</v>
      </c>
      <c r="J1150" s="44" t="s">
        <v>103</v>
      </c>
      <c r="K1150" s="2">
        <v>100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/>
      <c r="AM1150" s="2" t="s">
        <v>103</v>
      </c>
      <c r="AN1150" s="2">
        <f t="shared" si="182"/>
        <v>0</v>
      </c>
      <c r="AO1150" s="2">
        <f t="shared" si="183"/>
        <v>0</v>
      </c>
      <c r="AP1150" s="2">
        <f t="shared" si="184"/>
        <v>0</v>
      </c>
      <c r="AQ1150" s="2">
        <f t="shared" si="185"/>
        <v>0</v>
      </c>
      <c r="AR1150" s="2">
        <f t="shared" si="186"/>
        <v>0</v>
      </c>
      <c r="AS1150" s="2">
        <f t="shared" si="187"/>
        <v>0</v>
      </c>
      <c r="AT1150" s="25">
        <f t="shared" si="188"/>
        <v>0</v>
      </c>
    </row>
    <row r="1151" spans="1:46">
      <c r="A1151" s="24">
        <v>46119</v>
      </c>
      <c r="B1151" s="23">
        <f t="shared" si="180"/>
        <v>46113</v>
      </c>
      <c r="C1151" s="2" t="s">
        <v>72</v>
      </c>
      <c r="D1151" s="2" t="s">
        <v>1545</v>
      </c>
      <c r="E1151" s="2">
        <v>6327</v>
      </c>
      <c r="F1151" s="2">
        <v>160</v>
      </c>
      <c r="G1151" s="2">
        <v>160</v>
      </c>
      <c r="H1151" s="2">
        <v>160</v>
      </c>
      <c r="I1151" s="2">
        <f t="shared" si="181"/>
        <v>0</v>
      </c>
      <c r="J1151" s="44" t="s">
        <v>103</v>
      </c>
      <c r="K1151" s="2">
        <v>100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/>
      <c r="AM1151" s="2" t="s">
        <v>103</v>
      </c>
      <c r="AN1151" s="2">
        <f t="shared" si="182"/>
        <v>0</v>
      </c>
      <c r="AO1151" s="2">
        <f t="shared" si="183"/>
        <v>0</v>
      </c>
      <c r="AP1151" s="2">
        <f t="shared" si="184"/>
        <v>0</v>
      </c>
      <c r="AQ1151" s="2">
        <f t="shared" si="185"/>
        <v>0</v>
      </c>
      <c r="AR1151" s="2">
        <f t="shared" si="186"/>
        <v>0</v>
      </c>
      <c r="AS1151" s="2">
        <f t="shared" si="187"/>
        <v>0</v>
      </c>
      <c r="AT1151" s="25">
        <f t="shared" si="188"/>
        <v>0</v>
      </c>
    </row>
    <row r="1152" spans="1:46">
      <c r="A1152" s="24">
        <v>46119</v>
      </c>
      <c r="B1152" s="23">
        <f t="shared" si="180"/>
        <v>46113</v>
      </c>
      <c r="C1152" s="2" t="s">
        <v>72</v>
      </c>
      <c r="D1152" s="2" t="s">
        <v>1545</v>
      </c>
      <c r="E1152" s="2">
        <v>6327</v>
      </c>
      <c r="F1152" s="2">
        <v>42</v>
      </c>
      <c r="G1152" s="2">
        <v>42</v>
      </c>
      <c r="H1152" s="2">
        <v>42</v>
      </c>
      <c r="I1152" s="2">
        <f t="shared" si="181"/>
        <v>0</v>
      </c>
      <c r="J1152" s="44" t="s">
        <v>103</v>
      </c>
      <c r="K1152" s="2">
        <v>100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/>
      <c r="AM1152" s="2" t="s">
        <v>103</v>
      </c>
      <c r="AN1152" s="2">
        <f t="shared" si="182"/>
        <v>0</v>
      </c>
      <c r="AO1152" s="2">
        <f t="shared" si="183"/>
        <v>0</v>
      </c>
      <c r="AP1152" s="2">
        <f t="shared" si="184"/>
        <v>0</v>
      </c>
      <c r="AQ1152" s="2">
        <f t="shared" si="185"/>
        <v>0</v>
      </c>
      <c r="AR1152" s="2">
        <f t="shared" si="186"/>
        <v>0</v>
      </c>
      <c r="AS1152" s="2">
        <f t="shared" si="187"/>
        <v>0</v>
      </c>
      <c r="AT1152" s="25">
        <f t="shared" si="188"/>
        <v>0</v>
      </c>
    </row>
    <row r="1153" spans="1:46">
      <c r="A1153" s="24">
        <v>46119</v>
      </c>
      <c r="B1153" s="23">
        <f t="shared" si="180"/>
        <v>46113</v>
      </c>
      <c r="C1153" s="2" t="s">
        <v>97</v>
      </c>
      <c r="D1153" s="2" t="s">
        <v>373</v>
      </c>
      <c r="E1153" s="2">
        <v>6237</v>
      </c>
      <c r="F1153" s="2">
        <v>148</v>
      </c>
      <c r="G1153" s="2">
        <v>148</v>
      </c>
      <c r="H1153" s="2">
        <v>146</v>
      </c>
      <c r="I1153" s="2">
        <f t="shared" si="181"/>
        <v>2</v>
      </c>
      <c r="J1153" s="44" t="s">
        <v>110</v>
      </c>
      <c r="K1153" s="2">
        <v>100</v>
      </c>
      <c r="L1153" s="2">
        <v>2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/>
      <c r="AM1153" s="2" t="s">
        <v>110</v>
      </c>
      <c r="AN1153" s="2">
        <f t="shared" si="182"/>
        <v>2</v>
      </c>
      <c r="AO1153" s="2">
        <f t="shared" si="183"/>
        <v>0</v>
      </c>
      <c r="AP1153" s="2">
        <f t="shared" si="184"/>
        <v>0</v>
      </c>
      <c r="AQ1153" s="2">
        <f t="shared" si="185"/>
        <v>0</v>
      </c>
      <c r="AR1153" s="2">
        <f t="shared" si="186"/>
        <v>0</v>
      </c>
      <c r="AS1153" s="2">
        <f t="shared" si="187"/>
        <v>0</v>
      </c>
      <c r="AT1153" s="25">
        <f t="shared" si="188"/>
        <v>0</v>
      </c>
    </row>
    <row r="1154" spans="1:46">
      <c r="A1154" s="24">
        <v>46119</v>
      </c>
      <c r="B1154" s="23">
        <f t="shared" si="180"/>
        <v>46113</v>
      </c>
      <c r="C1154" s="2" t="s">
        <v>66</v>
      </c>
      <c r="D1154" s="2" t="s">
        <v>417</v>
      </c>
      <c r="E1154" s="2">
        <v>6216</v>
      </c>
      <c r="F1154" s="2">
        <v>16</v>
      </c>
      <c r="G1154" s="2">
        <v>16</v>
      </c>
      <c r="H1154" s="2">
        <v>13</v>
      </c>
      <c r="I1154" s="2">
        <f t="shared" si="181"/>
        <v>3</v>
      </c>
      <c r="J1154" s="44" t="s">
        <v>110</v>
      </c>
      <c r="K1154" s="2">
        <v>100</v>
      </c>
      <c r="L1154" s="2">
        <v>3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/>
      <c r="AM1154" s="2" t="s">
        <v>110</v>
      </c>
      <c r="AN1154" s="2">
        <f t="shared" si="182"/>
        <v>3</v>
      </c>
      <c r="AO1154" s="2">
        <f t="shared" si="183"/>
        <v>0</v>
      </c>
      <c r="AP1154" s="2">
        <f t="shared" si="184"/>
        <v>0</v>
      </c>
      <c r="AQ1154" s="2">
        <f t="shared" si="185"/>
        <v>0</v>
      </c>
      <c r="AR1154" s="2">
        <f t="shared" si="186"/>
        <v>0</v>
      </c>
      <c r="AS1154" s="2">
        <f t="shared" si="187"/>
        <v>0</v>
      </c>
      <c r="AT1154" s="25">
        <f t="shared" si="188"/>
        <v>0</v>
      </c>
    </row>
    <row r="1155" spans="1:46">
      <c r="A1155" s="24">
        <v>46119</v>
      </c>
      <c r="B1155" s="23">
        <f t="shared" si="180"/>
        <v>46113</v>
      </c>
      <c r="C1155" s="2" t="s">
        <v>55</v>
      </c>
      <c r="D1155" s="2" t="s">
        <v>357</v>
      </c>
      <c r="E1155" s="2">
        <v>7078</v>
      </c>
      <c r="F1155" s="2">
        <v>50</v>
      </c>
      <c r="G1155" s="2">
        <v>50</v>
      </c>
      <c r="H1155" s="2">
        <v>49</v>
      </c>
      <c r="I1155" s="2">
        <f t="shared" si="181"/>
        <v>1</v>
      </c>
      <c r="J1155" s="44" t="s">
        <v>1566</v>
      </c>
      <c r="K1155" s="2">
        <v>100</v>
      </c>
      <c r="L1155" s="2">
        <v>1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/>
      <c r="AM1155" s="2" t="s">
        <v>1566</v>
      </c>
      <c r="AN1155" s="2">
        <f t="shared" si="182"/>
        <v>1</v>
      </c>
      <c r="AO1155" s="2">
        <f t="shared" si="183"/>
        <v>0</v>
      </c>
      <c r="AP1155" s="2">
        <f t="shared" si="184"/>
        <v>0</v>
      </c>
      <c r="AQ1155" s="2">
        <f t="shared" si="185"/>
        <v>0</v>
      </c>
      <c r="AR1155" s="2">
        <f t="shared" si="186"/>
        <v>0</v>
      </c>
      <c r="AS1155" s="2">
        <f t="shared" si="187"/>
        <v>0</v>
      </c>
      <c r="AT1155" s="25">
        <f t="shared" si="188"/>
        <v>0</v>
      </c>
    </row>
    <row r="1156" spans="1:46">
      <c r="A1156" s="24">
        <v>46119</v>
      </c>
      <c r="B1156" s="23">
        <f t="shared" si="180"/>
        <v>46113</v>
      </c>
      <c r="C1156" s="2" t="s">
        <v>63</v>
      </c>
      <c r="D1156" s="2" t="s">
        <v>279</v>
      </c>
      <c r="E1156" s="2">
        <v>8164</v>
      </c>
      <c r="F1156" s="2">
        <v>33</v>
      </c>
      <c r="G1156" s="2">
        <v>33</v>
      </c>
      <c r="H1156" s="2">
        <v>32</v>
      </c>
      <c r="I1156" s="2">
        <f t="shared" si="181"/>
        <v>1</v>
      </c>
      <c r="J1156" s="44" t="s">
        <v>1568</v>
      </c>
      <c r="K1156" s="2">
        <v>100</v>
      </c>
      <c r="L1156" s="2">
        <v>1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/>
      <c r="AM1156" s="2" t="s">
        <v>1568</v>
      </c>
      <c r="AN1156" s="2">
        <f t="shared" si="182"/>
        <v>1</v>
      </c>
      <c r="AO1156" s="2">
        <f t="shared" si="183"/>
        <v>0</v>
      </c>
      <c r="AP1156" s="2">
        <f t="shared" si="184"/>
        <v>0</v>
      </c>
      <c r="AQ1156" s="2">
        <f t="shared" si="185"/>
        <v>0</v>
      </c>
      <c r="AR1156" s="2">
        <f t="shared" si="186"/>
        <v>0</v>
      </c>
      <c r="AS1156" s="2">
        <f t="shared" si="187"/>
        <v>0</v>
      </c>
      <c r="AT1156" s="25">
        <f t="shared" si="188"/>
        <v>0</v>
      </c>
    </row>
    <row r="1157" spans="1:46">
      <c r="A1157" s="24">
        <v>46119</v>
      </c>
      <c r="B1157" s="23">
        <f t="shared" si="180"/>
        <v>46113</v>
      </c>
      <c r="C1157" s="2" t="s">
        <v>63</v>
      </c>
      <c r="D1157" s="2" t="s">
        <v>139</v>
      </c>
      <c r="E1157" s="2">
        <v>1715</v>
      </c>
      <c r="F1157" s="2">
        <v>36</v>
      </c>
      <c r="G1157" s="2">
        <v>36</v>
      </c>
      <c r="H1157" s="2">
        <v>33</v>
      </c>
      <c r="I1157" s="2">
        <f t="shared" si="181"/>
        <v>3</v>
      </c>
      <c r="J1157" s="44" t="s">
        <v>1568</v>
      </c>
      <c r="K1157" s="2">
        <v>100</v>
      </c>
      <c r="L1157" s="2">
        <v>2</v>
      </c>
      <c r="M1157" s="2">
        <v>1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/>
      <c r="AM1157" s="2" t="s">
        <v>1568</v>
      </c>
      <c r="AN1157" s="2">
        <f t="shared" si="182"/>
        <v>2</v>
      </c>
      <c r="AO1157" s="2">
        <f t="shared" si="183"/>
        <v>1</v>
      </c>
      <c r="AP1157" s="2">
        <f t="shared" si="184"/>
        <v>0</v>
      </c>
      <c r="AQ1157" s="2">
        <f t="shared" si="185"/>
        <v>0</v>
      </c>
      <c r="AR1157" s="2">
        <f t="shared" si="186"/>
        <v>0</v>
      </c>
      <c r="AS1157" s="2">
        <f t="shared" si="187"/>
        <v>0</v>
      </c>
      <c r="AT1157" s="25">
        <f t="shared" si="188"/>
        <v>0</v>
      </c>
    </row>
    <row r="1158" spans="1:46">
      <c r="A1158" s="24">
        <v>46120</v>
      </c>
      <c r="B1158" s="23">
        <f t="shared" si="180"/>
        <v>46113</v>
      </c>
      <c r="C1158" s="2" t="s">
        <v>72</v>
      </c>
      <c r="D1158" s="2" t="s">
        <v>219</v>
      </c>
      <c r="E1158" s="2">
        <v>3123</v>
      </c>
      <c r="F1158" s="2">
        <v>33</v>
      </c>
      <c r="G1158" s="2">
        <v>33</v>
      </c>
      <c r="H1158" s="2">
        <v>30</v>
      </c>
      <c r="I1158" s="2">
        <f t="shared" si="181"/>
        <v>3</v>
      </c>
      <c r="J1158" s="44" t="s">
        <v>103</v>
      </c>
      <c r="K1158" s="2">
        <v>100</v>
      </c>
      <c r="L1158" s="2">
        <v>2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1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/>
      <c r="AM1158" s="2" t="s">
        <v>103</v>
      </c>
      <c r="AN1158" s="2">
        <f t="shared" si="182"/>
        <v>2</v>
      </c>
      <c r="AO1158" s="2">
        <f t="shared" si="183"/>
        <v>1</v>
      </c>
      <c r="AP1158" s="2">
        <f t="shared" si="184"/>
        <v>0</v>
      </c>
      <c r="AQ1158" s="2">
        <f t="shared" si="185"/>
        <v>0</v>
      </c>
      <c r="AR1158" s="2">
        <f t="shared" si="186"/>
        <v>0</v>
      </c>
      <c r="AS1158" s="2">
        <f t="shared" si="187"/>
        <v>0</v>
      </c>
      <c r="AT1158" s="25">
        <f t="shared" si="188"/>
        <v>0</v>
      </c>
    </row>
    <row r="1159" spans="1:46">
      <c r="A1159" s="24">
        <v>46120</v>
      </c>
      <c r="B1159" s="23">
        <f t="shared" si="180"/>
        <v>46113</v>
      </c>
      <c r="C1159" s="2" t="s">
        <v>114</v>
      </c>
      <c r="D1159" s="2" t="s">
        <v>395</v>
      </c>
      <c r="E1159" s="2">
        <v>9151</v>
      </c>
      <c r="F1159" s="2">
        <v>740</v>
      </c>
      <c r="G1159" s="2">
        <v>740</v>
      </c>
      <c r="H1159" s="2">
        <v>691</v>
      </c>
      <c r="I1159" s="2">
        <f t="shared" si="181"/>
        <v>49</v>
      </c>
      <c r="J1159" s="44" t="s">
        <v>103</v>
      </c>
      <c r="K1159" s="2">
        <v>100</v>
      </c>
      <c r="L1159" s="2">
        <v>11</v>
      </c>
      <c r="M1159" s="2">
        <v>0</v>
      </c>
      <c r="N1159" s="2">
        <v>0</v>
      </c>
      <c r="O1159" s="2">
        <v>0</v>
      </c>
      <c r="P1159" s="2">
        <v>35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3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/>
      <c r="AM1159" s="2" t="s">
        <v>103</v>
      </c>
      <c r="AN1159" s="2">
        <f t="shared" si="182"/>
        <v>11</v>
      </c>
      <c r="AO1159" s="2">
        <f t="shared" si="183"/>
        <v>35</v>
      </c>
      <c r="AP1159" s="2">
        <f t="shared" si="184"/>
        <v>0</v>
      </c>
      <c r="AQ1159" s="2">
        <f t="shared" si="185"/>
        <v>3</v>
      </c>
      <c r="AR1159" s="2">
        <f t="shared" si="186"/>
        <v>0</v>
      </c>
      <c r="AS1159" s="2">
        <f t="shared" si="187"/>
        <v>0</v>
      </c>
      <c r="AT1159" s="25">
        <f t="shared" si="188"/>
        <v>0</v>
      </c>
    </row>
    <row r="1160" spans="1:46">
      <c r="A1160" s="24">
        <v>46120</v>
      </c>
      <c r="B1160" s="23">
        <f t="shared" si="180"/>
        <v>46113</v>
      </c>
      <c r="C1160" s="2" t="s">
        <v>72</v>
      </c>
      <c r="D1160" s="2" t="s">
        <v>408</v>
      </c>
      <c r="E1160" s="2">
        <v>9315</v>
      </c>
      <c r="F1160" s="2">
        <v>422</v>
      </c>
      <c r="G1160" s="2">
        <v>422</v>
      </c>
      <c r="H1160" s="2">
        <v>405</v>
      </c>
      <c r="I1160" s="2">
        <f t="shared" si="181"/>
        <v>17</v>
      </c>
      <c r="J1160" s="44" t="s">
        <v>99</v>
      </c>
      <c r="K1160" s="2">
        <v>100</v>
      </c>
      <c r="L1160" s="2">
        <v>7</v>
      </c>
      <c r="M1160" s="2">
        <v>0</v>
      </c>
      <c r="N1160" s="2">
        <v>0</v>
      </c>
      <c r="O1160" s="2">
        <v>5</v>
      </c>
      <c r="P1160" s="2">
        <v>0</v>
      </c>
      <c r="Q1160" s="2">
        <v>0</v>
      </c>
      <c r="R1160" s="2">
        <v>4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1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/>
      <c r="AM1160" s="2" t="s">
        <v>99</v>
      </c>
      <c r="AN1160" s="2">
        <f t="shared" si="182"/>
        <v>7</v>
      </c>
      <c r="AO1160" s="2">
        <f t="shared" si="183"/>
        <v>9</v>
      </c>
      <c r="AP1160" s="2">
        <f t="shared" si="184"/>
        <v>0</v>
      </c>
      <c r="AQ1160" s="2">
        <f t="shared" si="185"/>
        <v>1</v>
      </c>
      <c r="AR1160" s="2">
        <f t="shared" si="186"/>
        <v>0</v>
      </c>
      <c r="AS1160" s="2">
        <f t="shared" si="187"/>
        <v>0</v>
      </c>
      <c r="AT1160" s="25">
        <f t="shared" si="188"/>
        <v>0</v>
      </c>
    </row>
    <row r="1161" spans="1:46">
      <c r="A1161" s="24">
        <v>46120</v>
      </c>
      <c r="B1161" s="23">
        <f t="shared" si="180"/>
        <v>46113</v>
      </c>
      <c r="C1161" s="2" t="s">
        <v>72</v>
      </c>
      <c r="D1161" s="2" t="s">
        <v>408</v>
      </c>
      <c r="E1161" s="2">
        <v>9315</v>
      </c>
      <c r="F1161" s="2">
        <v>56</v>
      </c>
      <c r="G1161" s="2">
        <v>56</v>
      </c>
      <c r="H1161" s="2">
        <v>55</v>
      </c>
      <c r="I1161" s="2">
        <f t="shared" si="181"/>
        <v>1</v>
      </c>
      <c r="J1161" s="44" t="s">
        <v>103</v>
      </c>
      <c r="K1161" s="2">
        <v>100</v>
      </c>
      <c r="L1161" s="2">
        <v>1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/>
      <c r="AM1161" s="2" t="s">
        <v>103</v>
      </c>
      <c r="AN1161" s="2">
        <f t="shared" si="182"/>
        <v>1</v>
      </c>
      <c r="AO1161" s="2">
        <f t="shared" si="183"/>
        <v>0</v>
      </c>
      <c r="AP1161" s="2">
        <f t="shared" si="184"/>
        <v>0</v>
      </c>
      <c r="AQ1161" s="2">
        <f t="shared" si="185"/>
        <v>0</v>
      </c>
      <c r="AR1161" s="2">
        <f t="shared" si="186"/>
        <v>0</v>
      </c>
      <c r="AS1161" s="2">
        <f t="shared" si="187"/>
        <v>0</v>
      </c>
      <c r="AT1161" s="25">
        <f t="shared" si="188"/>
        <v>0</v>
      </c>
    </row>
    <row r="1162" spans="1:46">
      <c r="A1162" s="24">
        <v>46120</v>
      </c>
      <c r="B1162" s="23">
        <f t="shared" si="180"/>
        <v>46113</v>
      </c>
      <c r="C1162" s="2" t="s">
        <v>160</v>
      </c>
      <c r="D1162" s="2" t="s">
        <v>378</v>
      </c>
      <c r="E1162" s="2">
        <v>1474</v>
      </c>
      <c r="F1162" s="2">
        <v>54</v>
      </c>
      <c r="G1162" s="2">
        <v>54</v>
      </c>
      <c r="H1162" s="2">
        <v>53</v>
      </c>
      <c r="I1162" s="2">
        <f t="shared" si="181"/>
        <v>1</v>
      </c>
      <c r="J1162" s="44" t="s">
        <v>93</v>
      </c>
      <c r="K1162" s="2">
        <v>100</v>
      </c>
      <c r="L1162" s="2">
        <v>1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/>
      <c r="AM1162" s="2" t="s">
        <v>93</v>
      </c>
      <c r="AN1162" s="2">
        <f t="shared" si="182"/>
        <v>1</v>
      </c>
      <c r="AO1162" s="2">
        <f t="shared" si="183"/>
        <v>0</v>
      </c>
      <c r="AP1162" s="2">
        <f t="shared" si="184"/>
        <v>0</v>
      </c>
      <c r="AQ1162" s="2">
        <f t="shared" si="185"/>
        <v>0</v>
      </c>
      <c r="AR1162" s="2">
        <f t="shared" si="186"/>
        <v>0</v>
      </c>
      <c r="AS1162" s="2">
        <f t="shared" si="187"/>
        <v>0</v>
      </c>
      <c r="AT1162" s="25">
        <f t="shared" si="188"/>
        <v>0</v>
      </c>
    </row>
    <row r="1163" spans="1:46">
      <c r="A1163" s="24">
        <v>46120</v>
      </c>
      <c r="B1163" s="23">
        <f t="shared" si="180"/>
        <v>46113</v>
      </c>
      <c r="C1163" s="2" t="s">
        <v>62</v>
      </c>
      <c r="D1163" s="2" t="s">
        <v>334</v>
      </c>
      <c r="E1163" s="2">
        <v>3246</v>
      </c>
      <c r="F1163" s="2">
        <v>277</v>
      </c>
      <c r="G1163" s="2">
        <v>277</v>
      </c>
      <c r="H1163" s="2">
        <v>275</v>
      </c>
      <c r="I1163" s="2">
        <f t="shared" si="181"/>
        <v>2</v>
      </c>
      <c r="J1163" s="44" t="s">
        <v>1568</v>
      </c>
      <c r="K1163" s="2">
        <v>100</v>
      </c>
      <c r="L1163" s="2">
        <v>2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/>
      <c r="AM1163" s="2" t="s">
        <v>1568</v>
      </c>
      <c r="AN1163" s="2">
        <f t="shared" si="182"/>
        <v>2</v>
      </c>
      <c r="AO1163" s="2">
        <f t="shared" si="183"/>
        <v>0</v>
      </c>
      <c r="AP1163" s="2">
        <f t="shared" si="184"/>
        <v>0</v>
      </c>
      <c r="AQ1163" s="2">
        <f t="shared" si="185"/>
        <v>0</v>
      </c>
      <c r="AR1163" s="2">
        <f t="shared" si="186"/>
        <v>0</v>
      </c>
      <c r="AS1163" s="2">
        <f t="shared" si="187"/>
        <v>0</v>
      </c>
      <c r="AT1163" s="25">
        <f t="shared" si="188"/>
        <v>0</v>
      </c>
    </row>
    <row r="1164" spans="1:46">
      <c r="A1164" s="24">
        <v>46120</v>
      </c>
      <c r="B1164" s="23">
        <f t="shared" si="180"/>
        <v>46113</v>
      </c>
      <c r="C1164" s="2" t="s">
        <v>97</v>
      </c>
      <c r="D1164" s="2" t="s">
        <v>1417</v>
      </c>
      <c r="E1164" s="2">
        <v>6237</v>
      </c>
      <c r="F1164" s="2">
        <v>27</v>
      </c>
      <c r="G1164" s="2">
        <v>27</v>
      </c>
      <c r="H1164" s="2">
        <v>24</v>
      </c>
      <c r="I1164" s="2">
        <f t="shared" si="181"/>
        <v>3</v>
      </c>
      <c r="J1164" s="44" t="s">
        <v>110</v>
      </c>
      <c r="K1164" s="2">
        <v>100</v>
      </c>
      <c r="L1164" s="2">
        <v>2</v>
      </c>
      <c r="M1164" s="2">
        <v>0</v>
      </c>
      <c r="N1164" s="2">
        <v>0</v>
      </c>
      <c r="O1164" s="2">
        <v>1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/>
      <c r="AM1164" s="2" t="s">
        <v>110</v>
      </c>
      <c r="AN1164" s="2">
        <f t="shared" si="182"/>
        <v>2</v>
      </c>
      <c r="AO1164" s="2">
        <f t="shared" si="183"/>
        <v>1</v>
      </c>
      <c r="AP1164" s="2">
        <f t="shared" si="184"/>
        <v>0</v>
      </c>
      <c r="AQ1164" s="2">
        <f t="shared" si="185"/>
        <v>0</v>
      </c>
      <c r="AR1164" s="2">
        <f t="shared" si="186"/>
        <v>0</v>
      </c>
      <c r="AS1164" s="2">
        <f t="shared" si="187"/>
        <v>0</v>
      </c>
      <c r="AT1164" s="25">
        <f t="shared" si="188"/>
        <v>0</v>
      </c>
    </row>
    <row r="1165" spans="1:46">
      <c r="A1165" s="24">
        <v>46120</v>
      </c>
      <c r="B1165" s="23">
        <f t="shared" si="180"/>
        <v>46113</v>
      </c>
      <c r="C1165" s="2" t="s">
        <v>62</v>
      </c>
      <c r="D1165" s="2" t="s">
        <v>359</v>
      </c>
      <c r="E1165" s="2">
        <v>3246</v>
      </c>
      <c r="F1165" s="2">
        <v>57</v>
      </c>
      <c r="G1165" s="2">
        <v>57</v>
      </c>
      <c r="H1165" s="2">
        <v>56</v>
      </c>
      <c r="I1165" s="2">
        <f t="shared" si="181"/>
        <v>1</v>
      </c>
      <c r="J1165" s="44" t="s">
        <v>110</v>
      </c>
      <c r="K1165" s="2">
        <v>100</v>
      </c>
      <c r="L1165" s="2">
        <v>1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/>
      <c r="AM1165" s="2" t="s">
        <v>110</v>
      </c>
      <c r="AN1165" s="2">
        <f t="shared" si="182"/>
        <v>1</v>
      </c>
      <c r="AO1165" s="2">
        <f t="shared" si="183"/>
        <v>0</v>
      </c>
      <c r="AP1165" s="2">
        <f t="shared" si="184"/>
        <v>0</v>
      </c>
      <c r="AQ1165" s="2">
        <f t="shared" si="185"/>
        <v>0</v>
      </c>
      <c r="AR1165" s="2">
        <f t="shared" si="186"/>
        <v>0</v>
      </c>
      <c r="AS1165" s="2">
        <f t="shared" si="187"/>
        <v>0</v>
      </c>
      <c r="AT1165" s="25">
        <f t="shared" si="188"/>
        <v>0</v>
      </c>
    </row>
    <row r="1166" spans="1:46">
      <c r="A1166" s="24">
        <v>46120</v>
      </c>
      <c r="B1166" s="23">
        <f t="shared" si="180"/>
        <v>46113</v>
      </c>
      <c r="C1166" s="2" t="s">
        <v>62</v>
      </c>
      <c r="D1166" s="2" t="s">
        <v>278</v>
      </c>
      <c r="E1166" s="2">
        <v>6282</v>
      </c>
      <c r="F1166" s="2">
        <v>47</v>
      </c>
      <c r="G1166" s="2">
        <v>47</v>
      </c>
      <c r="H1166" s="2">
        <v>47</v>
      </c>
      <c r="I1166" s="2">
        <f t="shared" si="181"/>
        <v>0</v>
      </c>
      <c r="J1166" s="44" t="s">
        <v>110</v>
      </c>
      <c r="K1166" s="2">
        <v>100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/>
      <c r="AM1166" s="2" t="s">
        <v>110</v>
      </c>
      <c r="AN1166" s="2">
        <f t="shared" si="182"/>
        <v>0</v>
      </c>
      <c r="AO1166" s="2">
        <f t="shared" si="183"/>
        <v>0</v>
      </c>
      <c r="AP1166" s="2">
        <f t="shared" si="184"/>
        <v>0</v>
      </c>
      <c r="AQ1166" s="2">
        <f t="shared" si="185"/>
        <v>0</v>
      </c>
      <c r="AR1166" s="2">
        <f t="shared" si="186"/>
        <v>0</v>
      </c>
      <c r="AS1166" s="2">
        <f t="shared" si="187"/>
        <v>0</v>
      </c>
      <c r="AT1166" s="25">
        <f t="shared" si="188"/>
        <v>0</v>
      </c>
    </row>
    <row r="1167" spans="1:46">
      <c r="A1167" s="24">
        <v>46120</v>
      </c>
      <c r="B1167" s="23">
        <f t="shared" ref="B1167:B1230" si="189">EOMONTH(A1167,-1)+1</f>
        <v>46113</v>
      </c>
      <c r="C1167" s="2" t="s">
        <v>97</v>
      </c>
      <c r="D1167" s="2" t="s">
        <v>419</v>
      </c>
      <c r="E1167" s="2">
        <v>6237</v>
      </c>
      <c r="F1167" s="2">
        <v>169</v>
      </c>
      <c r="G1167" s="2">
        <v>169</v>
      </c>
      <c r="H1167" s="2">
        <v>159</v>
      </c>
      <c r="I1167" s="2">
        <f t="shared" ref="I1167:I1230" si="190">F1167-H1167</f>
        <v>10</v>
      </c>
      <c r="J1167" s="44" t="s">
        <v>110</v>
      </c>
      <c r="K1167" s="2">
        <v>100</v>
      </c>
      <c r="L1167" s="2">
        <v>1</v>
      </c>
      <c r="M1167" s="2">
        <v>0</v>
      </c>
      <c r="N1167" s="2">
        <v>1</v>
      </c>
      <c r="O1167" s="2">
        <v>0</v>
      </c>
      <c r="P1167" s="2">
        <v>0</v>
      </c>
      <c r="Q1167" s="2">
        <v>0</v>
      </c>
      <c r="R1167" s="2">
        <v>1</v>
      </c>
      <c r="S1167" s="2">
        <v>0</v>
      </c>
      <c r="T1167" s="2">
        <v>6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1</v>
      </c>
      <c r="AL1167" s="2"/>
      <c r="AM1167" s="2" t="s">
        <v>110</v>
      </c>
      <c r="AN1167" s="2">
        <f t="shared" ref="AN1167:AN1230" si="191">+L1167+AI1167</f>
        <v>1</v>
      </c>
      <c r="AO1167" s="2">
        <f t="shared" ref="AO1167:AO1230" si="192">+M1167+N1167+O1167+P1167+Q1167+R1167+S1167+T1167+U1167+V1167</f>
        <v>8</v>
      </c>
      <c r="AP1167" s="2">
        <f t="shared" ref="AP1167:AP1230" si="193">+AE1167+AF1167</f>
        <v>0</v>
      </c>
      <c r="AQ1167" s="2">
        <f t="shared" ref="AQ1167:AQ1230" si="194">+AK1167+AD1167+AC1167+AJ1167</f>
        <v>1</v>
      </c>
      <c r="AR1167" s="2">
        <f t="shared" ref="AR1167:AR1230" si="195">+W1167+X1167+Y1167+Z1167+AA1167+AB1167</f>
        <v>0</v>
      </c>
      <c r="AS1167" s="2">
        <f t="shared" ref="AS1167:AS1230" si="196">+AG1167</f>
        <v>0</v>
      </c>
      <c r="AT1167" s="25">
        <f t="shared" ref="AT1167:AT1230" si="197">+AH1167</f>
        <v>0</v>
      </c>
    </row>
    <row r="1168" spans="1:46">
      <c r="A1168" s="24">
        <v>46120</v>
      </c>
      <c r="B1168" s="23">
        <f t="shared" si="189"/>
        <v>46113</v>
      </c>
      <c r="C1168" s="2" t="s">
        <v>66</v>
      </c>
      <c r="D1168" s="2" t="s">
        <v>1392</v>
      </c>
      <c r="E1168" s="2">
        <v>7140</v>
      </c>
      <c r="F1168" s="2">
        <v>9</v>
      </c>
      <c r="G1168" s="2">
        <v>9</v>
      </c>
      <c r="H1168" s="2">
        <v>9</v>
      </c>
      <c r="I1168" s="2">
        <f t="shared" si="190"/>
        <v>0</v>
      </c>
      <c r="J1168" s="44" t="s">
        <v>110</v>
      </c>
      <c r="K1168" s="2">
        <v>100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/>
      <c r="AM1168" s="2" t="s">
        <v>110</v>
      </c>
      <c r="AN1168" s="2">
        <f t="shared" si="191"/>
        <v>0</v>
      </c>
      <c r="AO1168" s="2">
        <f t="shared" si="192"/>
        <v>0</v>
      </c>
      <c r="AP1168" s="2">
        <f t="shared" si="193"/>
        <v>0</v>
      </c>
      <c r="AQ1168" s="2">
        <f t="shared" si="194"/>
        <v>0</v>
      </c>
      <c r="AR1168" s="2">
        <f t="shared" si="195"/>
        <v>0</v>
      </c>
      <c r="AS1168" s="2">
        <f t="shared" si="196"/>
        <v>0</v>
      </c>
      <c r="AT1168" s="25">
        <f t="shared" si="197"/>
        <v>0</v>
      </c>
    </row>
    <row r="1169" spans="1:46">
      <c r="A1169" s="24">
        <v>46120</v>
      </c>
      <c r="B1169" s="23">
        <f t="shared" si="189"/>
        <v>46113</v>
      </c>
      <c r="C1169" s="2" t="s">
        <v>66</v>
      </c>
      <c r="D1169" s="2" t="s">
        <v>266</v>
      </c>
      <c r="E1169" s="2">
        <v>6316</v>
      </c>
      <c r="F1169" s="2">
        <v>32</v>
      </c>
      <c r="G1169" s="2">
        <v>32</v>
      </c>
      <c r="H1169" s="2">
        <v>32</v>
      </c>
      <c r="I1169" s="2">
        <f t="shared" si="190"/>
        <v>0</v>
      </c>
      <c r="J1169" s="44" t="s">
        <v>110</v>
      </c>
      <c r="K1169" s="2">
        <v>100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/>
      <c r="AM1169" s="2" t="s">
        <v>110</v>
      </c>
      <c r="AN1169" s="2">
        <f t="shared" si="191"/>
        <v>0</v>
      </c>
      <c r="AO1169" s="2">
        <f t="shared" si="192"/>
        <v>0</v>
      </c>
      <c r="AP1169" s="2">
        <f t="shared" si="193"/>
        <v>0</v>
      </c>
      <c r="AQ1169" s="2">
        <f t="shared" si="194"/>
        <v>0</v>
      </c>
      <c r="AR1169" s="2">
        <f t="shared" si="195"/>
        <v>0</v>
      </c>
      <c r="AS1169" s="2">
        <f t="shared" si="196"/>
        <v>0</v>
      </c>
      <c r="AT1169" s="25">
        <f t="shared" si="197"/>
        <v>0</v>
      </c>
    </row>
    <row r="1170" spans="1:46">
      <c r="A1170" s="24">
        <v>46120</v>
      </c>
      <c r="B1170" s="23">
        <f t="shared" si="189"/>
        <v>46113</v>
      </c>
      <c r="C1170" s="2" t="s">
        <v>97</v>
      </c>
      <c r="D1170" s="2" t="s">
        <v>373</v>
      </c>
      <c r="E1170" s="2">
        <v>6237</v>
      </c>
      <c r="F1170" s="2">
        <v>20</v>
      </c>
      <c r="G1170" s="2">
        <v>20</v>
      </c>
      <c r="H1170" s="2">
        <v>20</v>
      </c>
      <c r="I1170" s="2">
        <f t="shared" si="190"/>
        <v>0</v>
      </c>
      <c r="J1170" s="44" t="s">
        <v>110</v>
      </c>
      <c r="K1170" s="2">
        <v>100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/>
      <c r="AM1170" s="2" t="s">
        <v>110</v>
      </c>
      <c r="AN1170" s="2">
        <f t="shared" si="191"/>
        <v>0</v>
      </c>
      <c r="AO1170" s="2">
        <f t="shared" si="192"/>
        <v>0</v>
      </c>
      <c r="AP1170" s="2">
        <f t="shared" si="193"/>
        <v>0</v>
      </c>
      <c r="AQ1170" s="2">
        <f t="shared" si="194"/>
        <v>0</v>
      </c>
      <c r="AR1170" s="2">
        <f t="shared" si="195"/>
        <v>0</v>
      </c>
      <c r="AS1170" s="2">
        <f t="shared" si="196"/>
        <v>0</v>
      </c>
      <c r="AT1170" s="25">
        <f t="shared" si="197"/>
        <v>0</v>
      </c>
    </row>
    <row r="1171" spans="1:46">
      <c r="A1171" s="24">
        <v>46120</v>
      </c>
      <c r="B1171" s="23">
        <f t="shared" si="189"/>
        <v>46113</v>
      </c>
      <c r="C1171" s="2" t="s">
        <v>97</v>
      </c>
      <c r="D1171" s="2" t="s">
        <v>100</v>
      </c>
      <c r="E1171" s="2">
        <v>6237</v>
      </c>
      <c r="F1171" s="2">
        <v>287</v>
      </c>
      <c r="G1171" s="2">
        <v>287</v>
      </c>
      <c r="H1171" s="2">
        <v>287</v>
      </c>
      <c r="I1171" s="2">
        <f t="shared" si="190"/>
        <v>0</v>
      </c>
      <c r="J1171" s="44" t="s">
        <v>110</v>
      </c>
      <c r="K1171" s="2">
        <v>100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/>
      <c r="AM1171" s="2" t="s">
        <v>110</v>
      </c>
      <c r="AN1171" s="2">
        <f t="shared" si="191"/>
        <v>0</v>
      </c>
      <c r="AO1171" s="2">
        <f t="shared" si="192"/>
        <v>0</v>
      </c>
      <c r="AP1171" s="2">
        <f t="shared" si="193"/>
        <v>0</v>
      </c>
      <c r="AQ1171" s="2">
        <f t="shared" si="194"/>
        <v>0</v>
      </c>
      <c r="AR1171" s="2">
        <f t="shared" si="195"/>
        <v>0</v>
      </c>
      <c r="AS1171" s="2">
        <f t="shared" si="196"/>
        <v>0</v>
      </c>
      <c r="AT1171" s="25">
        <f t="shared" si="197"/>
        <v>0</v>
      </c>
    </row>
    <row r="1172" spans="1:46">
      <c r="A1172" s="24">
        <v>46120</v>
      </c>
      <c r="B1172" s="23">
        <f t="shared" si="189"/>
        <v>46113</v>
      </c>
      <c r="C1172" s="2" t="s">
        <v>66</v>
      </c>
      <c r="D1172" s="2" t="s">
        <v>1581</v>
      </c>
      <c r="E1172" s="2">
        <v>2571</v>
      </c>
      <c r="F1172" s="2">
        <v>31</v>
      </c>
      <c r="G1172" s="2">
        <v>31</v>
      </c>
      <c r="H1172" s="2">
        <v>30</v>
      </c>
      <c r="I1172" s="2">
        <f t="shared" si="190"/>
        <v>1</v>
      </c>
      <c r="J1172" s="44" t="s">
        <v>110</v>
      </c>
      <c r="K1172" s="2">
        <v>100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1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/>
      <c r="AM1172" s="2" t="s">
        <v>110</v>
      </c>
      <c r="AN1172" s="2">
        <f t="shared" si="191"/>
        <v>0</v>
      </c>
      <c r="AO1172" s="2">
        <f t="shared" si="192"/>
        <v>1</v>
      </c>
      <c r="AP1172" s="2">
        <f t="shared" si="193"/>
        <v>0</v>
      </c>
      <c r="AQ1172" s="2">
        <f t="shared" si="194"/>
        <v>0</v>
      </c>
      <c r="AR1172" s="2">
        <f t="shared" si="195"/>
        <v>0</v>
      </c>
      <c r="AS1172" s="2">
        <f t="shared" si="196"/>
        <v>0</v>
      </c>
      <c r="AT1172" s="25">
        <f t="shared" si="197"/>
        <v>0</v>
      </c>
    </row>
    <row r="1173" spans="1:46">
      <c r="A1173" s="24">
        <v>46120</v>
      </c>
      <c r="B1173" s="23">
        <f t="shared" si="189"/>
        <v>46113</v>
      </c>
      <c r="C1173" s="2" t="s">
        <v>97</v>
      </c>
      <c r="D1173" s="2" t="s">
        <v>107</v>
      </c>
      <c r="E1173" s="2">
        <v>3319</v>
      </c>
      <c r="F1173" s="2">
        <v>44</v>
      </c>
      <c r="G1173" s="2">
        <v>44</v>
      </c>
      <c r="H1173" s="2">
        <v>44</v>
      </c>
      <c r="I1173" s="2">
        <f t="shared" si="190"/>
        <v>0</v>
      </c>
      <c r="J1173" s="44" t="s">
        <v>110</v>
      </c>
      <c r="K1173" s="2">
        <v>100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/>
      <c r="AM1173" s="2" t="s">
        <v>110</v>
      </c>
      <c r="AN1173" s="2">
        <f t="shared" si="191"/>
        <v>0</v>
      </c>
      <c r="AO1173" s="2">
        <f t="shared" si="192"/>
        <v>0</v>
      </c>
      <c r="AP1173" s="2">
        <f t="shared" si="193"/>
        <v>0</v>
      </c>
      <c r="AQ1173" s="2">
        <f t="shared" si="194"/>
        <v>0</v>
      </c>
      <c r="AR1173" s="2">
        <f t="shared" si="195"/>
        <v>0</v>
      </c>
      <c r="AS1173" s="2">
        <f t="shared" si="196"/>
        <v>0</v>
      </c>
      <c r="AT1173" s="25">
        <f t="shared" si="197"/>
        <v>0</v>
      </c>
    </row>
    <row r="1174" spans="1:46">
      <c r="A1174" s="24">
        <v>46120</v>
      </c>
      <c r="B1174" s="23">
        <f t="shared" si="189"/>
        <v>46113</v>
      </c>
      <c r="C1174" s="2" t="s">
        <v>97</v>
      </c>
      <c r="D1174" s="2" t="s">
        <v>256</v>
      </c>
      <c r="E1174" s="2">
        <v>3319</v>
      </c>
      <c r="F1174" s="2">
        <v>36</v>
      </c>
      <c r="G1174" s="2">
        <v>36</v>
      </c>
      <c r="H1174" s="2">
        <v>36</v>
      </c>
      <c r="I1174" s="2">
        <f t="shared" si="190"/>
        <v>0</v>
      </c>
      <c r="J1174" s="44" t="s">
        <v>110</v>
      </c>
      <c r="K1174" s="2">
        <v>100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/>
      <c r="AM1174" s="2" t="s">
        <v>110</v>
      </c>
      <c r="AN1174" s="2">
        <f t="shared" si="191"/>
        <v>0</v>
      </c>
      <c r="AO1174" s="2">
        <f t="shared" si="192"/>
        <v>0</v>
      </c>
      <c r="AP1174" s="2">
        <f t="shared" si="193"/>
        <v>0</v>
      </c>
      <c r="AQ1174" s="2">
        <f t="shared" si="194"/>
        <v>0</v>
      </c>
      <c r="AR1174" s="2">
        <f t="shared" si="195"/>
        <v>0</v>
      </c>
      <c r="AS1174" s="2">
        <f t="shared" si="196"/>
        <v>0</v>
      </c>
      <c r="AT1174" s="25">
        <f t="shared" si="197"/>
        <v>0</v>
      </c>
    </row>
    <row r="1175" spans="1:46">
      <c r="A1175" s="24">
        <v>46120</v>
      </c>
      <c r="B1175" s="23">
        <f t="shared" si="189"/>
        <v>46113</v>
      </c>
      <c r="C1175" s="2" t="s">
        <v>97</v>
      </c>
      <c r="D1175" s="2" t="s">
        <v>165</v>
      </c>
      <c r="E1175" s="2">
        <v>3216</v>
      </c>
      <c r="F1175" s="2">
        <v>34</v>
      </c>
      <c r="G1175" s="2">
        <v>34</v>
      </c>
      <c r="H1175" s="2">
        <v>34</v>
      </c>
      <c r="I1175" s="2">
        <f t="shared" si="190"/>
        <v>0</v>
      </c>
      <c r="J1175" s="44" t="s">
        <v>110</v>
      </c>
      <c r="K1175" s="2">
        <v>100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/>
      <c r="AM1175" s="2" t="s">
        <v>110</v>
      </c>
      <c r="AN1175" s="2">
        <f t="shared" si="191"/>
        <v>0</v>
      </c>
      <c r="AO1175" s="2">
        <f t="shared" si="192"/>
        <v>0</v>
      </c>
      <c r="AP1175" s="2">
        <f t="shared" si="193"/>
        <v>0</v>
      </c>
      <c r="AQ1175" s="2">
        <f t="shared" si="194"/>
        <v>0</v>
      </c>
      <c r="AR1175" s="2">
        <f t="shared" si="195"/>
        <v>0</v>
      </c>
      <c r="AS1175" s="2">
        <f t="shared" si="196"/>
        <v>0</v>
      </c>
      <c r="AT1175" s="25">
        <f t="shared" si="197"/>
        <v>0</v>
      </c>
    </row>
    <row r="1176" spans="1:46">
      <c r="A1176" s="24">
        <v>46120</v>
      </c>
      <c r="B1176" s="23">
        <f t="shared" si="189"/>
        <v>46113</v>
      </c>
      <c r="C1176" s="2" t="s">
        <v>55</v>
      </c>
      <c r="D1176" s="2" t="s">
        <v>233</v>
      </c>
      <c r="E1176" s="2">
        <v>1773</v>
      </c>
      <c r="F1176" s="2">
        <v>32</v>
      </c>
      <c r="G1176" s="2">
        <v>32</v>
      </c>
      <c r="H1176" s="2">
        <v>26</v>
      </c>
      <c r="I1176" s="2">
        <f t="shared" si="190"/>
        <v>6</v>
      </c>
      <c r="J1176" s="44" t="s">
        <v>1566</v>
      </c>
      <c r="K1176" s="2">
        <v>100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6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/>
      <c r="AM1176" s="2" t="s">
        <v>1566</v>
      </c>
      <c r="AN1176" s="2">
        <f t="shared" si="191"/>
        <v>0</v>
      </c>
      <c r="AO1176" s="2">
        <f t="shared" si="192"/>
        <v>6</v>
      </c>
      <c r="AP1176" s="2">
        <f t="shared" si="193"/>
        <v>0</v>
      </c>
      <c r="AQ1176" s="2">
        <f t="shared" si="194"/>
        <v>0</v>
      </c>
      <c r="AR1176" s="2">
        <f t="shared" si="195"/>
        <v>0</v>
      </c>
      <c r="AS1176" s="2">
        <f t="shared" si="196"/>
        <v>0</v>
      </c>
      <c r="AT1176" s="25">
        <f t="shared" si="197"/>
        <v>0</v>
      </c>
    </row>
    <row r="1177" spans="1:46">
      <c r="A1177" s="24">
        <v>46120</v>
      </c>
      <c r="B1177" s="23">
        <f t="shared" si="189"/>
        <v>46113</v>
      </c>
      <c r="C1177" s="2" t="s">
        <v>55</v>
      </c>
      <c r="D1177" s="2" t="s">
        <v>352</v>
      </c>
      <c r="E1177" s="2">
        <v>7078</v>
      </c>
      <c r="F1177" s="2">
        <v>74</v>
      </c>
      <c r="G1177" s="2">
        <v>74</v>
      </c>
      <c r="H1177" s="2">
        <v>50</v>
      </c>
      <c r="I1177" s="2">
        <f t="shared" si="190"/>
        <v>24</v>
      </c>
      <c r="J1177" s="44" t="s">
        <v>1566</v>
      </c>
      <c r="K1177" s="2">
        <v>100</v>
      </c>
      <c r="L1177" s="2">
        <v>11</v>
      </c>
      <c r="M1177" s="2">
        <v>1</v>
      </c>
      <c r="N1177" s="2">
        <v>0</v>
      </c>
      <c r="O1177" s="2">
        <v>0</v>
      </c>
      <c r="P1177" s="2">
        <v>10</v>
      </c>
      <c r="Q1177" s="2">
        <v>0</v>
      </c>
      <c r="R1177" s="2">
        <v>0</v>
      </c>
      <c r="S1177" s="2">
        <v>0</v>
      </c>
      <c r="T1177" s="2">
        <v>0</v>
      </c>
      <c r="U1177" s="2">
        <v>2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/>
      <c r="AM1177" s="2" t="s">
        <v>1566</v>
      </c>
      <c r="AN1177" s="2">
        <f t="shared" si="191"/>
        <v>11</v>
      </c>
      <c r="AO1177" s="2">
        <f t="shared" si="192"/>
        <v>13</v>
      </c>
      <c r="AP1177" s="2">
        <f t="shared" si="193"/>
        <v>0</v>
      </c>
      <c r="AQ1177" s="2">
        <f t="shared" si="194"/>
        <v>0</v>
      </c>
      <c r="AR1177" s="2">
        <f t="shared" si="195"/>
        <v>0</v>
      </c>
      <c r="AS1177" s="2">
        <f t="shared" si="196"/>
        <v>0</v>
      </c>
      <c r="AT1177" s="25">
        <f t="shared" si="197"/>
        <v>0</v>
      </c>
    </row>
    <row r="1178" spans="1:46">
      <c r="A1178" s="24">
        <v>46120</v>
      </c>
      <c r="B1178" s="23">
        <f t="shared" si="189"/>
        <v>46113</v>
      </c>
      <c r="C1178" s="2" t="s">
        <v>55</v>
      </c>
      <c r="D1178" s="2" t="s">
        <v>406</v>
      </c>
      <c r="E1178" s="2">
        <v>3249</v>
      </c>
      <c r="F1178" s="2">
        <v>28</v>
      </c>
      <c r="G1178" s="2">
        <v>28</v>
      </c>
      <c r="H1178" s="2">
        <v>26</v>
      </c>
      <c r="I1178" s="2">
        <f t="shared" si="190"/>
        <v>2</v>
      </c>
      <c r="J1178" s="44" t="s">
        <v>1566</v>
      </c>
      <c r="K1178" s="2">
        <v>100</v>
      </c>
      <c r="L1178" s="2">
        <v>0</v>
      </c>
      <c r="M1178" s="2">
        <v>0</v>
      </c>
      <c r="N1178" s="2">
        <v>0</v>
      </c>
      <c r="O1178" s="2">
        <v>0</v>
      </c>
      <c r="P1178" s="2">
        <v>2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/>
      <c r="AM1178" s="2" t="s">
        <v>1566</v>
      </c>
      <c r="AN1178" s="2">
        <f t="shared" si="191"/>
        <v>0</v>
      </c>
      <c r="AO1178" s="2">
        <f t="shared" si="192"/>
        <v>2</v>
      </c>
      <c r="AP1178" s="2">
        <f t="shared" si="193"/>
        <v>0</v>
      </c>
      <c r="AQ1178" s="2">
        <f t="shared" si="194"/>
        <v>0</v>
      </c>
      <c r="AR1178" s="2">
        <f t="shared" si="195"/>
        <v>0</v>
      </c>
      <c r="AS1178" s="2">
        <f t="shared" si="196"/>
        <v>0</v>
      </c>
      <c r="AT1178" s="25">
        <f t="shared" si="197"/>
        <v>0</v>
      </c>
    </row>
    <row r="1179" spans="1:46">
      <c r="A1179" s="24">
        <v>46120</v>
      </c>
      <c r="B1179" s="23">
        <f t="shared" si="189"/>
        <v>46113</v>
      </c>
      <c r="C1179" s="2" t="s">
        <v>55</v>
      </c>
      <c r="D1179" s="2" t="s">
        <v>332</v>
      </c>
      <c r="E1179" s="2">
        <v>2594</v>
      </c>
      <c r="F1179" s="2">
        <v>5</v>
      </c>
      <c r="G1179" s="2">
        <v>5</v>
      </c>
      <c r="H1179" s="2">
        <v>4</v>
      </c>
      <c r="I1179" s="2">
        <f t="shared" si="190"/>
        <v>1</v>
      </c>
      <c r="J1179" s="44" t="s">
        <v>1566</v>
      </c>
      <c r="K1179" s="2">
        <v>100</v>
      </c>
      <c r="L1179" s="2">
        <v>1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/>
      <c r="AM1179" s="2" t="s">
        <v>1566</v>
      </c>
      <c r="AN1179" s="2">
        <f t="shared" si="191"/>
        <v>1</v>
      </c>
      <c r="AO1179" s="2">
        <f t="shared" si="192"/>
        <v>0</v>
      </c>
      <c r="AP1179" s="2">
        <f t="shared" si="193"/>
        <v>0</v>
      </c>
      <c r="AQ1179" s="2">
        <f t="shared" si="194"/>
        <v>0</v>
      </c>
      <c r="AR1179" s="2">
        <f t="shared" si="195"/>
        <v>0</v>
      </c>
      <c r="AS1179" s="2">
        <f t="shared" si="196"/>
        <v>0</v>
      </c>
      <c r="AT1179" s="25">
        <f t="shared" si="197"/>
        <v>0</v>
      </c>
    </row>
    <row r="1180" spans="1:46">
      <c r="A1180" s="24">
        <v>46120</v>
      </c>
      <c r="B1180" s="23">
        <f t="shared" si="189"/>
        <v>46113</v>
      </c>
      <c r="C1180" s="2" t="s">
        <v>55</v>
      </c>
      <c r="D1180" s="2" t="s">
        <v>405</v>
      </c>
      <c r="E1180" s="2">
        <v>7078</v>
      </c>
      <c r="F1180" s="2">
        <v>411</v>
      </c>
      <c r="G1180" s="2">
        <v>411</v>
      </c>
      <c r="H1180" s="2">
        <v>345</v>
      </c>
      <c r="I1180" s="2">
        <f t="shared" si="190"/>
        <v>66</v>
      </c>
      <c r="J1180" s="44" t="s">
        <v>80</v>
      </c>
      <c r="K1180" s="2">
        <v>100</v>
      </c>
      <c r="L1180" s="2">
        <v>28</v>
      </c>
      <c r="M1180" s="2">
        <v>2</v>
      </c>
      <c r="N1180" s="2">
        <v>5</v>
      </c>
      <c r="O1180" s="2">
        <v>0</v>
      </c>
      <c r="P1180" s="2">
        <v>30</v>
      </c>
      <c r="Q1180" s="2">
        <v>0</v>
      </c>
      <c r="R1180" s="2">
        <v>1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/>
      <c r="AM1180" s="2" t="s">
        <v>80</v>
      </c>
      <c r="AN1180" s="2">
        <f t="shared" si="191"/>
        <v>28</v>
      </c>
      <c r="AO1180" s="2">
        <f t="shared" si="192"/>
        <v>38</v>
      </c>
      <c r="AP1180" s="2">
        <f t="shared" si="193"/>
        <v>0</v>
      </c>
      <c r="AQ1180" s="2">
        <f t="shared" si="194"/>
        <v>0</v>
      </c>
      <c r="AR1180" s="2">
        <f t="shared" si="195"/>
        <v>0</v>
      </c>
      <c r="AS1180" s="2">
        <f t="shared" si="196"/>
        <v>0</v>
      </c>
      <c r="AT1180" s="25">
        <f t="shared" si="197"/>
        <v>0</v>
      </c>
    </row>
    <row r="1181" spans="1:46">
      <c r="A1181" s="24">
        <v>46120</v>
      </c>
      <c r="B1181" s="23">
        <f t="shared" si="189"/>
        <v>46113</v>
      </c>
      <c r="C1181" s="2" t="s">
        <v>46</v>
      </c>
      <c r="D1181" s="2" t="s">
        <v>228</v>
      </c>
      <c r="E1181" s="2">
        <v>6221</v>
      </c>
      <c r="F1181" s="2">
        <v>35</v>
      </c>
      <c r="G1181" s="2">
        <v>35</v>
      </c>
      <c r="H1181" s="2">
        <v>35</v>
      </c>
      <c r="I1181" s="2">
        <f t="shared" si="190"/>
        <v>0</v>
      </c>
      <c r="J1181" s="44" t="s">
        <v>1567</v>
      </c>
      <c r="K1181" s="2">
        <v>100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/>
      <c r="AM1181" s="2" t="s">
        <v>1567</v>
      </c>
      <c r="AN1181" s="2">
        <f t="shared" si="191"/>
        <v>0</v>
      </c>
      <c r="AO1181" s="2">
        <f t="shared" si="192"/>
        <v>0</v>
      </c>
      <c r="AP1181" s="2">
        <f t="shared" si="193"/>
        <v>0</v>
      </c>
      <c r="AQ1181" s="2">
        <f t="shared" si="194"/>
        <v>0</v>
      </c>
      <c r="AR1181" s="2">
        <f t="shared" si="195"/>
        <v>0</v>
      </c>
      <c r="AS1181" s="2">
        <f t="shared" si="196"/>
        <v>0</v>
      </c>
      <c r="AT1181" s="25">
        <f t="shared" si="197"/>
        <v>0</v>
      </c>
    </row>
    <row r="1182" spans="1:46">
      <c r="A1182" s="24">
        <v>46120</v>
      </c>
      <c r="B1182" s="23">
        <f t="shared" si="189"/>
        <v>46113</v>
      </c>
      <c r="C1182" s="2" t="s">
        <v>46</v>
      </c>
      <c r="D1182" s="2" t="s">
        <v>217</v>
      </c>
      <c r="E1182" s="2">
        <v>7152</v>
      </c>
      <c r="F1182" s="2">
        <v>14</v>
      </c>
      <c r="G1182" s="2">
        <v>14</v>
      </c>
      <c r="H1182" s="2">
        <v>14</v>
      </c>
      <c r="I1182" s="2">
        <f t="shared" si="190"/>
        <v>0</v>
      </c>
      <c r="J1182" s="44" t="s">
        <v>1567</v>
      </c>
      <c r="K1182" s="2">
        <v>100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/>
      <c r="AM1182" s="2" t="s">
        <v>1567</v>
      </c>
      <c r="AN1182" s="2">
        <f t="shared" si="191"/>
        <v>0</v>
      </c>
      <c r="AO1182" s="2">
        <f t="shared" si="192"/>
        <v>0</v>
      </c>
      <c r="AP1182" s="2">
        <f t="shared" si="193"/>
        <v>0</v>
      </c>
      <c r="AQ1182" s="2">
        <f t="shared" si="194"/>
        <v>0</v>
      </c>
      <c r="AR1182" s="2">
        <f t="shared" si="195"/>
        <v>0</v>
      </c>
      <c r="AS1182" s="2">
        <f t="shared" si="196"/>
        <v>0</v>
      </c>
      <c r="AT1182" s="25">
        <f t="shared" si="197"/>
        <v>0</v>
      </c>
    </row>
    <row r="1183" spans="1:46">
      <c r="A1183" s="24">
        <v>46120</v>
      </c>
      <c r="B1183" s="23">
        <f t="shared" si="189"/>
        <v>46113</v>
      </c>
      <c r="C1183" s="2" t="s">
        <v>95</v>
      </c>
      <c r="D1183" s="2" t="s">
        <v>196</v>
      </c>
      <c r="E1183" s="2">
        <v>3300</v>
      </c>
      <c r="F1183" s="2">
        <v>44</v>
      </c>
      <c r="G1183" s="2">
        <v>44</v>
      </c>
      <c r="H1183" s="2">
        <v>44</v>
      </c>
      <c r="I1183" s="2">
        <f t="shared" si="190"/>
        <v>0</v>
      </c>
      <c r="J1183" s="44" t="s">
        <v>1567</v>
      </c>
      <c r="K1183" s="2">
        <v>100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/>
      <c r="AM1183" s="2" t="s">
        <v>1567</v>
      </c>
      <c r="AN1183" s="2">
        <f t="shared" si="191"/>
        <v>0</v>
      </c>
      <c r="AO1183" s="2">
        <f t="shared" si="192"/>
        <v>0</v>
      </c>
      <c r="AP1183" s="2">
        <f t="shared" si="193"/>
        <v>0</v>
      </c>
      <c r="AQ1183" s="2">
        <f t="shared" si="194"/>
        <v>0</v>
      </c>
      <c r="AR1183" s="2">
        <f t="shared" si="195"/>
        <v>0</v>
      </c>
      <c r="AS1183" s="2">
        <f t="shared" si="196"/>
        <v>0</v>
      </c>
      <c r="AT1183" s="25">
        <f t="shared" si="197"/>
        <v>0</v>
      </c>
    </row>
    <row r="1184" spans="1:46">
      <c r="A1184" s="24">
        <v>46120</v>
      </c>
      <c r="B1184" s="23">
        <f t="shared" si="189"/>
        <v>46113</v>
      </c>
      <c r="C1184" s="2" t="s">
        <v>95</v>
      </c>
      <c r="D1184" s="2" t="s">
        <v>347</v>
      </c>
      <c r="E1184" s="2">
        <v>3240</v>
      </c>
      <c r="F1184" s="2">
        <v>72</v>
      </c>
      <c r="G1184" s="2">
        <v>72</v>
      </c>
      <c r="H1184" s="2">
        <v>65</v>
      </c>
      <c r="I1184" s="2">
        <f t="shared" si="190"/>
        <v>7</v>
      </c>
      <c r="J1184" s="44" t="s">
        <v>1567</v>
      </c>
      <c r="K1184" s="2">
        <v>100</v>
      </c>
      <c r="L1184" s="2">
        <v>7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/>
      <c r="AM1184" s="2" t="s">
        <v>1567</v>
      </c>
      <c r="AN1184" s="2">
        <f t="shared" si="191"/>
        <v>7</v>
      </c>
      <c r="AO1184" s="2">
        <f t="shared" si="192"/>
        <v>0</v>
      </c>
      <c r="AP1184" s="2">
        <f t="shared" si="193"/>
        <v>0</v>
      </c>
      <c r="AQ1184" s="2">
        <f t="shared" si="194"/>
        <v>0</v>
      </c>
      <c r="AR1184" s="2">
        <f t="shared" si="195"/>
        <v>0</v>
      </c>
      <c r="AS1184" s="2">
        <f t="shared" si="196"/>
        <v>0</v>
      </c>
      <c r="AT1184" s="25">
        <f t="shared" si="197"/>
        <v>0</v>
      </c>
    </row>
    <row r="1185" spans="1:46">
      <c r="A1185" s="24">
        <v>46121</v>
      </c>
      <c r="B1185" s="23">
        <f t="shared" si="189"/>
        <v>46113</v>
      </c>
      <c r="C1185" s="2" t="s">
        <v>62</v>
      </c>
      <c r="D1185" s="2" t="s">
        <v>332</v>
      </c>
      <c r="E1185" s="2">
        <v>2594</v>
      </c>
      <c r="F1185" s="2">
        <v>551</v>
      </c>
      <c r="G1185" s="2">
        <v>551</v>
      </c>
      <c r="H1185" s="2">
        <v>454</v>
      </c>
      <c r="I1185" s="2">
        <f t="shared" si="190"/>
        <v>97</v>
      </c>
      <c r="J1185" s="44" t="s">
        <v>80</v>
      </c>
      <c r="K1185" s="2">
        <v>100</v>
      </c>
      <c r="L1185" s="2">
        <v>7</v>
      </c>
      <c r="M1185" s="2">
        <v>2</v>
      </c>
      <c r="N1185" s="2">
        <v>61</v>
      </c>
      <c r="O1185" s="2">
        <v>0</v>
      </c>
      <c r="P1185" s="2">
        <v>20</v>
      </c>
      <c r="Q1185" s="2">
        <v>0</v>
      </c>
      <c r="R1185" s="2">
        <v>0</v>
      </c>
      <c r="S1185" s="2">
        <v>0</v>
      </c>
      <c r="T1185" s="2">
        <v>2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5</v>
      </c>
      <c r="AH1185" s="2">
        <v>0</v>
      </c>
      <c r="AI1185" s="2">
        <v>0</v>
      </c>
      <c r="AJ1185" s="2">
        <v>0</v>
      </c>
      <c r="AK1185" s="2">
        <v>0</v>
      </c>
      <c r="AL1185" s="2"/>
      <c r="AM1185" s="2" t="s">
        <v>80</v>
      </c>
      <c r="AN1185" s="2">
        <f t="shared" si="191"/>
        <v>7</v>
      </c>
      <c r="AO1185" s="2">
        <f t="shared" si="192"/>
        <v>85</v>
      </c>
      <c r="AP1185" s="2">
        <f t="shared" si="193"/>
        <v>0</v>
      </c>
      <c r="AQ1185" s="2">
        <f t="shared" si="194"/>
        <v>0</v>
      </c>
      <c r="AR1185" s="2">
        <f t="shared" si="195"/>
        <v>0</v>
      </c>
      <c r="AS1185" s="2">
        <f t="shared" si="196"/>
        <v>5</v>
      </c>
      <c r="AT1185" s="25">
        <f t="shared" si="197"/>
        <v>0</v>
      </c>
    </row>
    <row r="1186" spans="1:46">
      <c r="A1186" s="24">
        <v>46121</v>
      </c>
      <c r="B1186" s="23">
        <f t="shared" si="189"/>
        <v>46113</v>
      </c>
      <c r="C1186" s="2" t="s">
        <v>62</v>
      </c>
      <c r="D1186" s="2" t="s">
        <v>1315</v>
      </c>
      <c r="E1186" s="2">
        <v>3247</v>
      </c>
      <c r="F1186" s="2">
        <v>327</v>
      </c>
      <c r="G1186" s="2">
        <v>327</v>
      </c>
      <c r="H1186" s="2">
        <v>319</v>
      </c>
      <c r="I1186" s="2">
        <f t="shared" si="190"/>
        <v>8</v>
      </c>
      <c r="J1186" s="44" t="s">
        <v>77</v>
      </c>
      <c r="K1186" s="2">
        <v>100</v>
      </c>
      <c r="L1186" s="2">
        <v>8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/>
      <c r="AM1186" s="2" t="s">
        <v>77</v>
      </c>
      <c r="AN1186" s="2">
        <f t="shared" si="191"/>
        <v>8</v>
      </c>
      <c r="AO1186" s="2">
        <f t="shared" si="192"/>
        <v>0</v>
      </c>
      <c r="AP1186" s="2">
        <f t="shared" si="193"/>
        <v>0</v>
      </c>
      <c r="AQ1186" s="2">
        <f t="shared" si="194"/>
        <v>0</v>
      </c>
      <c r="AR1186" s="2">
        <f t="shared" si="195"/>
        <v>0</v>
      </c>
      <c r="AS1186" s="2">
        <f t="shared" si="196"/>
        <v>0</v>
      </c>
      <c r="AT1186" s="25">
        <f t="shared" si="197"/>
        <v>0</v>
      </c>
    </row>
    <row r="1187" spans="1:46">
      <c r="A1187" s="24">
        <v>46121</v>
      </c>
      <c r="B1187" s="23">
        <f t="shared" si="189"/>
        <v>46113</v>
      </c>
      <c r="C1187" s="2" t="s">
        <v>62</v>
      </c>
      <c r="D1187" s="2" t="s">
        <v>124</v>
      </c>
      <c r="E1187" s="2">
        <v>3245</v>
      </c>
      <c r="F1187" s="2">
        <v>37</v>
      </c>
      <c r="G1187" s="2">
        <v>37</v>
      </c>
      <c r="H1187" s="2">
        <v>37</v>
      </c>
      <c r="I1187" s="2">
        <f t="shared" si="190"/>
        <v>0</v>
      </c>
      <c r="J1187" s="44" t="s">
        <v>77</v>
      </c>
      <c r="K1187" s="2">
        <v>100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/>
      <c r="AM1187" s="2" t="s">
        <v>77</v>
      </c>
      <c r="AN1187" s="2">
        <f t="shared" si="191"/>
        <v>0</v>
      </c>
      <c r="AO1187" s="2">
        <f t="shared" si="192"/>
        <v>0</v>
      </c>
      <c r="AP1187" s="2">
        <f t="shared" si="193"/>
        <v>0</v>
      </c>
      <c r="AQ1187" s="2">
        <f t="shared" si="194"/>
        <v>0</v>
      </c>
      <c r="AR1187" s="2">
        <f t="shared" si="195"/>
        <v>0</v>
      </c>
      <c r="AS1187" s="2">
        <f t="shared" si="196"/>
        <v>0</v>
      </c>
      <c r="AT1187" s="25">
        <f t="shared" si="197"/>
        <v>0</v>
      </c>
    </row>
    <row r="1188" spans="1:46">
      <c r="A1188" s="24">
        <v>46121</v>
      </c>
      <c r="B1188" s="23">
        <f t="shared" si="189"/>
        <v>46113</v>
      </c>
      <c r="C1188" s="2" t="s">
        <v>62</v>
      </c>
      <c r="D1188" s="2" t="s">
        <v>293</v>
      </c>
      <c r="E1188" s="2">
        <v>3247</v>
      </c>
      <c r="F1188" s="2">
        <v>50</v>
      </c>
      <c r="G1188" s="2">
        <v>50</v>
      </c>
      <c r="H1188" s="2">
        <v>50</v>
      </c>
      <c r="I1188" s="2">
        <f t="shared" si="190"/>
        <v>0</v>
      </c>
      <c r="J1188" s="44" t="s">
        <v>77</v>
      </c>
      <c r="K1188" s="2">
        <v>100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/>
      <c r="AM1188" s="2" t="s">
        <v>77</v>
      </c>
      <c r="AN1188" s="2">
        <f t="shared" si="191"/>
        <v>0</v>
      </c>
      <c r="AO1188" s="2">
        <f t="shared" si="192"/>
        <v>0</v>
      </c>
      <c r="AP1188" s="2">
        <f t="shared" si="193"/>
        <v>0</v>
      </c>
      <c r="AQ1188" s="2">
        <f t="shared" si="194"/>
        <v>0</v>
      </c>
      <c r="AR1188" s="2">
        <f t="shared" si="195"/>
        <v>0</v>
      </c>
      <c r="AS1188" s="2">
        <f t="shared" si="196"/>
        <v>0</v>
      </c>
      <c r="AT1188" s="25">
        <f t="shared" si="197"/>
        <v>0</v>
      </c>
    </row>
    <row r="1189" spans="1:46">
      <c r="A1189" s="24">
        <v>46121</v>
      </c>
      <c r="B1189" s="23">
        <f t="shared" si="189"/>
        <v>46113</v>
      </c>
      <c r="C1189" s="2" t="s">
        <v>114</v>
      </c>
      <c r="D1189" s="2" t="s">
        <v>220</v>
      </c>
      <c r="E1189" s="2">
        <v>6109</v>
      </c>
      <c r="F1189" s="2">
        <v>34</v>
      </c>
      <c r="G1189" s="2">
        <v>34</v>
      </c>
      <c r="H1189" s="2">
        <v>32</v>
      </c>
      <c r="I1189" s="2">
        <f t="shared" si="190"/>
        <v>2</v>
      </c>
      <c r="J1189" s="44" t="s">
        <v>103</v>
      </c>
      <c r="K1189" s="2">
        <v>100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2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/>
      <c r="AM1189" s="2" t="s">
        <v>103</v>
      </c>
      <c r="AN1189" s="2">
        <f t="shared" si="191"/>
        <v>0</v>
      </c>
      <c r="AO1189" s="2">
        <f t="shared" si="192"/>
        <v>2</v>
      </c>
      <c r="AP1189" s="2">
        <f t="shared" si="193"/>
        <v>0</v>
      </c>
      <c r="AQ1189" s="2">
        <f t="shared" si="194"/>
        <v>0</v>
      </c>
      <c r="AR1189" s="2">
        <f t="shared" si="195"/>
        <v>0</v>
      </c>
      <c r="AS1189" s="2">
        <f t="shared" si="196"/>
        <v>0</v>
      </c>
      <c r="AT1189" s="25">
        <f t="shared" si="197"/>
        <v>0</v>
      </c>
    </row>
    <row r="1190" spans="1:46">
      <c r="A1190" s="24">
        <v>46121</v>
      </c>
      <c r="B1190" s="23">
        <f t="shared" si="189"/>
        <v>46113</v>
      </c>
      <c r="C1190" s="2" t="s">
        <v>114</v>
      </c>
      <c r="D1190" s="2" t="s">
        <v>350</v>
      </c>
      <c r="E1190" s="2">
        <v>3287</v>
      </c>
      <c r="F1190" s="2">
        <v>51</v>
      </c>
      <c r="G1190" s="2">
        <v>51</v>
      </c>
      <c r="H1190" s="2">
        <v>45</v>
      </c>
      <c r="I1190" s="2">
        <f t="shared" si="190"/>
        <v>6</v>
      </c>
      <c r="J1190" s="44" t="s">
        <v>103</v>
      </c>
      <c r="K1190" s="2">
        <v>100</v>
      </c>
      <c r="L1190" s="2">
        <v>4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1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1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/>
      <c r="AM1190" s="2" t="s">
        <v>103</v>
      </c>
      <c r="AN1190" s="2">
        <f t="shared" si="191"/>
        <v>4</v>
      </c>
      <c r="AO1190" s="2">
        <f t="shared" si="192"/>
        <v>1</v>
      </c>
      <c r="AP1190" s="2">
        <f t="shared" si="193"/>
        <v>0</v>
      </c>
      <c r="AQ1190" s="2">
        <f t="shared" si="194"/>
        <v>1</v>
      </c>
      <c r="AR1190" s="2">
        <f t="shared" si="195"/>
        <v>0</v>
      </c>
      <c r="AS1190" s="2">
        <f t="shared" si="196"/>
        <v>0</v>
      </c>
      <c r="AT1190" s="25">
        <f t="shared" si="197"/>
        <v>0</v>
      </c>
    </row>
    <row r="1191" spans="1:46">
      <c r="A1191" s="24">
        <v>46121</v>
      </c>
      <c r="B1191" s="23">
        <f t="shared" si="189"/>
        <v>46113</v>
      </c>
      <c r="C1191" s="2" t="s">
        <v>72</v>
      </c>
      <c r="D1191" s="2" t="s">
        <v>200</v>
      </c>
      <c r="E1191" s="2">
        <v>8110</v>
      </c>
      <c r="F1191" s="2">
        <v>34</v>
      </c>
      <c r="G1191" s="2">
        <v>34</v>
      </c>
      <c r="H1191" s="2">
        <v>34</v>
      </c>
      <c r="I1191" s="2">
        <f t="shared" si="190"/>
        <v>0</v>
      </c>
      <c r="J1191" s="44" t="s">
        <v>103</v>
      </c>
      <c r="K1191" s="2">
        <v>100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/>
      <c r="AM1191" s="2" t="s">
        <v>103</v>
      </c>
      <c r="AN1191" s="2">
        <f t="shared" si="191"/>
        <v>0</v>
      </c>
      <c r="AO1191" s="2">
        <f t="shared" si="192"/>
        <v>0</v>
      </c>
      <c r="AP1191" s="2">
        <f t="shared" si="193"/>
        <v>0</v>
      </c>
      <c r="AQ1191" s="2">
        <f t="shared" si="194"/>
        <v>0</v>
      </c>
      <c r="AR1191" s="2">
        <f t="shared" si="195"/>
        <v>0</v>
      </c>
      <c r="AS1191" s="2">
        <f t="shared" si="196"/>
        <v>0</v>
      </c>
      <c r="AT1191" s="25">
        <f t="shared" si="197"/>
        <v>0</v>
      </c>
    </row>
    <row r="1192" spans="1:46">
      <c r="A1192" s="24">
        <v>46121</v>
      </c>
      <c r="B1192" s="23">
        <f t="shared" si="189"/>
        <v>46113</v>
      </c>
      <c r="C1192" s="2" t="s">
        <v>72</v>
      </c>
      <c r="D1192" s="2" t="s">
        <v>375</v>
      </c>
      <c r="E1192" s="2">
        <v>2724</v>
      </c>
      <c r="F1192" s="2">
        <v>272</v>
      </c>
      <c r="G1192" s="2">
        <v>272</v>
      </c>
      <c r="H1192" s="2">
        <v>268</v>
      </c>
      <c r="I1192" s="2">
        <f t="shared" si="190"/>
        <v>4</v>
      </c>
      <c r="J1192" s="44" t="s">
        <v>103</v>
      </c>
      <c r="K1192" s="2">
        <v>100</v>
      </c>
      <c r="L1192" s="2">
        <v>0</v>
      </c>
      <c r="M1192" s="2">
        <v>0</v>
      </c>
      <c r="N1192" s="2">
        <v>0</v>
      </c>
      <c r="O1192" s="2">
        <v>0</v>
      </c>
      <c r="P1192" s="2">
        <v>4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/>
      <c r="AM1192" s="2" t="s">
        <v>103</v>
      </c>
      <c r="AN1192" s="2">
        <f t="shared" si="191"/>
        <v>0</v>
      </c>
      <c r="AO1192" s="2">
        <f t="shared" si="192"/>
        <v>4</v>
      </c>
      <c r="AP1192" s="2">
        <f t="shared" si="193"/>
        <v>0</v>
      </c>
      <c r="AQ1192" s="2">
        <f t="shared" si="194"/>
        <v>0</v>
      </c>
      <c r="AR1192" s="2">
        <f t="shared" si="195"/>
        <v>0</v>
      </c>
      <c r="AS1192" s="2">
        <f t="shared" si="196"/>
        <v>0</v>
      </c>
      <c r="AT1192" s="25">
        <f t="shared" si="197"/>
        <v>0</v>
      </c>
    </row>
    <row r="1193" spans="1:46">
      <c r="A1193" s="24">
        <v>46121</v>
      </c>
      <c r="B1193" s="23">
        <f t="shared" si="189"/>
        <v>46113</v>
      </c>
      <c r="C1193" s="2" t="s">
        <v>114</v>
      </c>
      <c r="D1193" s="2" t="s">
        <v>385</v>
      </c>
      <c r="E1193" s="2">
        <v>3273</v>
      </c>
      <c r="F1193" s="2">
        <v>89</v>
      </c>
      <c r="G1193" s="2">
        <v>89</v>
      </c>
      <c r="H1193" s="2">
        <v>86</v>
      </c>
      <c r="I1193" s="2">
        <f t="shared" si="190"/>
        <v>3</v>
      </c>
      <c r="J1193" s="44" t="s">
        <v>103</v>
      </c>
      <c r="K1193" s="2">
        <v>100</v>
      </c>
      <c r="L1193" s="2">
        <v>3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/>
      <c r="AM1193" s="2" t="s">
        <v>103</v>
      </c>
      <c r="AN1193" s="2">
        <f t="shared" si="191"/>
        <v>3</v>
      </c>
      <c r="AO1193" s="2">
        <f t="shared" si="192"/>
        <v>0</v>
      </c>
      <c r="AP1193" s="2">
        <f t="shared" si="193"/>
        <v>0</v>
      </c>
      <c r="AQ1193" s="2">
        <f t="shared" si="194"/>
        <v>0</v>
      </c>
      <c r="AR1193" s="2">
        <f t="shared" si="195"/>
        <v>0</v>
      </c>
      <c r="AS1193" s="2">
        <f t="shared" si="196"/>
        <v>0</v>
      </c>
      <c r="AT1193" s="25">
        <f t="shared" si="197"/>
        <v>0</v>
      </c>
    </row>
    <row r="1194" spans="1:46">
      <c r="A1194" s="24">
        <v>46121</v>
      </c>
      <c r="B1194" s="23">
        <f t="shared" si="189"/>
        <v>46113</v>
      </c>
      <c r="C1194" s="2" t="s">
        <v>72</v>
      </c>
      <c r="D1194" s="2" t="s">
        <v>362</v>
      </c>
      <c r="E1194" s="2">
        <v>9315</v>
      </c>
      <c r="F1194" s="2">
        <v>237</v>
      </c>
      <c r="G1194" s="2">
        <v>237</v>
      </c>
      <c r="H1194" s="2">
        <v>221</v>
      </c>
      <c r="I1194" s="2">
        <f t="shared" si="190"/>
        <v>16</v>
      </c>
      <c r="J1194" s="44" t="s">
        <v>103</v>
      </c>
      <c r="K1194" s="2">
        <v>100</v>
      </c>
      <c r="L1194" s="2">
        <v>13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3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/>
      <c r="AM1194" s="2" t="s">
        <v>103</v>
      </c>
      <c r="AN1194" s="2">
        <f t="shared" si="191"/>
        <v>13</v>
      </c>
      <c r="AO1194" s="2">
        <f t="shared" si="192"/>
        <v>3</v>
      </c>
      <c r="AP1194" s="2">
        <f t="shared" si="193"/>
        <v>0</v>
      </c>
      <c r="AQ1194" s="2">
        <f t="shared" si="194"/>
        <v>0</v>
      </c>
      <c r="AR1194" s="2">
        <f t="shared" si="195"/>
        <v>0</v>
      </c>
      <c r="AS1194" s="2">
        <f t="shared" si="196"/>
        <v>0</v>
      </c>
      <c r="AT1194" s="25">
        <f t="shared" si="197"/>
        <v>0</v>
      </c>
    </row>
    <row r="1195" spans="1:46">
      <c r="A1195" s="24">
        <v>46121</v>
      </c>
      <c r="B1195" s="23">
        <f t="shared" si="189"/>
        <v>46113</v>
      </c>
      <c r="C1195" s="2" t="s">
        <v>72</v>
      </c>
      <c r="D1195" s="2" t="s">
        <v>306</v>
      </c>
      <c r="E1195" s="2">
        <v>6225</v>
      </c>
      <c r="F1195" s="2">
        <v>38</v>
      </c>
      <c r="G1195" s="2">
        <v>38</v>
      </c>
      <c r="H1195" s="2">
        <v>36</v>
      </c>
      <c r="I1195" s="2">
        <f t="shared" si="190"/>
        <v>2</v>
      </c>
      <c r="J1195" s="44" t="s">
        <v>103</v>
      </c>
      <c r="K1195" s="2">
        <v>100</v>
      </c>
      <c r="L1195" s="2">
        <v>2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/>
      <c r="AM1195" s="2" t="s">
        <v>103</v>
      </c>
      <c r="AN1195" s="2">
        <f t="shared" si="191"/>
        <v>2</v>
      </c>
      <c r="AO1195" s="2">
        <f t="shared" si="192"/>
        <v>0</v>
      </c>
      <c r="AP1195" s="2">
        <f t="shared" si="193"/>
        <v>0</v>
      </c>
      <c r="AQ1195" s="2">
        <f t="shared" si="194"/>
        <v>0</v>
      </c>
      <c r="AR1195" s="2">
        <f t="shared" si="195"/>
        <v>0</v>
      </c>
      <c r="AS1195" s="2">
        <f t="shared" si="196"/>
        <v>0</v>
      </c>
      <c r="AT1195" s="25">
        <f t="shared" si="197"/>
        <v>0</v>
      </c>
    </row>
    <row r="1196" spans="1:46">
      <c r="A1196" s="24">
        <v>46121</v>
      </c>
      <c r="B1196" s="23">
        <f t="shared" si="189"/>
        <v>46113</v>
      </c>
      <c r="C1196" s="2" t="s">
        <v>63</v>
      </c>
      <c r="D1196" s="2" t="s">
        <v>296</v>
      </c>
      <c r="E1196" s="2">
        <v>8065</v>
      </c>
      <c r="F1196" s="2">
        <v>36</v>
      </c>
      <c r="G1196" s="2">
        <v>36</v>
      </c>
      <c r="H1196" s="2">
        <v>34</v>
      </c>
      <c r="I1196" s="2">
        <f t="shared" si="190"/>
        <v>2</v>
      </c>
      <c r="J1196" s="44" t="s">
        <v>1568</v>
      </c>
      <c r="K1196" s="2">
        <v>100</v>
      </c>
      <c r="L1196" s="2">
        <v>2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/>
      <c r="AM1196" s="2" t="s">
        <v>1568</v>
      </c>
      <c r="AN1196" s="2">
        <f t="shared" si="191"/>
        <v>2</v>
      </c>
      <c r="AO1196" s="2">
        <f t="shared" si="192"/>
        <v>0</v>
      </c>
      <c r="AP1196" s="2">
        <f t="shared" si="193"/>
        <v>0</v>
      </c>
      <c r="AQ1196" s="2">
        <f t="shared" si="194"/>
        <v>0</v>
      </c>
      <c r="AR1196" s="2">
        <f t="shared" si="195"/>
        <v>0</v>
      </c>
      <c r="AS1196" s="2">
        <f t="shared" si="196"/>
        <v>0</v>
      </c>
      <c r="AT1196" s="25">
        <f t="shared" si="197"/>
        <v>0</v>
      </c>
    </row>
    <row r="1197" spans="1:46">
      <c r="A1197" s="24">
        <v>46121</v>
      </c>
      <c r="B1197" s="23">
        <f t="shared" si="189"/>
        <v>46113</v>
      </c>
      <c r="C1197" s="2" t="s">
        <v>63</v>
      </c>
      <c r="D1197" s="2" t="s">
        <v>1223</v>
      </c>
      <c r="E1197" s="2">
        <v>3255</v>
      </c>
      <c r="F1197" s="2">
        <v>39</v>
      </c>
      <c r="G1197" s="2">
        <v>39</v>
      </c>
      <c r="H1197" s="2">
        <v>37</v>
      </c>
      <c r="I1197" s="2">
        <f t="shared" si="190"/>
        <v>2</v>
      </c>
      <c r="J1197" s="44" t="s">
        <v>1568</v>
      </c>
      <c r="K1197" s="2">
        <v>100</v>
      </c>
      <c r="L1197" s="2">
        <v>2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/>
      <c r="AM1197" s="2" t="s">
        <v>1568</v>
      </c>
      <c r="AN1197" s="2">
        <f t="shared" si="191"/>
        <v>2</v>
      </c>
      <c r="AO1197" s="2">
        <f t="shared" si="192"/>
        <v>0</v>
      </c>
      <c r="AP1197" s="2">
        <f t="shared" si="193"/>
        <v>0</v>
      </c>
      <c r="AQ1197" s="2">
        <f t="shared" si="194"/>
        <v>0</v>
      </c>
      <c r="AR1197" s="2">
        <f t="shared" si="195"/>
        <v>0</v>
      </c>
      <c r="AS1197" s="2">
        <f t="shared" si="196"/>
        <v>0</v>
      </c>
      <c r="AT1197" s="25">
        <f t="shared" si="197"/>
        <v>0</v>
      </c>
    </row>
    <row r="1198" spans="1:46">
      <c r="A1198" s="24">
        <v>46121</v>
      </c>
      <c r="B1198" s="23">
        <f t="shared" si="189"/>
        <v>46113</v>
      </c>
      <c r="C1198" s="2" t="s">
        <v>97</v>
      </c>
      <c r="D1198" s="2" t="s">
        <v>387</v>
      </c>
      <c r="E1198" s="2">
        <v>3084</v>
      </c>
      <c r="F1198" s="2">
        <v>44</v>
      </c>
      <c r="G1198" s="2">
        <v>44</v>
      </c>
      <c r="H1198" s="2">
        <v>37</v>
      </c>
      <c r="I1198" s="2">
        <f t="shared" si="190"/>
        <v>7</v>
      </c>
      <c r="J1198" s="44" t="s">
        <v>110</v>
      </c>
      <c r="K1198" s="2">
        <v>100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7</v>
      </c>
      <c r="AL1198" s="2"/>
      <c r="AM1198" s="2" t="s">
        <v>110</v>
      </c>
      <c r="AN1198" s="2">
        <f t="shared" si="191"/>
        <v>0</v>
      </c>
      <c r="AO1198" s="2">
        <f t="shared" si="192"/>
        <v>0</v>
      </c>
      <c r="AP1198" s="2">
        <f t="shared" si="193"/>
        <v>0</v>
      </c>
      <c r="AQ1198" s="2">
        <f t="shared" si="194"/>
        <v>7</v>
      </c>
      <c r="AR1198" s="2">
        <f t="shared" si="195"/>
        <v>0</v>
      </c>
      <c r="AS1198" s="2">
        <f t="shared" si="196"/>
        <v>0</v>
      </c>
      <c r="AT1198" s="25">
        <f t="shared" si="197"/>
        <v>0</v>
      </c>
    </row>
    <row r="1199" spans="1:46">
      <c r="A1199" s="24">
        <v>46121</v>
      </c>
      <c r="B1199" s="23">
        <f t="shared" si="189"/>
        <v>46113</v>
      </c>
      <c r="C1199" s="2" t="s">
        <v>97</v>
      </c>
      <c r="D1199" s="2" t="s">
        <v>1309</v>
      </c>
      <c r="E1199" s="2">
        <v>3327</v>
      </c>
      <c r="F1199" s="2">
        <v>31</v>
      </c>
      <c r="G1199" s="2">
        <v>31</v>
      </c>
      <c r="H1199" s="2">
        <v>31</v>
      </c>
      <c r="I1199" s="2">
        <f t="shared" si="190"/>
        <v>0</v>
      </c>
      <c r="J1199" s="44" t="s">
        <v>110</v>
      </c>
      <c r="K1199" s="2">
        <v>100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/>
      <c r="AM1199" s="2" t="s">
        <v>110</v>
      </c>
      <c r="AN1199" s="2">
        <f t="shared" si="191"/>
        <v>0</v>
      </c>
      <c r="AO1199" s="2">
        <f t="shared" si="192"/>
        <v>0</v>
      </c>
      <c r="AP1199" s="2">
        <f t="shared" si="193"/>
        <v>0</v>
      </c>
      <c r="AQ1199" s="2">
        <f t="shared" si="194"/>
        <v>0</v>
      </c>
      <c r="AR1199" s="2">
        <f t="shared" si="195"/>
        <v>0</v>
      </c>
      <c r="AS1199" s="2">
        <f t="shared" si="196"/>
        <v>0</v>
      </c>
      <c r="AT1199" s="25">
        <f t="shared" si="197"/>
        <v>0</v>
      </c>
    </row>
    <row r="1200" spans="1:46">
      <c r="A1200" s="24">
        <v>46121</v>
      </c>
      <c r="B1200" s="23">
        <f t="shared" si="189"/>
        <v>46113</v>
      </c>
      <c r="C1200" s="2" t="s">
        <v>97</v>
      </c>
      <c r="D1200" s="2" t="s">
        <v>384</v>
      </c>
      <c r="E1200" s="2">
        <v>7147</v>
      </c>
      <c r="F1200" s="2">
        <v>36</v>
      </c>
      <c r="G1200" s="2">
        <v>36</v>
      </c>
      <c r="H1200" s="2">
        <v>36</v>
      </c>
      <c r="I1200" s="2">
        <f t="shared" si="190"/>
        <v>0</v>
      </c>
      <c r="J1200" s="44" t="s">
        <v>110</v>
      </c>
      <c r="K1200" s="2">
        <v>100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/>
      <c r="AM1200" s="2" t="s">
        <v>110</v>
      </c>
      <c r="AN1200" s="2">
        <f t="shared" si="191"/>
        <v>0</v>
      </c>
      <c r="AO1200" s="2">
        <f t="shared" si="192"/>
        <v>0</v>
      </c>
      <c r="AP1200" s="2">
        <f t="shared" si="193"/>
        <v>0</v>
      </c>
      <c r="AQ1200" s="2">
        <f t="shared" si="194"/>
        <v>0</v>
      </c>
      <c r="AR1200" s="2">
        <f t="shared" si="195"/>
        <v>0</v>
      </c>
      <c r="AS1200" s="2">
        <f t="shared" si="196"/>
        <v>0</v>
      </c>
      <c r="AT1200" s="25">
        <f t="shared" si="197"/>
        <v>0</v>
      </c>
    </row>
    <row r="1201" spans="1:46">
      <c r="A1201" s="24">
        <v>46121</v>
      </c>
      <c r="B1201" s="23">
        <f t="shared" si="189"/>
        <v>46113</v>
      </c>
      <c r="C1201" s="2" t="s">
        <v>66</v>
      </c>
      <c r="D1201" s="2" t="s">
        <v>191</v>
      </c>
      <c r="E1201" s="2">
        <v>1899</v>
      </c>
      <c r="F1201" s="2">
        <v>31</v>
      </c>
      <c r="G1201" s="2">
        <v>31</v>
      </c>
      <c r="H1201" s="2">
        <v>31</v>
      </c>
      <c r="I1201" s="2">
        <f t="shared" si="190"/>
        <v>0</v>
      </c>
      <c r="J1201" s="44" t="s">
        <v>110</v>
      </c>
      <c r="K1201" s="2">
        <v>100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/>
      <c r="AM1201" s="2" t="s">
        <v>110</v>
      </c>
      <c r="AN1201" s="2">
        <f t="shared" si="191"/>
        <v>0</v>
      </c>
      <c r="AO1201" s="2">
        <f t="shared" si="192"/>
        <v>0</v>
      </c>
      <c r="AP1201" s="2">
        <f t="shared" si="193"/>
        <v>0</v>
      </c>
      <c r="AQ1201" s="2">
        <f t="shared" si="194"/>
        <v>0</v>
      </c>
      <c r="AR1201" s="2">
        <f t="shared" si="195"/>
        <v>0</v>
      </c>
      <c r="AS1201" s="2">
        <f t="shared" si="196"/>
        <v>0</v>
      </c>
      <c r="AT1201" s="25">
        <f t="shared" si="197"/>
        <v>0</v>
      </c>
    </row>
    <row r="1202" spans="1:46">
      <c r="A1202" s="24">
        <v>46121</v>
      </c>
      <c r="B1202" s="23">
        <f t="shared" si="189"/>
        <v>46113</v>
      </c>
      <c r="C1202" s="2" t="s">
        <v>97</v>
      </c>
      <c r="D1202" s="2" t="s">
        <v>1572</v>
      </c>
      <c r="E1202" s="2">
        <v>6328</v>
      </c>
      <c r="F1202" s="2">
        <v>45</v>
      </c>
      <c r="G1202" s="2">
        <v>45</v>
      </c>
      <c r="H1202" s="2">
        <v>45</v>
      </c>
      <c r="I1202" s="2">
        <f t="shared" si="190"/>
        <v>0</v>
      </c>
      <c r="J1202" s="44" t="s">
        <v>110</v>
      </c>
      <c r="K1202" s="2">
        <v>100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/>
      <c r="AM1202" s="2" t="s">
        <v>110</v>
      </c>
      <c r="AN1202" s="2">
        <f t="shared" si="191"/>
        <v>0</v>
      </c>
      <c r="AO1202" s="2">
        <f t="shared" si="192"/>
        <v>0</v>
      </c>
      <c r="AP1202" s="2">
        <f t="shared" si="193"/>
        <v>0</v>
      </c>
      <c r="AQ1202" s="2">
        <f t="shared" si="194"/>
        <v>0</v>
      </c>
      <c r="AR1202" s="2">
        <f t="shared" si="195"/>
        <v>0</v>
      </c>
      <c r="AS1202" s="2">
        <f t="shared" si="196"/>
        <v>0</v>
      </c>
      <c r="AT1202" s="25">
        <f t="shared" si="197"/>
        <v>0</v>
      </c>
    </row>
    <row r="1203" spans="1:46">
      <c r="A1203" s="24">
        <v>46121</v>
      </c>
      <c r="B1203" s="23">
        <f t="shared" si="189"/>
        <v>46113</v>
      </c>
      <c r="C1203" s="2" t="s">
        <v>66</v>
      </c>
      <c r="D1203" s="2" t="s">
        <v>1582</v>
      </c>
      <c r="E1203" s="2">
        <v>6210</v>
      </c>
      <c r="F1203" s="2">
        <v>41</v>
      </c>
      <c r="G1203" s="2">
        <v>41</v>
      </c>
      <c r="H1203" s="2">
        <v>23</v>
      </c>
      <c r="I1203" s="2">
        <f t="shared" si="190"/>
        <v>18</v>
      </c>
      <c r="J1203" s="44" t="s">
        <v>110</v>
      </c>
      <c r="K1203" s="2">
        <v>100</v>
      </c>
      <c r="L1203" s="2">
        <v>0</v>
      </c>
      <c r="M1203" s="2">
        <v>0</v>
      </c>
      <c r="N1203" s="2">
        <v>0</v>
      </c>
      <c r="O1203" s="2">
        <v>0</v>
      </c>
      <c r="P1203" s="2">
        <v>1</v>
      </c>
      <c r="Q1203" s="2">
        <v>0</v>
      </c>
      <c r="R1203" s="2">
        <v>16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1</v>
      </c>
      <c r="AL1203" s="2"/>
      <c r="AM1203" s="2" t="s">
        <v>110</v>
      </c>
      <c r="AN1203" s="2">
        <f t="shared" si="191"/>
        <v>0</v>
      </c>
      <c r="AO1203" s="2">
        <f t="shared" si="192"/>
        <v>17</v>
      </c>
      <c r="AP1203" s="2">
        <f t="shared" si="193"/>
        <v>0</v>
      </c>
      <c r="AQ1203" s="2">
        <f t="shared" si="194"/>
        <v>1</v>
      </c>
      <c r="AR1203" s="2">
        <f t="shared" si="195"/>
        <v>0</v>
      </c>
      <c r="AS1203" s="2">
        <f t="shared" si="196"/>
        <v>0</v>
      </c>
      <c r="AT1203" s="25">
        <f t="shared" si="197"/>
        <v>0</v>
      </c>
    </row>
    <row r="1204" spans="1:46">
      <c r="A1204" s="24">
        <v>46121</v>
      </c>
      <c r="B1204" s="23">
        <f t="shared" si="189"/>
        <v>46113</v>
      </c>
      <c r="C1204" s="2" t="s">
        <v>55</v>
      </c>
      <c r="D1204" s="2" t="s">
        <v>1402</v>
      </c>
      <c r="E1204" s="2">
        <v>3323</v>
      </c>
      <c r="F1204" s="2">
        <v>41</v>
      </c>
      <c r="G1204" s="2">
        <v>41</v>
      </c>
      <c r="H1204" s="2">
        <v>33</v>
      </c>
      <c r="I1204" s="2">
        <f t="shared" si="190"/>
        <v>8</v>
      </c>
      <c r="J1204" s="44" t="s">
        <v>1566</v>
      </c>
      <c r="K1204" s="2">
        <v>100</v>
      </c>
      <c r="L1204" s="2">
        <v>4</v>
      </c>
      <c r="M1204" s="2">
        <v>0</v>
      </c>
      <c r="N1204" s="2">
        <v>0</v>
      </c>
      <c r="O1204" s="2">
        <v>0</v>
      </c>
      <c r="P1204" s="2">
        <v>4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/>
      <c r="AM1204" s="2" t="s">
        <v>1566</v>
      </c>
      <c r="AN1204" s="2">
        <f t="shared" si="191"/>
        <v>4</v>
      </c>
      <c r="AO1204" s="2">
        <f t="shared" si="192"/>
        <v>4</v>
      </c>
      <c r="AP1204" s="2">
        <f t="shared" si="193"/>
        <v>0</v>
      </c>
      <c r="AQ1204" s="2">
        <f t="shared" si="194"/>
        <v>0</v>
      </c>
      <c r="AR1204" s="2">
        <f t="shared" si="195"/>
        <v>0</v>
      </c>
      <c r="AS1204" s="2">
        <f t="shared" si="196"/>
        <v>0</v>
      </c>
      <c r="AT1204" s="25">
        <f t="shared" si="197"/>
        <v>0</v>
      </c>
    </row>
    <row r="1205" spans="1:46">
      <c r="A1205" s="24">
        <v>46121</v>
      </c>
      <c r="B1205" s="23">
        <f t="shared" si="189"/>
        <v>46113</v>
      </c>
      <c r="C1205" s="2" t="s">
        <v>133</v>
      </c>
      <c r="D1205" s="2" t="s">
        <v>1571</v>
      </c>
      <c r="E1205" s="2">
        <v>6328</v>
      </c>
      <c r="F1205" s="2">
        <v>20</v>
      </c>
      <c r="G1205" s="2">
        <v>20</v>
      </c>
      <c r="H1205" s="2">
        <v>19</v>
      </c>
      <c r="I1205" s="2">
        <f t="shared" si="190"/>
        <v>1</v>
      </c>
      <c r="J1205" s="44" t="s">
        <v>1566</v>
      </c>
      <c r="K1205" s="2">
        <v>100</v>
      </c>
      <c r="L1205" s="2">
        <v>1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/>
      <c r="AM1205" s="2" t="s">
        <v>1566</v>
      </c>
      <c r="AN1205" s="2">
        <f t="shared" si="191"/>
        <v>1</v>
      </c>
      <c r="AO1205" s="2">
        <f t="shared" si="192"/>
        <v>0</v>
      </c>
      <c r="AP1205" s="2">
        <f t="shared" si="193"/>
        <v>0</v>
      </c>
      <c r="AQ1205" s="2">
        <f t="shared" si="194"/>
        <v>0</v>
      </c>
      <c r="AR1205" s="2">
        <f t="shared" si="195"/>
        <v>0</v>
      </c>
      <c r="AS1205" s="2">
        <f t="shared" si="196"/>
        <v>0</v>
      </c>
      <c r="AT1205" s="25">
        <f t="shared" si="197"/>
        <v>0</v>
      </c>
    </row>
    <row r="1206" spans="1:46">
      <c r="A1206" s="24">
        <v>46121</v>
      </c>
      <c r="B1206" s="23">
        <f t="shared" si="189"/>
        <v>46113</v>
      </c>
      <c r="C1206" s="2" t="s">
        <v>55</v>
      </c>
      <c r="D1206" s="2" t="s">
        <v>154</v>
      </c>
      <c r="E1206" s="2">
        <v>1729</v>
      </c>
      <c r="F1206" s="2">
        <v>30</v>
      </c>
      <c r="G1206" s="2">
        <v>30</v>
      </c>
      <c r="H1206" s="2">
        <v>28</v>
      </c>
      <c r="I1206" s="2">
        <f t="shared" si="190"/>
        <v>2</v>
      </c>
      <c r="J1206" s="44" t="s">
        <v>1566</v>
      </c>
      <c r="K1206" s="2">
        <v>100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2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/>
      <c r="AM1206" s="2" t="s">
        <v>1566</v>
      </c>
      <c r="AN1206" s="2">
        <f t="shared" si="191"/>
        <v>0</v>
      </c>
      <c r="AO1206" s="2">
        <f t="shared" si="192"/>
        <v>0</v>
      </c>
      <c r="AP1206" s="2">
        <f t="shared" si="193"/>
        <v>2</v>
      </c>
      <c r="AQ1206" s="2">
        <f t="shared" si="194"/>
        <v>0</v>
      </c>
      <c r="AR1206" s="2">
        <f t="shared" si="195"/>
        <v>0</v>
      </c>
      <c r="AS1206" s="2">
        <f t="shared" si="196"/>
        <v>0</v>
      </c>
      <c r="AT1206" s="25">
        <f t="shared" si="197"/>
        <v>0</v>
      </c>
    </row>
    <row r="1207" spans="1:46">
      <c r="A1207" s="24">
        <v>46121</v>
      </c>
      <c r="B1207" s="23">
        <f t="shared" si="189"/>
        <v>46113</v>
      </c>
      <c r="C1207" s="2" t="s">
        <v>55</v>
      </c>
      <c r="D1207" s="2" t="s">
        <v>58</v>
      </c>
      <c r="E1207" s="2">
        <v>3323</v>
      </c>
      <c r="F1207" s="2">
        <v>32</v>
      </c>
      <c r="G1207" s="2">
        <v>32</v>
      </c>
      <c r="H1207" s="2">
        <v>30</v>
      </c>
      <c r="I1207" s="2">
        <f t="shared" si="190"/>
        <v>2</v>
      </c>
      <c r="J1207" s="44" t="s">
        <v>1566</v>
      </c>
      <c r="K1207" s="2">
        <v>100</v>
      </c>
      <c r="L1207" s="2">
        <v>1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1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/>
      <c r="AM1207" s="2" t="s">
        <v>1566</v>
      </c>
      <c r="AN1207" s="2">
        <f t="shared" si="191"/>
        <v>1</v>
      </c>
      <c r="AO1207" s="2">
        <f t="shared" si="192"/>
        <v>1</v>
      </c>
      <c r="AP1207" s="2">
        <f t="shared" si="193"/>
        <v>0</v>
      </c>
      <c r="AQ1207" s="2">
        <f t="shared" si="194"/>
        <v>0</v>
      </c>
      <c r="AR1207" s="2">
        <f t="shared" si="195"/>
        <v>0</v>
      </c>
      <c r="AS1207" s="2">
        <f t="shared" si="196"/>
        <v>0</v>
      </c>
      <c r="AT1207" s="25">
        <f t="shared" si="197"/>
        <v>0</v>
      </c>
    </row>
    <row r="1208" spans="1:46">
      <c r="A1208" s="24">
        <v>46121</v>
      </c>
      <c r="B1208" s="23">
        <f t="shared" si="189"/>
        <v>46113</v>
      </c>
      <c r="C1208" s="2" t="s">
        <v>55</v>
      </c>
      <c r="D1208" s="2" t="s">
        <v>1398</v>
      </c>
      <c r="E1208" s="2">
        <v>8193</v>
      </c>
      <c r="F1208" s="2">
        <v>37</v>
      </c>
      <c r="G1208" s="2">
        <v>37</v>
      </c>
      <c r="H1208" s="2">
        <v>35</v>
      </c>
      <c r="I1208" s="2">
        <f t="shared" si="190"/>
        <v>2</v>
      </c>
      <c r="J1208" s="44" t="s">
        <v>1566</v>
      </c>
      <c r="K1208" s="2">
        <v>100</v>
      </c>
      <c r="L1208" s="2">
        <v>2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/>
      <c r="AM1208" s="2" t="s">
        <v>1566</v>
      </c>
      <c r="AN1208" s="2">
        <f t="shared" si="191"/>
        <v>2</v>
      </c>
      <c r="AO1208" s="2">
        <f t="shared" si="192"/>
        <v>0</v>
      </c>
      <c r="AP1208" s="2">
        <f t="shared" si="193"/>
        <v>0</v>
      </c>
      <c r="AQ1208" s="2">
        <f t="shared" si="194"/>
        <v>0</v>
      </c>
      <c r="AR1208" s="2">
        <f t="shared" si="195"/>
        <v>0</v>
      </c>
      <c r="AS1208" s="2">
        <f t="shared" si="196"/>
        <v>0</v>
      </c>
      <c r="AT1208" s="25">
        <f t="shared" si="197"/>
        <v>0</v>
      </c>
    </row>
    <row r="1209" spans="1:46">
      <c r="A1209" s="24">
        <v>46121</v>
      </c>
      <c r="B1209" s="23">
        <f t="shared" si="189"/>
        <v>46113</v>
      </c>
      <c r="C1209" s="2" t="s">
        <v>55</v>
      </c>
      <c r="D1209" s="2" t="s">
        <v>327</v>
      </c>
      <c r="E1209" s="2">
        <v>6314</v>
      </c>
      <c r="F1209" s="2">
        <v>32</v>
      </c>
      <c r="G1209" s="2">
        <v>32</v>
      </c>
      <c r="H1209" s="2">
        <v>31</v>
      </c>
      <c r="I1209" s="2">
        <f t="shared" si="190"/>
        <v>1</v>
      </c>
      <c r="J1209" s="44" t="s">
        <v>1566</v>
      </c>
      <c r="K1209" s="2">
        <v>100</v>
      </c>
      <c r="L1209" s="2">
        <v>1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/>
      <c r="AM1209" s="2" t="s">
        <v>1566</v>
      </c>
      <c r="AN1209" s="2">
        <f t="shared" si="191"/>
        <v>1</v>
      </c>
      <c r="AO1209" s="2">
        <f t="shared" si="192"/>
        <v>0</v>
      </c>
      <c r="AP1209" s="2">
        <f t="shared" si="193"/>
        <v>0</v>
      </c>
      <c r="AQ1209" s="2">
        <f t="shared" si="194"/>
        <v>0</v>
      </c>
      <c r="AR1209" s="2">
        <f t="shared" si="195"/>
        <v>0</v>
      </c>
      <c r="AS1209" s="2">
        <f t="shared" si="196"/>
        <v>0</v>
      </c>
      <c r="AT1209" s="25">
        <f t="shared" si="197"/>
        <v>0</v>
      </c>
    </row>
    <row r="1210" spans="1:46">
      <c r="A1210" s="24">
        <v>46121</v>
      </c>
      <c r="B1210" s="23">
        <f t="shared" si="189"/>
        <v>46113</v>
      </c>
      <c r="C1210" s="2" t="s">
        <v>95</v>
      </c>
      <c r="D1210" s="2" t="s">
        <v>360</v>
      </c>
      <c r="E1210" s="2">
        <v>90024</v>
      </c>
      <c r="F1210" s="2">
        <v>94</v>
      </c>
      <c r="G1210" s="2">
        <v>94</v>
      </c>
      <c r="H1210" s="2">
        <v>88</v>
      </c>
      <c r="I1210" s="2">
        <f t="shared" si="190"/>
        <v>6</v>
      </c>
      <c r="J1210" s="44" t="s">
        <v>1567</v>
      </c>
      <c r="K1210" s="2">
        <v>100</v>
      </c>
      <c r="L1210" s="2">
        <v>5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1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/>
      <c r="AM1210" s="2" t="s">
        <v>1567</v>
      </c>
      <c r="AN1210" s="2">
        <f t="shared" si="191"/>
        <v>5</v>
      </c>
      <c r="AO1210" s="2">
        <f t="shared" si="192"/>
        <v>1</v>
      </c>
      <c r="AP1210" s="2">
        <f t="shared" si="193"/>
        <v>0</v>
      </c>
      <c r="AQ1210" s="2">
        <f t="shared" si="194"/>
        <v>0</v>
      </c>
      <c r="AR1210" s="2">
        <f t="shared" si="195"/>
        <v>0</v>
      </c>
      <c r="AS1210" s="2">
        <f t="shared" si="196"/>
        <v>0</v>
      </c>
      <c r="AT1210" s="25">
        <f t="shared" si="197"/>
        <v>0</v>
      </c>
    </row>
    <row r="1211" spans="1:46">
      <c r="A1211" s="24">
        <v>46121</v>
      </c>
      <c r="B1211" s="23">
        <f t="shared" si="189"/>
        <v>46113</v>
      </c>
      <c r="C1211" s="2" t="s">
        <v>46</v>
      </c>
      <c r="D1211" s="2" t="s">
        <v>126</v>
      </c>
      <c r="E1211" s="2">
        <v>6296</v>
      </c>
      <c r="F1211" s="2">
        <v>35</v>
      </c>
      <c r="G1211" s="2">
        <v>35</v>
      </c>
      <c r="H1211" s="2">
        <v>35</v>
      </c>
      <c r="I1211" s="2">
        <f t="shared" si="190"/>
        <v>0</v>
      </c>
      <c r="J1211" s="44" t="s">
        <v>1567</v>
      </c>
      <c r="K1211" s="2">
        <v>100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/>
      <c r="AM1211" s="2" t="s">
        <v>1567</v>
      </c>
      <c r="AN1211" s="2">
        <f t="shared" si="191"/>
        <v>0</v>
      </c>
      <c r="AO1211" s="2">
        <f t="shared" si="192"/>
        <v>0</v>
      </c>
      <c r="AP1211" s="2">
        <f t="shared" si="193"/>
        <v>0</v>
      </c>
      <c r="AQ1211" s="2">
        <f t="shared" si="194"/>
        <v>0</v>
      </c>
      <c r="AR1211" s="2">
        <f t="shared" si="195"/>
        <v>0</v>
      </c>
      <c r="AS1211" s="2">
        <f t="shared" si="196"/>
        <v>0</v>
      </c>
      <c r="AT1211" s="25">
        <f t="shared" si="197"/>
        <v>0</v>
      </c>
    </row>
    <row r="1212" spans="1:46">
      <c r="A1212" s="24">
        <v>46121</v>
      </c>
      <c r="B1212" s="23">
        <f t="shared" si="189"/>
        <v>46113</v>
      </c>
      <c r="C1212" s="2" t="s">
        <v>46</v>
      </c>
      <c r="D1212" s="2" t="s">
        <v>1230</v>
      </c>
      <c r="E1212" s="2">
        <v>6309</v>
      </c>
      <c r="F1212" s="2">
        <v>37</v>
      </c>
      <c r="G1212" s="2">
        <v>37</v>
      </c>
      <c r="H1212" s="2">
        <v>36</v>
      </c>
      <c r="I1212" s="2">
        <f t="shared" si="190"/>
        <v>1</v>
      </c>
      <c r="J1212" s="44" t="s">
        <v>1567</v>
      </c>
      <c r="K1212" s="2">
        <v>100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1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/>
      <c r="AM1212" s="2" t="s">
        <v>1567</v>
      </c>
      <c r="AN1212" s="2">
        <f t="shared" si="191"/>
        <v>0</v>
      </c>
      <c r="AO1212" s="2">
        <f t="shared" si="192"/>
        <v>1</v>
      </c>
      <c r="AP1212" s="2">
        <f t="shared" si="193"/>
        <v>0</v>
      </c>
      <c r="AQ1212" s="2">
        <f t="shared" si="194"/>
        <v>0</v>
      </c>
      <c r="AR1212" s="2">
        <f t="shared" si="195"/>
        <v>0</v>
      </c>
      <c r="AS1212" s="2">
        <f t="shared" si="196"/>
        <v>0</v>
      </c>
      <c r="AT1212" s="25">
        <f t="shared" si="197"/>
        <v>0</v>
      </c>
    </row>
    <row r="1213" spans="1:46">
      <c r="A1213" s="24">
        <v>46121</v>
      </c>
      <c r="B1213" s="23">
        <f t="shared" si="189"/>
        <v>46113</v>
      </c>
      <c r="C1213" s="2" t="s">
        <v>46</v>
      </c>
      <c r="D1213" s="2" t="s">
        <v>242</v>
      </c>
      <c r="E1213" s="2">
        <v>6296</v>
      </c>
      <c r="F1213" s="2">
        <v>35</v>
      </c>
      <c r="G1213" s="2">
        <v>35</v>
      </c>
      <c r="H1213" s="2">
        <v>35</v>
      </c>
      <c r="I1213" s="2">
        <f t="shared" si="190"/>
        <v>0</v>
      </c>
      <c r="J1213" s="44" t="s">
        <v>1567</v>
      </c>
      <c r="K1213" s="2">
        <v>100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/>
      <c r="AM1213" s="2" t="s">
        <v>1567</v>
      </c>
      <c r="AN1213" s="2">
        <f t="shared" si="191"/>
        <v>0</v>
      </c>
      <c r="AO1213" s="2">
        <f t="shared" si="192"/>
        <v>0</v>
      </c>
      <c r="AP1213" s="2">
        <f t="shared" si="193"/>
        <v>0</v>
      </c>
      <c r="AQ1213" s="2">
        <f t="shared" si="194"/>
        <v>0</v>
      </c>
      <c r="AR1213" s="2">
        <f t="shared" si="195"/>
        <v>0</v>
      </c>
      <c r="AS1213" s="2">
        <f t="shared" si="196"/>
        <v>0</v>
      </c>
      <c r="AT1213" s="25">
        <f t="shared" si="197"/>
        <v>0</v>
      </c>
    </row>
    <row r="1214" spans="1:46">
      <c r="A1214" s="24">
        <v>46121</v>
      </c>
      <c r="B1214" s="23">
        <f t="shared" si="189"/>
        <v>46113</v>
      </c>
      <c r="C1214" s="2" t="s">
        <v>95</v>
      </c>
      <c r="D1214" s="2" t="s">
        <v>303</v>
      </c>
      <c r="E1214" s="2">
        <v>6222</v>
      </c>
      <c r="F1214" s="2">
        <v>35</v>
      </c>
      <c r="G1214" s="2">
        <v>35</v>
      </c>
      <c r="H1214" s="2">
        <v>35</v>
      </c>
      <c r="I1214" s="2">
        <f t="shared" si="190"/>
        <v>0</v>
      </c>
      <c r="J1214" s="44" t="s">
        <v>1567</v>
      </c>
      <c r="K1214" s="2">
        <v>100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/>
      <c r="AM1214" s="2" t="s">
        <v>1567</v>
      </c>
      <c r="AN1214" s="2">
        <f t="shared" si="191"/>
        <v>0</v>
      </c>
      <c r="AO1214" s="2">
        <f t="shared" si="192"/>
        <v>0</v>
      </c>
      <c r="AP1214" s="2">
        <f t="shared" si="193"/>
        <v>0</v>
      </c>
      <c r="AQ1214" s="2">
        <f t="shared" si="194"/>
        <v>0</v>
      </c>
      <c r="AR1214" s="2">
        <f t="shared" si="195"/>
        <v>0</v>
      </c>
      <c r="AS1214" s="2">
        <f t="shared" si="196"/>
        <v>0</v>
      </c>
      <c r="AT1214" s="25">
        <f t="shared" si="197"/>
        <v>0</v>
      </c>
    </row>
    <row r="1215" spans="1:46">
      <c r="A1215" s="24">
        <v>46121</v>
      </c>
      <c r="B1215" s="23">
        <f t="shared" si="189"/>
        <v>46113</v>
      </c>
      <c r="C1215" s="2" t="s">
        <v>95</v>
      </c>
      <c r="D1215" s="2" t="s">
        <v>1312</v>
      </c>
      <c r="E1215" s="2">
        <v>2489</v>
      </c>
      <c r="F1215" s="2">
        <v>32</v>
      </c>
      <c r="G1215" s="2">
        <v>32</v>
      </c>
      <c r="H1215" s="2">
        <v>31</v>
      </c>
      <c r="I1215" s="2">
        <f t="shared" si="190"/>
        <v>1</v>
      </c>
      <c r="J1215" s="44" t="s">
        <v>1567</v>
      </c>
      <c r="K1215" s="2">
        <v>100</v>
      </c>
      <c r="L1215" s="2">
        <v>1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/>
      <c r="AM1215" s="2" t="s">
        <v>1567</v>
      </c>
      <c r="AN1215" s="2">
        <f t="shared" si="191"/>
        <v>1</v>
      </c>
      <c r="AO1215" s="2">
        <f t="shared" si="192"/>
        <v>0</v>
      </c>
      <c r="AP1215" s="2">
        <f t="shared" si="193"/>
        <v>0</v>
      </c>
      <c r="AQ1215" s="2">
        <f t="shared" si="194"/>
        <v>0</v>
      </c>
      <c r="AR1215" s="2">
        <f t="shared" si="195"/>
        <v>0</v>
      </c>
      <c r="AS1215" s="2">
        <f t="shared" si="196"/>
        <v>0</v>
      </c>
      <c r="AT1215" s="25">
        <f t="shared" si="197"/>
        <v>0</v>
      </c>
    </row>
    <row r="1216" spans="1:46">
      <c r="A1216" s="24">
        <v>46121</v>
      </c>
      <c r="B1216" s="23">
        <f t="shared" si="189"/>
        <v>46113</v>
      </c>
      <c r="C1216" s="2" t="s">
        <v>95</v>
      </c>
      <c r="D1216" s="2" t="s">
        <v>315</v>
      </c>
      <c r="E1216" s="2">
        <v>6291</v>
      </c>
      <c r="F1216" s="2">
        <v>31</v>
      </c>
      <c r="G1216" s="2">
        <v>31</v>
      </c>
      <c r="H1216" s="2">
        <v>27</v>
      </c>
      <c r="I1216" s="2">
        <f t="shared" si="190"/>
        <v>4</v>
      </c>
      <c r="J1216" s="44" t="s">
        <v>1567</v>
      </c>
      <c r="K1216" s="2">
        <v>100</v>
      </c>
      <c r="L1216" s="2">
        <v>4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/>
      <c r="AM1216" s="2" t="s">
        <v>1567</v>
      </c>
      <c r="AN1216" s="2">
        <f t="shared" si="191"/>
        <v>4</v>
      </c>
      <c r="AO1216" s="2">
        <f t="shared" si="192"/>
        <v>0</v>
      </c>
      <c r="AP1216" s="2">
        <f t="shared" si="193"/>
        <v>0</v>
      </c>
      <c r="AQ1216" s="2">
        <f t="shared" si="194"/>
        <v>0</v>
      </c>
      <c r="AR1216" s="2">
        <f t="shared" si="195"/>
        <v>0</v>
      </c>
      <c r="AS1216" s="2">
        <f t="shared" si="196"/>
        <v>0</v>
      </c>
      <c r="AT1216" s="25">
        <f t="shared" si="197"/>
        <v>0</v>
      </c>
    </row>
    <row r="1217" spans="1:46">
      <c r="A1217" s="24">
        <v>46121</v>
      </c>
      <c r="B1217" s="23">
        <f t="shared" si="189"/>
        <v>46113</v>
      </c>
      <c r="C1217" s="2" t="s">
        <v>46</v>
      </c>
      <c r="D1217" s="2" t="s">
        <v>171</v>
      </c>
      <c r="E1217" s="2">
        <v>6207</v>
      </c>
      <c r="F1217" s="2">
        <v>36</v>
      </c>
      <c r="G1217" s="2">
        <v>36</v>
      </c>
      <c r="H1217" s="2">
        <v>34</v>
      </c>
      <c r="I1217" s="2">
        <f t="shared" si="190"/>
        <v>2</v>
      </c>
      <c r="J1217" s="44" t="s">
        <v>1567</v>
      </c>
      <c r="K1217" s="2">
        <v>100</v>
      </c>
      <c r="L1217" s="2">
        <v>2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/>
      <c r="AM1217" s="2" t="s">
        <v>1567</v>
      </c>
      <c r="AN1217" s="2">
        <f t="shared" si="191"/>
        <v>2</v>
      </c>
      <c r="AO1217" s="2">
        <f t="shared" si="192"/>
        <v>0</v>
      </c>
      <c r="AP1217" s="2">
        <f t="shared" si="193"/>
        <v>0</v>
      </c>
      <c r="AQ1217" s="2">
        <f t="shared" si="194"/>
        <v>0</v>
      </c>
      <c r="AR1217" s="2">
        <f t="shared" si="195"/>
        <v>0</v>
      </c>
      <c r="AS1217" s="2">
        <f t="shared" si="196"/>
        <v>0</v>
      </c>
      <c r="AT1217" s="25">
        <f t="shared" si="197"/>
        <v>0</v>
      </c>
    </row>
    <row r="1218" spans="1:46">
      <c r="A1218" s="24">
        <v>46121</v>
      </c>
      <c r="B1218" s="23">
        <f t="shared" si="189"/>
        <v>46113</v>
      </c>
      <c r="C1218" s="2" t="s">
        <v>160</v>
      </c>
      <c r="D1218" s="2" t="s">
        <v>267</v>
      </c>
      <c r="E1218" s="2">
        <v>3227</v>
      </c>
      <c r="F1218" s="2">
        <v>44</v>
      </c>
      <c r="G1218" s="2">
        <v>44</v>
      </c>
      <c r="H1218" s="2">
        <v>42</v>
      </c>
      <c r="I1218" s="2">
        <f t="shared" si="190"/>
        <v>2</v>
      </c>
      <c r="J1218" s="44" t="s">
        <v>93</v>
      </c>
      <c r="K1218" s="2">
        <v>100</v>
      </c>
      <c r="L1218" s="2">
        <v>1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1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/>
      <c r="AM1218" s="2" t="s">
        <v>93</v>
      </c>
      <c r="AN1218" s="2">
        <f t="shared" si="191"/>
        <v>1</v>
      </c>
      <c r="AO1218" s="2">
        <f t="shared" si="192"/>
        <v>0</v>
      </c>
      <c r="AP1218" s="2">
        <f t="shared" si="193"/>
        <v>0</v>
      </c>
      <c r="AQ1218" s="2">
        <f t="shared" si="194"/>
        <v>0</v>
      </c>
      <c r="AR1218" s="2">
        <f t="shared" si="195"/>
        <v>1</v>
      </c>
      <c r="AS1218" s="2">
        <f t="shared" si="196"/>
        <v>0</v>
      </c>
      <c r="AT1218" s="25">
        <f t="shared" si="197"/>
        <v>0</v>
      </c>
    </row>
    <row r="1219" spans="1:46">
      <c r="A1219" s="24">
        <v>46121</v>
      </c>
      <c r="B1219" s="23">
        <f t="shared" si="189"/>
        <v>46113</v>
      </c>
      <c r="C1219" s="2" t="s">
        <v>82</v>
      </c>
      <c r="D1219" s="2" t="s">
        <v>241</v>
      </c>
      <c r="E1219" s="2">
        <v>3317</v>
      </c>
      <c r="F1219" s="2">
        <v>44</v>
      </c>
      <c r="G1219" s="2">
        <v>44</v>
      </c>
      <c r="H1219" s="2">
        <v>38</v>
      </c>
      <c r="I1219" s="2">
        <f t="shared" si="190"/>
        <v>6</v>
      </c>
      <c r="J1219" s="44" t="s">
        <v>93</v>
      </c>
      <c r="K1219" s="2">
        <v>100</v>
      </c>
      <c r="L1219" s="2">
        <v>3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3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/>
      <c r="AM1219" s="2" t="s">
        <v>93</v>
      </c>
      <c r="AN1219" s="2">
        <f t="shared" si="191"/>
        <v>3</v>
      </c>
      <c r="AO1219" s="2">
        <f t="shared" si="192"/>
        <v>0</v>
      </c>
      <c r="AP1219" s="2">
        <f t="shared" si="193"/>
        <v>0</v>
      </c>
      <c r="AQ1219" s="2">
        <f t="shared" si="194"/>
        <v>3</v>
      </c>
      <c r="AR1219" s="2">
        <f t="shared" si="195"/>
        <v>0</v>
      </c>
      <c r="AS1219" s="2">
        <f t="shared" si="196"/>
        <v>0</v>
      </c>
      <c r="AT1219" s="25">
        <f t="shared" si="197"/>
        <v>0</v>
      </c>
    </row>
    <row r="1220" spans="1:46">
      <c r="A1220" s="24">
        <v>46121</v>
      </c>
      <c r="B1220" s="23">
        <f t="shared" si="189"/>
        <v>46113</v>
      </c>
      <c r="C1220" s="2" t="s">
        <v>160</v>
      </c>
      <c r="D1220" s="2" t="s">
        <v>378</v>
      </c>
      <c r="E1220" s="2">
        <v>1474</v>
      </c>
      <c r="F1220" s="2">
        <v>20</v>
      </c>
      <c r="G1220" s="2">
        <v>20</v>
      </c>
      <c r="H1220" s="2">
        <v>20</v>
      </c>
      <c r="I1220" s="2">
        <f t="shared" si="190"/>
        <v>0</v>
      </c>
      <c r="J1220" s="44" t="s">
        <v>93</v>
      </c>
      <c r="K1220" s="2">
        <v>100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/>
      <c r="AM1220" s="2" t="s">
        <v>93</v>
      </c>
      <c r="AN1220" s="2">
        <f t="shared" si="191"/>
        <v>0</v>
      </c>
      <c r="AO1220" s="2">
        <f t="shared" si="192"/>
        <v>0</v>
      </c>
      <c r="AP1220" s="2">
        <f t="shared" si="193"/>
        <v>0</v>
      </c>
      <c r="AQ1220" s="2">
        <f t="shared" si="194"/>
        <v>0</v>
      </c>
      <c r="AR1220" s="2">
        <f t="shared" si="195"/>
        <v>0</v>
      </c>
      <c r="AS1220" s="2">
        <f t="shared" si="196"/>
        <v>0</v>
      </c>
      <c r="AT1220" s="25">
        <f t="shared" si="197"/>
        <v>0</v>
      </c>
    </row>
    <row r="1221" spans="1:46">
      <c r="A1221" s="24">
        <v>46121</v>
      </c>
      <c r="B1221" s="23">
        <f t="shared" si="189"/>
        <v>46113</v>
      </c>
      <c r="C1221" s="2" t="s">
        <v>82</v>
      </c>
      <c r="D1221" s="2" t="s">
        <v>116</v>
      </c>
      <c r="E1221" s="2">
        <v>2678</v>
      </c>
      <c r="F1221" s="2">
        <v>43</v>
      </c>
      <c r="G1221" s="2">
        <v>43</v>
      </c>
      <c r="H1221" s="2">
        <v>43</v>
      </c>
      <c r="I1221" s="2">
        <f t="shared" si="190"/>
        <v>0</v>
      </c>
      <c r="J1221" s="44" t="s">
        <v>93</v>
      </c>
      <c r="K1221" s="2">
        <v>100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/>
      <c r="AM1221" s="2" t="s">
        <v>93</v>
      </c>
      <c r="AN1221" s="2">
        <f t="shared" si="191"/>
        <v>0</v>
      </c>
      <c r="AO1221" s="2">
        <f t="shared" si="192"/>
        <v>0</v>
      </c>
      <c r="AP1221" s="2">
        <f t="shared" si="193"/>
        <v>0</v>
      </c>
      <c r="AQ1221" s="2">
        <f t="shared" si="194"/>
        <v>0</v>
      </c>
      <c r="AR1221" s="2">
        <f t="shared" si="195"/>
        <v>0</v>
      </c>
      <c r="AS1221" s="2">
        <f t="shared" si="196"/>
        <v>0</v>
      </c>
      <c r="AT1221" s="25">
        <f t="shared" si="197"/>
        <v>0</v>
      </c>
    </row>
    <row r="1222" spans="1:46">
      <c r="A1222" s="24">
        <v>46121</v>
      </c>
      <c r="B1222" s="23">
        <f t="shared" si="189"/>
        <v>46113</v>
      </c>
      <c r="C1222" s="2" t="s">
        <v>82</v>
      </c>
      <c r="D1222" s="2" t="s">
        <v>1409</v>
      </c>
      <c r="E1222" s="2">
        <v>6248</v>
      </c>
      <c r="F1222" s="2">
        <v>39</v>
      </c>
      <c r="G1222" s="2">
        <v>39</v>
      </c>
      <c r="H1222" s="2">
        <v>39</v>
      </c>
      <c r="I1222" s="2">
        <f t="shared" si="190"/>
        <v>0</v>
      </c>
      <c r="J1222" s="44" t="s">
        <v>93</v>
      </c>
      <c r="K1222" s="2">
        <v>100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/>
      <c r="AM1222" s="2" t="s">
        <v>93</v>
      </c>
      <c r="AN1222" s="2">
        <f t="shared" si="191"/>
        <v>0</v>
      </c>
      <c r="AO1222" s="2">
        <f t="shared" si="192"/>
        <v>0</v>
      </c>
      <c r="AP1222" s="2">
        <f t="shared" si="193"/>
        <v>0</v>
      </c>
      <c r="AQ1222" s="2">
        <f t="shared" si="194"/>
        <v>0</v>
      </c>
      <c r="AR1222" s="2">
        <f t="shared" si="195"/>
        <v>0</v>
      </c>
      <c r="AS1222" s="2">
        <f t="shared" si="196"/>
        <v>0</v>
      </c>
      <c r="AT1222" s="25">
        <f t="shared" si="197"/>
        <v>0</v>
      </c>
    </row>
    <row r="1223" spans="1:46">
      <c r="A1223" s="24">
        <v>46121</v>
      </c>
      <c r="B1223" s="23">
        <f t="shared" si="189"/>
        <v>46113</v>
      </c>
      <c r="C1223" s="2" t="s">
        <v>82</v>
      </c>
      <c r="D1223" s="2" t="s">
        <v>91</v>
      </c>
      <c r="E1223" s="2">
        <v>6248</v>
      </c>
      <c r="F1223" s="2">
        <v>37</v>
      </c>
      <c r="G1223" s="2">
        <v>37</v>
      </c>
      <c r="H1223" s="2">
        <v>37</v>
      </c>
      <c r="I1223" s="2">
        <f t="shared" si="190"/>
        <v>0</v>
      </c>
      <c r="J1223" s="44" t="s">
        <v>93</v>
      </c>
      <c r="K1223" s="2">
        <v>100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/>
      <c r="AM1223" s="2" t="s">
        <v>93</v>
      </c>
      <c r="AN1223" s="2">
        <f t="shared" si="191"/>
        <v>0</v>
      </c>
      <c r="AO1223" s="2">
        <f t="shared" si="192"/>
        <v>0</v>
      </c>
      <c r="AP1223" s="2">
        <f t="shared" si="193"/>
        <v>0</v>
      </c>
      <c r="AQ1223" s="2">
        <f t="shared" si="194"/>
        <v>0</v>
      </c>
      <c r="AR1223" s="2">
        <f t="shared" si="195"/>
        <v>0</v>
      </c>
      <c r="AS1223" s="2">
        <f t="shared" si="196"/>
        <v>0</v>
      </c>
      <c r="AT1223" s="25">
        <f t="shared" si="197"/>
        <v>0</v>
      </c>
    </row>
    <row r="1224" spans="1:46">
      <c r="A1224" s="24">
        <v>46121</v>
      </c>
      <c r="B1224" s="23">
        <f t="shared" si="189"/>
        <v>46113</v>
      </c>
      <c r="C1224" s="2" t="s">
        <v>160</v>
      </c>
      <c r="D1224" s="2" t="s">
        <v>1467</v>
      </c>
      <c r="E1224" s="2">
        <v>3331</v>
      </c>
      <c r="F1224" s="2">
        <v>16</v>
      </c>
      <c r="G1224" s="2">
        <v>16</v>
      </c>
      <c r="H1224" s="2">
        <v>15</v>
      </c>
      <c r="I1224" s="2">
        <f t="shared" si="190"/>
        <v>1</v>
      </c>
      <c r="J1224" s="44" t="s">
        <v>93</v>
      </c>
      <c r="K1224" s="2">
        <v>100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1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/>
      <c r="AM1224" s="2" t="s">
        <v>93</v>
      </c>
      <c r="AN1224" s="2">
        <f t="shared" si="191"/>
        <v>0</v>
      </c>
      <c r="AO1224" s="2">
        <f t="shared" si="192"/>
        <v>0</v>
      </c>
      <c r="AP1224" s="2">
        <f t="shared" si="193"/>
        <v>0</v>
      </c>
      <c r="AQ1224" s="2">
        <f t="shared" si="194"/>
        <v>0</v>
      </c>
      <c r="AR1224" s="2">
        <f t="shared" si="195"/>
        <v>1</v>
      </c>
      <c r="AS1224" s="2">
        <f t="shared" si="196"/>
        <v>0</v>
      </c>
      <c r="AT1224" s="25">
        <f t="shared" si="197"/>
        <v>0</v>
      </c>
    </row>
    <row r="1225" spans="1:46">
      <c r="A1225" s="24">
        <v>46121</v>
      </c>
      <c r="B1225" s="23">
        <f t="shared" si="189"/>
        <v>46113</v>
      </c>
      <c r="C1225" s="2" t="s">
        <v>160</v>
      </c>
      <c r="D1225" s="2" t="s">
        <v>378</v>
      </c>
      <c r="E1225" s="2">
        <v>1474</v>
      </c>
      <c r="F1225" s="2">
        <v>150</v>
      </c>
      <c r="G1225" s="2">
        <v>150</v>
      </c>
      <c r="H1225" s="2">
        <v>139</v>
      </c>
      <c r="I1225" s="2">
        <f t="shared" si="190"/>
        <v>11</v>
      </c>
      <c r="J1225" s="44" t="s">
        <v>93</v>
      </c>
      <c r="K1225" s="2">
        <v>100</v>
      </c>
      <c r="L1225" s="2">
        <v>4</v>
      </c>
      <c r="M1225" s="2">
        <v>0</v>
      </c>
      <c r="N1225" s="2">
        <v>1</v>
      </c>
      <c r="O1225" s="2">
        <v>0</v>
      </c>
      <c r="P1225" s="2">
        <v>5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1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/>
      <c r="AM1225" s="2" t="s">
        <v>93</v>
      </c>
      <c r="AN1225" s="2">
        <f t="shared" si="191"/>
        <v>4</v>
      </c>
      <c r="AO1225" s="2">
        <f t="shared" si="192"/>
        <v>6</v>
      </c>
      <c r="AP1225" s="2">
        <f t="shared" si="193"/>
        <v>0</v>
      </c>
      <c r="AQ1225" s="2">
        <f t="shared" si="194"/>
        <v>0</v>
      </c>
      <c r="AR1225" s="2">
        <f t="shared" si="195"/>
        <v>1</v>
      </c>
      <c r="AS1225" s="2">
        <f t="shared" si="196"/>
        <v>0</v>
      </c>
      <c r="AT1225" s="25">
        <f t="shared" si="197"/>
        <v>0</v>
      </c>
    </row>
    <row r="1226" spans="1:46">
      <c r="A1226" s="24">
        <v>46122</v>
      </c>
      <c r="B1226" s="23">
        <f t="shared" si="189"/>
        <v>46113</v>
      </c>
      <c r="C1226" s="2" t="s">
        <v>62</v>
      </c>
      <c r="D1226" s="2" t="s">
        <v>293</v>
      </c>
      <c r="E1226" s="2">
        <v>3247</v>
      </c>
      <c r="F1226" s="2">
        <v>244</v>
      </c>
      <c r="G1226" s="2">
        <v>244</v>
      </c>
      <c r="H1226" s="2">
        <v>238</v>
      </c>
      <c r="I1226" s="2">
        <f t="shared" si="190"/>
        <v>6</v>
      </c>
      <c r="J1226" s="44" t="s">
        <v>77</v>
      </c>
      <c r="K1226" s="2">
        <v>100</v>
      </c>
      <c r="L1226" s="2">
        <v>4</v>
      </c>
      <c r="M1226" s="2">
        <v>0</v>
      </c>
      <c r="N1226" s="2">
        <v>0</v>
      </c>
      <c r="O1226" s="2">
        <v>2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/>
      <c r="AM1226" s="2" t="s">
        <v>77</v>
      </c>
      <c r="AN1226" s="2">
        <f t="shared" si="191"/>
        <v>4</v>
      </c>
      <c r="AO1226" s="2">
        <f t="shared" si="192"/>
        <v>2</v>
      </c>
      <c r="AP1226" s="2">
        <f t="shared" si="193"/>
        <v>0</v>
      </c>
      <c r="AQ1226" s="2">
        <f t="shared" si="194"/>
        <v>0</v>
      </c>
      <c r="AR1226" s="2">
        <f t="shared" si="195"/>
        <v>0</v>
      </c>
      <c r="AS1226" s="2">
        <f t="shared" si="196"/>
        <v>0</v>
      </c>
      <c r="AT1226" s="25">
        <f t="shared" si="197"/>
        <v>0</v>
      </c>
    </row>
    <row r="1227" spans="1:46">
      <c r="A1227" s="24">
        <v>46122</v>
      </c>
      <c r="B1227" s="23">
        <f t="shared" si="189"/>
        <v>46113</v>
      </c>
      <c r="C1227" s="2" t="s">
        <v>72</v>
      </c>
      <c r="D1227" s="2" t="s">
        <v>346</v>
      </c>
      <c r="E1227" s="2">
        <v>3273</v>
      </c>
      <c r="F1227" s="2">
        <v>56</v>
      </c>
      <c r="G1227" s="2">
        <v>56</v>
      </c>
      <c r="H1227" s="2">
        <v>50</v>
      </c>
      <c r="I1227" s="2">
        <f t="shared" si="190"/>
        <v>6</v>
      </c>
      <c r="J1227" s="44" t="s">
        <v>103</v>
      </c>
      <c r="K1227" s="2">
        <v>100</v>
      </c>
      <c r="L1227" s="2">
        <v>5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1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/>
      <c r="AM1227" s="2" t="s">
        <v>103</v>
      </c>
      <c r="AN1227" s="2">
        <f t="shared" si="191"/>
        <v>5</v>
      </c>
      <c r="AO1227" s="2">
        <f t="shared" si="192"/>
        <v>1</v>
      </c>
      <c r="AP1227" s="2">
        <f t="shared" si="193"/>
        <v>0</v>
      </c>
      <c r="AQ1227" s="2">
        <f t="shared" si="194"/>
        <v>0</v>
      </c>
      <c r="AR1227" s="2">
        <f t="shared" si="195"/>
        <v>0</v>
      </c>
      <c r="AS1227" s="2">
        <f t="shared" si="196"/>
        <v>0</v>
      </c>
      <c r="AT1227" s="25">
        <f t="shared" si="197"/>
        <v>0</v>
      </c>
    </row>
    <row r="1228" spans="1:46">
      <c r="A1228" s="24">
        <v>46122</v>
      </c>
      <c r="B1228" s="23">
        <f t="shared" si="189"/>
        <v>46113</v>
      </c>
      <c r="C1228" s="2" t="s">
        <v>72</v>
      </c>
      <c r="D1228" s="2" t="s">
        <v>1447</v>
      </c>
      <c r="E1228" s="2">
        <v>3273</v>
      </c>
      <c r="F1228" s="2">
        <v>71</v>
      </c>
      <c r="G1228" s="2">
        <v>71</v>
      </c>
      <c r="H1228" s="2">
        <v>70</v>
      </c>
      <c r="I1228" s="2">
        <f t="shared" si="190"/>
        <v>1</v>
      </c>
      <c r="J1228" s="44" t="s">
        <v>103</v>
      </c>
      <c r="K1228" s="2">
        <v>100</v>
      </c>
      <c r="L1228" s="2">
        <v>1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/>
      <c r="AM1228" s="2" t="s">
        <v>103</v>
      </c>
      <c r="AN1228" s="2">
        <f t="shared" si="191"/>
        <v>1</v>
      </c>
      <c r="AO1228" s="2">
        <f t="shared" si="192"/>
        <v>0</v>
      </c>
      <c r="AP1228" s="2">
        <f t="shared" si="193"/>
        <v>0</v>
      </c>
      <c r="AQ1228" s="2">
        <f t="shared" si="194"/>
        <v>0</v>
      </c>
      <c r="AR1228" s="2">
        <f t="shared" si="195"/>
        <v>0</v>
      </c>
      <c r="AS1228" s="2">
        <f t="shared" si="196"/>
        <v>0</v>
      </c>
      <c r="AT1228" s="25">
        <f t="shared" si="197"/>
        <v>0</v>
      </c>
    </row>
    <row r="1229" spans="1:46">
      <c r="A1229" s="24">
        <v>46122</v>
      </c>
      <c r="B1229" s="23">
        <f t="shared" si="189"/>
        <v>46113</v>
      </c>
      <c r="C1229" s="2" t="s">
        <v>72</v>
      </c>
      <c r="D1229" s="2" t="s">
        <v>1447</v>
      </c>
      <c r="E1229" s="2">
        <v>3273</v>
      </c>
      <c r="F1229" s="2">
        <v>20</v>
      </c>
      <c r="G1229" s="2">
        <v>20</v>
      </c>
      <c r="H1229" s="2">
        <v>20</v>
      </c>
      <c r="I1229" s="2">
        <f t="shared" si="190"/>
        <v>0</v>
      </c>
      <c r="J1229" s="44" t="s">
        <v>103</v>
      </c>
      <c r="K1229" s="2">
        <v>100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/>
      <c r="AM1229" s="2" t="s">
        <v>103</v>
      </c>
      <c r="AN1229" s="2">
        <f t="shared" si="191"/>
        <v>0</v>
      </c>
      <c r="AO1229" s="2">
        <f t="shared" si="192"/>
        <v>0</v>
      </c>
      <c r="AP1229" s="2">
        <f t="shared" si="193"/>
        <v>0</v>
      </c>
      <c r="AQ1229" s="2">
        <f t="shared" si="194"/>
        <v>0</v>
      </c>
      <c r="AR1229" s="2">
        <f t="shared" si="195"/>
        <v>0</v>
      </c>
      <c r="AS1229" s="2">
        <f t="shared" si="196"/>
        <v>0</v>
      </c>
      <c r="AT1229" s="25">
        <f t="shared" si="197"/>
        <v>0</v>
      </c>
    </row>
    <row r="1230" spans="1:46">
      <c r="A1230" s="24">
        <v>46122</v>
      </c>
      <c r="B1230" s="23">
        <f t="shared" si="189"/>
        <v>46113</v>
      </c>
      <c r="C1230" s="2" t="s">
        <v>72</v>
      </c>
      <c r="D1230" s="2" t="s">
        <v>363</v>
      </c>
      <c r="E1230" s="2">
        <v>9315</v>
      </c>
      <c r="F1230" s="2">
        <v>81</v>
      </c>
      <c r="G1230" s="2">
        <v>81</v>
      </c>
      <c r="H1230" s="2">
        <v>68</v>
      </c>
      <c r="I1230" s="2">
        <f t="shared" si="190"/>
        <v>13</v>
      </c>
      <c r="J1230" s="44" t="s">
        <v>103</v>
      </c>
      <c r="K1230" s="2">
        <v>100</v>
      </c>
      <c r="L1230" s="2">
        <v>13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/>
      <c r="AM1230" s="2" t="s">
        <v>103</v>
      </c>
      <c r="AN1230" s="2">
        <f t="shared" si="191"/>
        <v>13</v>
      </c>
      <c r="AO1230" s="2">
        <f t="shared" si="192"/>
        <v>0</v>
      </c>
      <c r="AP1230" s="2">
        <f t="shared" si="193"/>
        <v>0</v>
      </c>
      <c r="AQ1230" s="2">
        <f t="shared" si="194"/>
        <v>0</v>
      </c>
      <c r="AR1230" s="2">
        <f t="shared" si="195"/>
        <v>0</v>
      </c>
      <c r="AS1230" s="2">
        <f t="shared" si="196"/>
        <v>0</v>
      </c>
      <c r="AT1230" s="25">
        <f t="shared" si="197"/>
        <v>0</v>
      </c>
    </row>
    <row r="1231" spans="1:46">
      <c r="A1231" s="24">
        <v>46122</v>
      </c>
      <c r="B1231" s="23">
        <f t="shared" ref="B1231:B1294" si="198">EOMONTH(A1231,-1)+1</f>
        <v>46113</v>
      </c>
      <c r="C1231" s="2" t="s">
        <v>72</v>
      </c>
      <c r="D1231" s="2" t="s">
        <v>385</v>
      </c>
      <c r="E1231" s="2">
        <v>3273</v>
      </c>
      <c r="F1231" s="2">
        <v>152</v>
      </c>
      <c r="G1231" s="2">
        <v>152</v>
      </c>
      <c r="H1231" s="2">
        <v>152</v>
      </c>
      <c r="I1231" s="2">
        <f t="shared" ref="I1231:I1294" si="199">F1231-H1231</f>
        <v>0</v>
      </c>
      <c r="J1231" s="44" t="s">
        <v>103</v>
      </c>
      <c r="K1231" s="2">
        <v>100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/>
      <c r="AM1231" s="2" t="s">
        <v>103</v>
      </c>
      <c r="AN1231" s="2">
        <f t="shared" ref="AN1231:AN1294" si="200">+L1231+AI1231</f>
        <v>0</v>
      </c>
      <c r="AO1231" s="2">
        <f t="shared" ref="AO1231:AO1294" si="201">+M1231+N1231+O1231+P1231+Q1231+R1231+S1231+T1231+U1231+V1231</f>
        <v>0</v>
      </c>
      <c r="AP1231" s="2">
        <f t="shared" ref="AP1231:AP1294" si="202">+AE1231+AF1231</f>
        <v>0</v>
      </c>
      <c r="AQ1231" s="2">
        <f t="shared" ref="AQ1231:AQ1294" si="203">+AK1231+AD1231+AC1231+AJ1231</f>
        <v>0</v>
      </c>
      <c r="AR1231" s="2">
        <f t="shared" ref="AR1231:AR1294" si="204">+W1231+X1231+Y1231+Z1231+AA1231+AB1231</f>
        <v>0</v>
      </c>
      <c r="AS1231" s="2">
        <f t="shared" ref="AS1231:AS1294" si="205">+AG1231</f>
        <v>0</v>
      </c>
      <c r="AT1231" s="25">
        <f t="shared" ref="AT1231:AT1294" si="206">+AH1231</f>
        <v>0</v>
      </c>
    </row>
    <row r="1232" spans="1:46">
      <c r="A1232" s="24">
        <v>46122</v>
      </c>
      <c r="B1232" s="23">
        <f t="shared" si="198"/>
        <v>46113</v>
      </c>
      <c r="C1232" s="2" t="s">
        <v>72</v>
      </c>
      <c r="D1232" s="2" t="s">
        <v>323</v>
      </c>
      <c r="E1232" s="2">
        <v>6265</v>
      </c>
      <c r="F1232" s="2">
        <v>55</v>
      </c>
      <c r="G1232" s="2">
        <v>55</v>
      </c>
      <c r="H1232" s="2">
        <v>55</v>
      </c>
      <c r="I1232" s="2">
        <f t="shared" si="199"/>
        <v>0</v>
      </c>
      <c r="J1232" s="44" t="s">
        <v>103</v>
      </c>
      <c r="K1232" s="2">
        <v>100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/>
      <c r="AM1232" s="2" t="s">
        <v>103</v>
      </c>
      <c r="AN1232" s="2">
        <f t="shared" si="200"/>
        <v>0</v>
      </c>
      <c r="AO1232" s="2">
        <f t="shared" si="201"/>
        <v>0</v>
      </c>
      <c r="AP1232" s="2">
        <f t="shared" si="202"/>
        <v>0</v>
      </c>
      <c r="AQ1232" s="2">
        <f t="shared" si="203"/>
        <v>0</v>
      </c>
      <c r="AR1232" s="2">
        <f t="shared" si="204"/>
        <v>0</v>
      </c>
      <c r="AS1232" s="2">
        <f t="shared" si="205"/>
        <v>0</v>
      </c>
      <c r="AT1232" s="25">
        <f t="shared" si="206"/>
        <v>0</v>
      </c>
    </row>
    <row r="1233" spans="1:46">
      <c r="A1233" s="24">
        <v>46122</v>
      </c>
      <c r="B1233" s="23">
        <f t="shared" si="198"/>
        <v>46113</v>
      </c>
      <c r="C1233" s="2" t="s">
        <v>114</v>
      </c>
      <c r="D1233" s="2" t="s">
        <v>367</v>
      </c>
      <c r="E1233" s="2">
        <v>3287</v>
      </c>
      <c r="F1233" s="2">
        <v>80</v>
      </c>
      <c r="G1233" s="2">
        <v>80</v>
      </c>
      <c r="H1233" s="2">
        <v>80</v>
      </c>
      <c r="I1233" s="2">
        <f t="shared" si="199"/>
        <v>0</v>
      </c>
      <c r="J1233" s="44" t="s">
        <v>103</v>
      </c>
      <c r="K1233" s="2">
        <v>100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/>
      <c r="AM1233" s="2" t="s">
        <v>103</v>
      </c>
      <c r="AN1233" s="2">
        <f t="shared" si="200"/>
        <v>0</v>
      </c>
      <c r="AO1233" s="2">
        <f t="shared" si="201"/>
        <v>0</v>
      </c>
      <c r="AP1233" s="2">
        <f t="shared" si="202"/>
        <v>0</v>
      </c>
      <c r="AQ1233" s="2">
        <f t="shared" si="203"/>
        <v>0</v>
      </c>
      <c r="AR1233" s="2">
        <f t="shared" si="204"/>
        <v>0</v>
      </c>
      <c r="AS1233" s="2">
        <f t="shared" si="205"/>
        <v>0</v>
      </c>
      <c r="AT1233" s="25">
        <f t="shared" si="206"/>
        <v>0</v>
      </c>
    </row>
    <row r="1234" spans="1:46">
      <c r="A1234" s="24">
        <v>46122</v>
      </c>
      <c r="B1234" s="23">
        <f t="shared" si="198"/>
        <v>46113</v>
      </c>
      <c r="C1234" s="2" t="s">
        <v>1484</v>
      </c>
      <c r="D1234" s="2" t="s">
        <v>54</v>
      </c>
      <c r="E1234" s="2">
        <v>1774</v>
      </c>
      <c r="F1234" s="2">
        <v>199</v>
      </c>
      <c r="G1234" s="2">
        <v>199</v>
      </c>
      <c r="H1234" s="2">
        <v>195</v>
      </c>
      <c r="I1234" s="2">
        <f t="shared" si="199"/>
        <v>4</v>
      </c>
      <c r="J1234" s="44" t="s">
        <v>103</v>
      </c>
      <c r="K1234" s="2">
        <v>100</v>
      </c>
      <c r="L1234" s="2">
        <v>1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3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/>
      <c r="AM1234" s="2" t="s">
        <v>103</v>
      </c>
      <c r="AN1234" s="2">
        <f t="shared" si="200"/>
        <v>1</v>
      </c>
      <c r="AO1234" s="2">
        <f t="shared" si="201"/>
        <v>3</v>
      </c>
      <c r="AP1234" s="2">
        <f t="shared" si="202"/>
        <v>0</v>
      </c>
      <c r="AQ1234" s="2">
        <f t="shared" si="203"/>
        <v>0</v>
      </c>
      <c r="AR1234" s="2">
        <f t="shared" si="204"/>
        <v>0</v>
      </c>
      <c r="AS1234" s="2">
        <f t="shared" si="205"/>
        <v>0</v>
      </c>
      <c r="AT1234" s="25">
        <f t="shared" si="206"/>
        <v>0</v>
      </c>
    </row>
    <row r="1235" spans="1:46">
      <c r="A1235" s="24">
        <v>46122</v>
      </c>
      <c r="B1235" s="23">
        <f t="shared" si="198"/>
        <v>46113</v>
      </c>
      <c r="C1235" s="2" t="s">
        <v>160</v>
      </c>
      <c r="D1235" s="2" t="s">
        <v>355</v>
      </c>
      <c r="E1235" s="2">
        <v>1474</v>
      </c>
      <c r="F1235" s="2">
        <v>68</v>
      </c>
      <c r="G1235" s="2">
        <v>68</v>
      </c>
      <c r="H1235" s="2">
        <v>65</v>
      </c>
      <c r="I1235" s="2">
        <f t="shared" si="199"/>
        <v>3</v>
      </c>
      <c r="J1235" s="44" t="s">
        <v>93</v>
      </c>
      <c r="K1235" s="2">
        <v>100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2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1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/>
      <c r="AM1235" s="2" t="s">
        <v>93</v>
      </c>
      <c r="AN1235" s="2">
        <f t="shared" si="200"/>
        <v>0</v>
      </c>
      <c r="AO1235" s="2">
        <f t="shared" si="201"/>
        <v>2</v>
      </c>
      <c r="AP1235" s="2">
        <f t="shared" si="202"/>
        <v>0</v>
      </c>
      <c r="AQ1235" s="2">
        <f t="shared" si="203"/>
        <v>1</v>
      </c>
      <c r="AR1235" s="2">
        <f t="shared" si="204"/>
        <v>0</v>
      </c>
      <c r="AS1235" s="2">
        <f t="shared" si="205"/>
        <v>0</v>
      </c>
      <c r="AT1235" s="25">
        <f t="shared" si="206"/>
        <v>0</v>
      </c>
    </row>
    <row r="1236" spans="1:46">
      <c r="A1236" s="24">
        <v>46122</v>
      </c>
      <c r="B1236" s="23">
        <f t="shared" si="198"/>
        <v>46113</v>
      </c>
      <c r="C1236" s="2" t="s">
        <v>160</v>
      </c>
      <c r="D1236" s="2" t="s">
        <v>355</v>
      </c>
      <c r="E1236" s="2">
        <v>1474</v>
      </c>
      <c r="F1236" s="2">
        <v>20</v>
      </c>
      <c r="G1236" s="2">
        <v>20</v>
      </c>
      <c r="H1236" s="2">
        <v>20</v>
      </c>
      <c r="I1236" s="2">
        <f t="shared" si="199"/>
        <v>0</v>
      </c>
      <c r="J1236" s="44" t="s">
        <v>93</v>
      </c>
      <c r="K1236" s="2">
        <v>100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/>
      <c r="AM1236" s="2" t="s">
        <v>93</v>
      </c>
      <c r="AN1236" s="2">
        <f t="shared" si="200"/>
        <v>0</v>
      </c>
      <c r="AO1236" s="2">
        <f t="shared" si="201"/>
        <v>0</v>
      </c>
      <c r="AP1236" s="2">
        <f t="shared" si="202"/>
        <v>0</v>
      </c>
      <c r="AQ1236" s="2">
        <f t="shared" si="203"/>
        <v>0</v>
      </c>
      <c r="AR1236" s="2">
        <f t="shared" si="204"/>
        <v>0</v>
      </c>
      <c r="AS1236" s="2">
        <f t="shared" si="205"/>
        <v>0</v>
      </c>
      <c r="AT1236" s="25">
        <f t="shared" si="206"/>
        <v>0</v>
      </c>
    </row>
    <row r="1237" spans="1:46">
      <c r="A1237" s="24">
        <v>46122</v>
      </c>
      <c r="B1237" s="23">
        <f t="shared" si="198"/>
        <v>46113</v>
      </c>
      <c r="C1237" s="2" t="s">
        <v>82</v>
      </c>
      <c r="D1237" s="2" t="s">
        <v>259</v>
      </c>
      <c r="E1237" s="2">
        <v>3317</v>
      </c>
      <c r="F1237" s="2">
        <v>42</v>
      </c>
      <c r="G1237" s="2">
        <v>42</v>
      </c>
      <c r="H1237" s="2">
        <v>42</v>
      </c>
      <c r="I1237" s="2">
        <f t="shared" si="199"/>
        <v>0</v>
      </c>
      <c r="J1237" s="44" t="s">
        <v>93</v>
      </c>
      <c r="K1237" s="2">
        <v>100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/>
      <c r="AM1237" s="2" t="s">
        <v>93</v>
      </c>
      <c r="AN1237" s="2">
        <f t="shared" si="200"/>
        <v>0</v>
      </c>
      <c r="AO1237" s="2">
        <f t="shared" si="201"/>
        <v>0</v>
      </c>
      <c r="AP1237" s="2">
        <f t="shared" si="202"/>
        <v>0</v>
      </c>
      <c r="AQ1237" s="2">
        <f t="shared" si="203"/>
        <v>0</v>
      </c>
      <c r="AR1237" s="2">
        <f t="shared" si="204"/>
        <v>0</v>
      </c>
      <c r="AS1237" s="2">
        <f t="shared" si="205"/>
        <v>0</v>
      </c>
      <c r="AT1237" s="25">
        <f t="shared" si="206"/>
        <v>0</v>
      </c>
    </row>
    <row r="1238" spans="1:46">
      <c r="A1238" s="24">
        <v>46122</v>
      </c>
      <c r="B1238" s="23">
        <f t="shared" si="198"/>
        <v>46113</v>
      </c>
      <c r="C1238" s="2" t="s">
        <v>63</v>
      </c>
      <c r="D1238" s="2" t="s">
        <v>148</v>
      </c>
      <c r="E1238" s="2">
        <v>77031</v>
      </c>
      <c r="F1238" s="2">
        <v>50</v>
      </c>
      <c r="G1238" s="2">
        <v>50</v>
      </c>
      <c r="H1238" s="2">
        <v>48</v>
      </c>
      <c r="I1238" s="2">
        <f t="shared" si="199"/>
        <v>2</v>
      </c>
      <c r="J1238" s="44" t="s">
        <v>1568</v>
      </c>
      <c r="K1238" s="2">
        <v>100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1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1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/>
      <c r="AM1238" s="2" t="s">
        <v>1568</v>
      </c>
      <c r="AN1238" s="2">
        <f t="shared" si="200"/>
        <v>0</v>
      </c>
      <c r="AO1238" s="2">
        <f t="shared" si="201"/>
        <v>1</v>
      </c>
      <c r="AP1238" s="2">
        <f t="shared" si="202"/>
        <v>1</v>
      </c>
      <c r="AQ1238" s="2">
        <f t="shared" si="203"/>
        <v>0</v>
      </c>
      <c r="AR1238" s="2">
        <f t="shared" si="204"/>
        <v>0</v>
      </c>
      <c r="AS1238" s="2">
        <f t="shared" si="205"/>
        <v>0</v>
      </c>
      <c r="AT1238" s="25">
        <f t="shared" si="206"/>
        <v>0</v>
      </c>
    </row>
    <row r="1239" spans="1:46">
      <c r="A1239" s="24">
        <v>46122</v>
      </c>
      <c r="B1239" s="23">
        <f t="shared" si="198"/>
        <v>46113</v>
      </c>
      <c r="C1239" s="2" t="s">
        <v>63</v>
      </c>
      <c r="D1239" s="2" t="s">
        <v>274</v>
      </c>
      <c r="E1239" s="2">
        <v>8919</v>
      </c>
      <c r="F1239" s="2">
        <v>42</v>
      </c>
      <c r="G1239" s="2">
        <v>42</v>
      </c>
      <c r="H1239" s="2">
        <v>36</v>
      </c>
      <c r="I1239" s="2">
        <f t="shared" si="199"/>
        <v>6</v>
      </c>
      <c r="J1239" s="44" t="s">
        <v>1568</v>
      </c>
      <c r="K1239" s="2">
        <v>100</v>
      </c>
      <c r="L1239" s="2">
        <v>1</v>
      </c>
      <c r="M1239" s="2">
        <v>5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/>
      <c r="AM1239" s="2" t="s">
        <v>1568</v>
      </c>
      <c r="AN1239" s="2">
        <f t="shared" si="200"/>
        <v>1</v>
      </c>
      <c r="AO1239" s="2">
        <f t="shared" si="201"/>
        <v>5</v>
      </c>
      <c r="AP1239" s="2">
        <f t="shared" si="202"/>
        <v>0</v>
      </c>
      <c r="AQ1239" s="2">
        <f t="shared" si="203"/>
        <v>0</v>
      </c>
      <c r="AR1239" s="2">
        <f t="shared" si="204"/>
        <v>0</v>
      </c>
      <c r="AS1239" s="2">
        <f t="shared" si="205"/>
        <v>0</v>
      </c>
      <c r="AT1239" s="25">
        <f t="shared" si="206"/>
        <v>0</v>
      </c>
    </row>
    <row r="1240" spans="1:46">
      <c r="A1240" s="24">
        <v>46122</v>
      </c>
      <c r="B1240" s="23">
        <f t="shared" si="198"/>
        <v>46113</v>
      </c>
      <c r="C1240" s="2" t="s">
        <v>1484</v>
      </c>
      <c r="D1240" s="2" t="s">
        <v>54</v>
      </c>
      <c r="E1240" s="2">
        <v>1774</v>
      </c>
      <c r="F1240" s="2">
        <v>115</v>
      </c>
      <c r="G1240" s="2">
        <v>115</v>
      </c>
      <c r="H1240" s="2">
        <v>115</v>
      </c>
      <c r="I1240" s="2">
        <f t="shared" si="199"/>
        <v>0</v>
      </c>
      <c r="J1240" s="44" t="s">
        <v>1566</v>
      </c>
      <c r="K1240" s="2">
        <v>100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/>
      <c r="AM1240" s="2" t="s">
        <v>1566</v>
      </c>
      <c r="AN1240" s="2">
        <f t="shared" si="200"/>
        <v>0</v>
      </c>
      <c r="AO1240" s="2">
        <f t="shared" si="201"/>
        <v>0</v>
      </c>
      <c r="AP1240" s="2">
        <f t="shared" si="202"/>
        <v>0</v>
      </c>
      <c r="AQ1240" s="2">
        <f t="shared" si="203"/>
        <v>0</v>
      </c>
      <c r="AR1240" s="2">
        <f t="shared" si="204"/>
        <v>0</v>
      </c>
      <c r="AS1240" s="2">
        <f t="shared" si="205"/>
        <v>0</v>
      </c>
      <c r="AT1240" s="25">
        <f t="shared" si="206"/>
        <v>0</v>
      </c>
    </row>
    <row r="1241" spans="1:46">
      <c r="A1241" s="24">
        <v>46122</v>
      </c>
      <c r="B1241" s="23">
        <f t="shared" si="198"/>
        <v>46113</v>
      </c>
      <c r="C1241" s="2" t="s">
        <v>55</v>
      </c>
      <c r="D1241" s="2" t="s">
        <v>1395</v>
      </c>
      <c r="E1241" s="2">
        <v>8193</v>
      </c>
      <c r="F1241" s="2">
        <v>20</v>
      </c>
      <c r="G1241" s="2">
        <v>20</v>
      </c>
      <c r="H1241" s="2">
        <v>20</v>
      </c>
      <c r="I1241" s="2">
        <f t="shared" si="199"/>
        <v>0</v>
      </c>
      <c r="J1241" s="44" t="s">
        <v>1566</v>
      </c>
      <c r="K1241" s="2">
        <v>100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/>
      <c r="AM1241" s="2" t="s">
        <v>1566</v>
      </c>
      <c r="AN1241" s="2">
        <f t="shared" si="200"/>
        <v>0</v>
      </c>
      <c r="AO1241" s="2">
        <f t="shared" si="201"/>
        <v>0</v>
      </c>
      <c r="AP1241" s="2">
        <f t="shared" si="202"/>
        <v>0</v>
      </c>
      <c r="AQ1241" s="2">
        <f t="shared" si="203"/>
        <v>0</v>
      </c>
      <c r="AR1241" s="2">
        <f t="shared" si="204"/>
        <v>0</v>
      </c>
      <c r="AS1241" s="2">
        <f t="shared" si="205"/>
        <v>0</v>
      </c>
      <c r="AT1241" s="25">
        <f t="shared" si="206"/>
        <v>0</v>
      </c>
    </row>
    <row r="1242" spans="1:46">
      <c r="A1242" s="24">
        <v>46122</v>
      </c>
      <c r="B1242" s="23">
        <f t="shared" si="198"/>
        <v>46113</v>
      </c>
      <c r="C1242" s="2" t="s">
        <v>55</v>
      </c>
      <c r="D1242" s="2" t="s">
        <v>332</v>
      </c>
      <c r="E1242" s="2">
        <v>2594</v>
      </c>
      <c r="F1242" s="2">
        <v>18</v>
      </c>
      <c r="G1242" s="2">
        <v>18</v>
      </c>
      <c r="H1242" s="2">
        <v>17</v>
      </c>
      <c r="I1242" s="2">
        <f t="shared" si="199"/>
        <v>1</v>
      </c>
      <c r="J1242" s="44" t="s">
        <v>1566</v>
      </c>
      <c r="K1242" s="2">
        <v>100</v>
      </c>
      <c r="L1242" s="2">
        <v>1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/>
      <c r="AM1242" s="2" t="s">
        <v>1566</v>
      </c>
      <c r="AN1242" s="2">
        <f t="shared" si="200"/>
        <v>1</v>
      </c>
      <c r="AO1242" s="2">
        <f t="shared" si="201"/>
        <v>0</v>
      </c>
      <c r="AP1242" s="2">
        <f t="shared" si="202"/>
        <v>0</v>
      </c>
      <c r="AQ1242" s="2">
        <f t="shared" si="203"/>
        <v>0</v>
      </c>
      <c r="AR1242" s="2">
        <f t="shared" si="204"/>
        <v>0</v>
      </c>
      <c r="AS1242" s="2">
        <f t="shared" si="205"/>
        <v>0</v>
      </c>
      <c r="AT1242" s="25">
        <f t="shared" si="206"/>
        <v>0</v>
      </c>
    </row>
    <row r="1243" spans="1:46">
      <c r="A1243" s="24">
        <v>46122</v>
      </c>
      <c r="B1243" s="23">
        <f t="shared" si="198"/>
        <v>46113</v>
      </c>
      <c r="C1243" s="2" t="s">
        <v>55</v>
      </c>
      <c r="D1243" s="2" t="s">
        <v>357</v>
      </c>
      <c r="E1243" s="2">
        <v>7078</v>
      </c>
      <c r="F1243" s="2">
        <v>102</v>
      </c>
      <c r="G1243" s="2">
        <v>102</v>
      </c>
      <c r="H1243" s="2">
        <v>48</v>
      </c>
      <c r="I1243" s="2">
        <f t="shared" si="199"/>
        <v>54</v>
      </c>
      <c r="J1243" s="44" t="s">
        <v>1566</v>
      </c>
      <c r="K1243" s="2">
        <v>100</v>
      </c>
      <c r="L1243" s="2">
        <v>14</v>
      </c>
      <c r="M1243" s="2">
        <v>0</v>
      </c>
      <c r="N1243" s="2">
        <v>0</v>
      </c>
      <c r="O1243" s="2">
        <v>0</v>
      </c>
      <c r="P1243" s="2">
        <v>40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/>
      <c r="AM1243" s="2" t="s">
        <v>1566</v>
      </c>
      <c r="AN1243" s="2">
        <f t="shared" si="200"/>
        <v>14</v>
      </c>
      <c r="AO1243" s="2">
        <f t="shared" si="201"/>
        <v>40</v>
      </c>
      <c r="AP1243" s="2">
        <f t="shared" si="202"/>
        <v>0</v>
      </c>
      <c r="AQ1243" s="2">
        <f t="shared" si="203"/>
        <v>0</v>
      </c>
      <c r="AR1243" s="2">
        <f t="shared" si="204"/>
        <v>0</v>
      </c>
      <c r="AS1243" s="2">
        <f t="shared" si="205"/>
        <v>0</v>
      </c>
      <c r="AT1243" s="25">
        <f t="shared" si="206"/>
        <v>0</v>
      </c>
    </row>
    <row r="1244" spans="1:46">
      <c r="A1244" s="24">
        <v>46122</v>
      </c>
      <c r="B1244" s="23">
        <f t="shared" si="198"/>
        <v>46113</v>
      </c>
      <c r="C1244" s="2" t="s">
        <v>55</v>
      </c>
      <c r="D1244" s="2" t="s">
        <v>352</v>
      </c>
      <c r="E1244" s="2">
        <v>7078</v>
      </c>
      <c r="F1244" s="2">
        <v>268</v>
      </c>
      <c r="G1244" s="2">
        <v>268</v>
      </c>
      <c r="H1244" s="2">
        <v>245</v>
      </c>
      <c r="I1244" s="2">
        <f t="shared" si="199"/>
        <v>23</v>
      </c>
      <c r="J1244" s="44" t="s">
        <v>1566</v>
      </c>
      <c r="K1244" s="2">
        <v>100</v>
      </c>
      <c r="L1244" s="2">
        <v>10</v>
      </c>
      <c r="M1244" s="2">
        <v>0</v>
      </c>
      <c r="N1244" s="2">
        <v>0</v>
      </c>
      <c r="O1244" s="2">
        <v>0</v>
      </c>
      <c r="P1244" s="2">
        <v>13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/>
      <c r="AM1244" s="2" t="s">
        <v>1566</v>
      </c>
      <c r="AN1244" s="2">
        <f t="shared" si="200"/>
        <v>10</v>
      </c>
      <c r="AO1244" s="2">
        <f t="shared" si="201"/>
        <v>13</v>
      </c>
      <c r="AP1244" s="2">
        <f t="shared" si="202"/>
        <v>0</v>
      </c>
      <c r="AQ1244" s="2">
        <f t="shared" si="203"/>
        <v>0</v>
      </c>
      <c r="AR1244" s="2">
        <f t="shared" si="204"/>
        <v>0</v>
      </c>
      <c r="AS1244" s="2">
        <f t="shared" si="205"/>
        <v>0</v>
      </c>
      <c r="AT1244" s="25">
        <f t="shared" si="206"/>
        <v>0</v>
      </c>
    </row>
    <row r="1245" spans="1:46">
      <c r="A1245" s="24">
        <v>46122</v>
      </c>
      <c r="B1245" s="23">
        <f t="shared" si="198"/>
        <v>46113</v>
      </c>
      <c r="C1245" s="2" t="s">
        <v>55</v>
      </c>
      <c r="D1245" s="2" t="s">
        <v>1394</v>
      </c>
      <c r="E1245" s="2">
        <v>2601</v>
      </c>
      <c r="F1245" s="2">
        <v>29</v>
      </c>
      <c r="G1245" s="2">
        <v>29</v>
      </c>
      <c r="H1245" s="2">
        <v>27</v>
      </c>
      <c r="I1245" s="2">
        <f t="shared" si="199"/>
        <v>2</v>
      </c>
      <c r="J1245" s="44" t="s">
        <v>1566</v>
      </c>
      <c r="K1245" s="2">
        <v>100</v>
      </c>
      <c r="L1245" s="2">
        <v>2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/>
      <c r="AM1245" s="2" t="s">
        <v>1566</v>
      </c>
      <c r="AN1245" s="2">
        <f t="shared" si="200"/>
        <v>2</v>
      </c>
      <c r="AO1245" s="2">
        <f t="shared" si="201"/>
        <v>0</v>
      </c>
      <c r="AP1245" s="2">
        <f t="shared" si="202"/>
        <v>0</v>
      </c>
      <c r="AQ1245" s="2">
        <f t="shared" si="203"/>
        <v>0</v>
      </c>
      <c r="AR1245" s="2">
        <f t="shared" si="204"/>
        <v>0</v>
      </c>
      <c r="AS1245" s="2">
        <f t="shared" si="205"/>
        <v>0</v>
      </c>
      <c r="AT1245" s="25">
        <f t="shared" si="206"/>
        <v>0</v>
      </c>
    </row>
    <row r="1246" spans="1:46">
      <c r="A1246" s="24">
        <v>46122</v>
      </c>
      <c r="B1246" s="23">
        <f t="shared" si="198"/>
        <v>46113</v>
      </c>
      <c r="C1246" s="2" t="s">
        <v>95</v>
      </c>
      <c r="D1246" s="2" t="s">
        <v>360</v>
      </c>
      <c r="E1246" s="2">
        <v>90024</v>
      </c>
      <c r="F1246" s="2">
        <v>103</v>
      </c>
      <c r="G1246" s="2">
        <v>103</v>
      </c>
      <c r="H1246" s="2">
        <v>96</v>
      </c>
      <c r="I1246" s="2">
        <f t="shared" si="199"/>
        <v>7</v>
      </c>
      <c r="J1246" s="44" t="s">
        <v>1567</v>
      </c>
      <c r="K1246" s="2">
        <v>100</v>
      </c>
      <c r="L1246" s="2">
        <v>7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/>
      <c r="AM1246" s="2" t="s">
        <v>1567</v>
      </c>
      <c r="AN1246" s="2">
        <f t="shared" si="200"/>
        <v>7</v>
      </c>
      <c r="AO1246" s="2">
        <f t="shared" si="201"/>
        <v>0</v>
      </c>
      <c r="AP1246" s="2">
        <f t="shared" si="202"/>
        <v>0</v>
      </c>
      <c r="AQ1246" s="2">
        <f t="shared" si="203"/>
        <v>0</v>
      </c>
      <c r="AR1246" s="2">
        <f t="shared" si="204"/>
        <v>0</v>
      </c>
      <c r="AS1246" s="2">
        <f t="shared" si="205"/>
        <v>0</v>
      </c>
      <c r="AT1246" s="25">
        <f t="shared" si="206"/>
        <v>0</v>
      </c>
    </row>
    <row r="1247" spans="1:46">
      <c r="A1247" s="24">
        <v>46122</v>
      </c>
      <c r="B1247" s="23">
        <f t="shared" si="198"/>
        <v>46113</v>
      </c>
      <c r="C1247" s="2" t="s">
        <v>46</v>
      </c>
      <c r="D1247" s="2" t="s">
        <v>300</v>
      </c>
      <c r="E1247" s="2">
        <v>3222</v>
      </c>
      <c r="F1247" s="2">
        <v>29</v>
      </c>
      <c r="G1247" s="2">
        <v>29</v>
      </c>
      <c r="H1247" s="2">
        <v>29</v>
      </c>
      <c r="I1247" s="2">
        <f t="shared" si="199"/>
        <v>0</v>
      </c>
      <c r="J1247" s="44" t="s">
        <v>1567</v>
      </c>
      <c r="K1247" s="2">
        <v>100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/>
      <c r="AM1247" s="2" t="s">
        <v>1567</v>
      </c>
      <c r="AN1247" s="2">
        <f t="shared" si="200"/>
        <v>0</v>
      </c>
      <c r="AO1247" s="2">
        <f t="shared" si="201"/>
        <v>0</v>
      </c>
      <c r="AP1247" s="2">
        <f t="shared" si="202"/>
        <v>0</v>
      </c>
      <c r="AQ1247" s="2">
        <f t="shared" si="203"/>
        <v>0</v>
      </c>
      <c r="AR1247" s="2">
        <f t="shared" si="204"/>
        <v>0</v>
      </c>
      <c r="AS1247" s="2">
        <f t="shared" si="205"/>
        <v>0</v>
      </c>
      <c r="AT1247" s="25">
        <f t="shared" si="206"/>
        <v>0</v>
      </c>
    </row>
    <row r="1248" spans="1:46">
      <c r="A1248" s="24">
        <v>46122</v>
      </c>
      <c r="B1248" s="23">
        <f t="shared" si="198"/>
        <v>46113</v>
      </c>
      <c r="C1248" s="2" t="s">
        <v>95</v>
      </c>
      <c r="D1248" s="2" t="s">
        <v>1211</v>
      </c>
      <c r="E1248" s="2">
        <v>8111</v>
      </c>
      <c r="F1248" s="2">
        <v>32</v>
      </c>
      <c r="G1248" s="2">
        <v>32</v>
      </c>
      <c r="H1248" s="2">
        <v>32</v>
      </c>
      <c r="I1248" s="2">
        <f t="shared" si="199"/>
        <v>0</v>
      </c>
      <c r="J1248" s="44" t="s">
        <v>1567</v>
      </c>
      <c r="K1248" s="2">
        <v>100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/>
      <c r="AM1248" s="2" t="s">
        <v>1567</v>
      </c>
      <c r="AN1248" s="2">
        <f t="shared" si="200"/>
        <v>0</v>
      </c>
      <c r="AO1248" s="2">
        <f t="shared" si="201"/>
        <v>0</v>
      </c>
      <c r="AP1248" s="2">
        <f t="shared" si="202"/>
        <v>0</v>
      </c>
      <c r="AQ1248" s="2">
        <f t="shared" si="203"/>
        <v>0</v>
      </c>
      <c r="AR1248" s="2">
        <f t="shared" si="204"/>
        <v>0</v>
      </c>
      <c r="AS1248" s="2">
        <f t="shared" si="205"/>
        <v>0</v>
      </c>
      <c r="AT1248" s="25">
        <f t="shared" si="206"/>
        <v>0</v>
      </c>
    </row>
    <row r="1249" spans="1:46">
      <c r="A1249" s="24">
        <v>46122</v>
      </c>
      <c r="B1249" s="23">
        <f t="shared" si="198"/>
        <v>46113</v>
      </c>
      <c r="C1249" s="2" t="s">
        <v>46</v>
      </c>
      <c r="D1249" s="2" t="s">
        <v>391</v>
      </c>
      <c r="E1249" s="2">
        <v>3277</v>
      </c>
      <c r="F1249" s="2">
        <v>2</v>
      </c>
      <c r="G1249" s="2">
        <v>2</v>
      </c>
      <c r="H1249" s="2">
        <v>2</v>
      </c>
      <c r="I1249" s="2">
        <f t="shared" si="199"/>
        <v>0</v>
      </c>
      <c r="J1249" s="44" t="s">
        <v>1567</v>
      </c>
      <c r="K1249" s="2">
        <v>100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/>
      <c r="AM1249" s="2" t="s">
        <v>1567</v>
      </c>
      <c r="AN1249" s="2">
        <f t="shared" si="200"/>
        <v>0</v>
      </c>
      <c r="AO1249" s="2">
        <f t="shared" si="201"/>
        <v>0</v>
      </c>
      <c r="AP1249" s="2">
        <f t="shared" si="202"/>
        <v>0</v>
      </c>
      <c r="AQ1249" s="2">
        <f t="shared" si="203"/>
        <v>0</v>
      </c>
      <c r="AR1249" s="2">
        <f t="shared" si="204"/>
        <v>0</v>
      </c>
      <c r="AS1249" s="2">
        <f t="shared" si="205"/>
        <v>0</v>
      </c>
      <c r="AT1249" s="25">
        <f t="shared" si="206"/>
        <v>0</v>
      </c>
    </row>
    <row r="1250" spans="1:46">
      <c r="A1250" s="24">
        <v>46122</v>
      </c>
      <c r="B1250" s="23">
        <f t="shared" si="198"/>
        <v>46113</v>
      </c>
      <c r="C1250" s="2" t="s">
        <v>95</v>
      </c>
      <c r="D1250" s="2" t="s">
        <v>1229</v>
      </c>
      <c r="E1250" s="2">
        <v>1478</v>
      </c>
      <c r="F1250" s="2">
        <v>42</v>
      </c>
      <c r="G1250" s="2">
        <v>42</v>
      </c>
      <c r="H1250" s="2">
        <v>40</v>
      </c>
      <c r="I1250" s="2">
        <f t="shared" si="199"/>
        <v>2</v>
      </c>
      <c r="J1250" s="44" t="s">
        <v>1567</v>
      </c>
      <c r="K1250" s="2">
        <v>100</v>
      </c>
      <c r="L1250" s="2">
        <v>2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/>
      <c r="AM1250" s="2" t="s">
        <v>1567</v>
      </c>
      <c r="AN1250" s="2">
        <f t="shared" si="200"/>
        <v>2</v>
      </c>
      <c r="AO1250" s="2">
        <f t="shared" si="201"/>
        <v>0</v>
      </c>
      <c r="AP1250" s="2">
        <f t="shared" si="202"/>
        <v>0</v>
      </c>
      <c r="AQ1250" s="2">
        <f t="shared" si="203"/>
        <v>0</v>
      </c>
      <c r="AR1250" s="2">
        <f t="shared" si="204"/>
        <v>0</v>
      </c>
      <c r="AS1250" s="2">
        <f t="shared" si="205"/>
        <v>0</v>
      </c>
      <c r="AT1250" s="25">
        <f t="shared" si="206"/>
        <v>0</v>
      </c>
    </row>
    <row r="1251" spans="1:46">
      <c r="A1251" s="24">
        <v>46122</v>
      </c>
      <c r="B1251" s="23">
        <f t="shared" si="198"/>
        <v>46113</v>
      </c>
      <c r="C1251" s="2" t="s">
        <v>46</v>
      </c>
      <c r="D1251" s="2" t="s">
        <v>1445</v>
      </c>
      <c r="E1251" s="2">
        <v>6207</v>
      </c>
      <c r="F1251" s="2">
        <v>35</v>
      </c>
      <c r="G1251" s="2">
        <v>35</v>
      </c>
      <c r="H1251" s="2">
        <v>34</v>
      </c>
      <c r="I1251" s="2">
        <f t="shared" si="199"/>
        <v>1</v>
      </c>
      <c r="J1251" s="44" t="s">
        <v>1567</v>
      </c>
      <c r="K1251" s="2">
        <v>100</v>
      </c>
      <c r="L1251" s="2">
        <v>1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/>
      <c r="AM1251" s="2" t="s">
        <v>1567</v>
      </c>
      <c r="AN1251" s="2">
        <f t="shared" si="200"/>
        <v>1</v>
      </c>
      <c r="AO1251" s="2">
        <f t="shared" si="201"/>
        <v>0</v>
      </c>
      <c r="AP1251" s="2">
        <f t="shared" si="202"/>
        <v>0</v>
      </c>
      <c r="AQ1251" s="2">
        <f t="shared" si="203"/>
        <v>0</v>
      </c>
      <c r="AR1251" s="2">
        <f t="shared" si="204"/>
        <v>0</v>
      </c>
      <c r="AS1251" s="2">
        <f t="shared" si="205"/>
        <v>0</v>
      </c>
      <c r="AT1251" s="25">
        <f t="shared" si="206"/>
        <v>0</v>
      </c>
    </row>
    <row r="1252" spans="1:46">
      <c r="A1252" s="24">
        <v>46122</v>
      </c>
      <c r="B1252" s="23">
        <f t="shared" si="198"/>
        <v>46113</v>
      </c>
      <c r="C1252" s="2" t="s">
        <v>46</v>
      </c>
      <c r="D1252" s="2" t="s">
        <v>330</v>
      </c>
      <c r="E1252" s="2">
        <v>6285</v>
      </c>
      <c r="F1252" s="2">
        <v>108</v>
      </c>
      <c r="G1252" s="2">
        <v>108</v>
      </c>
      <c r="H1252" s="2">
        <v>108</v>
      </c>
      <c r="I1252" s="2">
        <f t="shared" si="199"/>
        <v>0</v>
      </c>
      <c r="J1252" s="44" t="s">
        <v>1567</v>
      </c>
      <c r="K1252" s="2">
        <v>100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/>
      <c r="AM1252" s="2" t="s">
        <v>1567</v>
      </c>
      <c r="AN1252" s="2">
        <f t="shared" si="200"/>
        <v>0</v>
      </c>
      <c r="AO1252" s="2">
        <f t="shared" si="201"/>
        <v>0</v>
      </c>
      <c r="AP1252" s="2">
        <f t="shared" si="202"/>
        <v>0</v>
      </c>
      <c r="AQ1252" s="2">
        <f t="shared" si="203"/>
        <v>0</v>
      </c>
      <c r="AR1252" s="2">
        <f t="shared" si="204"/>
        <v>0</v>
      </c>
      <c r="AS1252" s="2">
        <f t="shared" si="205"/>
        <v>0</v>
      </c>
      <c r="AT1252" s="25">
        <f t="shared" si="206"/>
        <v>0</v>
      </c>
    </row>
    <row r="1253" spans="1:46">
      <c r="A1253" s="24">
        <v>46122</v>
      </c>
      <c r="B1253" s="23">
        <f t="shared" si="198"/>
        <v>46113</v>
      </c>
      <c r="C1253" s="2" t="s">
        <v>46</v>
      </c>
      <c r="D1253" s="2" t="s">
        <v>1211</v>
      </c>
      <c r="E1253" s="2">
        <v>8111</v>
      </c>
      <c r="F1253" s="2">
        <v>120</v>
      </c>
      <c r="G1253" s="2">
        <v>120</v>
      </c>
      <c r="H1253" s="2">
        <v>120</v>
      </c>
      <c r="I1253" s="2">
        <f t="shared" si="199"/>
        <v>0</v>
      </c>
      <c r="J1253" s="44" t="s">
        <v>1567</v>
      </c>
      <c r="K1253" s="2">
        <v>100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/>
      <c r="AM1253" s="2" t="s">
        <v>1567</v>
      </c>
      <c r="AN1253" s="2">
        <f t="shared" si="200"/>
        <v>0</v>
      </c>
      <c r="AO1253" s="2">
        <f t="shared" si="201"/>
        <v>0</v>
      </c>
      <c r="AP1253" s="2">
        <f t="shared" si="202"/>
        <v>0</v>
      </c>
      <c r="AQ1253" s="2">
        <f t="shared" si="203"/>
        <v>0</v>
      </c>
      <c r="AR1253" s="2">
        <f t="shared" si="204"/>
        <v>0</v>
      </c>
      <c r="AS1253" s="2">
        <f t="shared" si="205"/>
        <v>0</v>
      </c>
      <c r="AT1253" s="25">
        <f t="shared" si="206"/>
        <v>0</v>
      </c>
    </row>
    <row r="1254" spans="1:46">
      <c r="A1254" s="24">
        <v>46122</v>
      </c>
      <c r="B1254" s="23">
        <f t="shared" si="198"/>
        <v>46113</v>
      </c>
      <c r="C1254" s="2" t="s">
        <v>46</v>
      </c>
      <c r="D1254" s="2" t="s">
        <v>129</v>
      </c>
      <c r="E1254" s="2">
        <v>1713</v>
      </c>
      <c r="F1254" s="2">
        <v>37</v>
      </c>
      <c r="G1254" s="2">
        <v>37</v>
      </c>
      <c r="H1254" s="2">
        <v>36</v>
      </c>
      <c r="I1254" s="2">
        <f t="shared" si="199"/>
        <v>1</v>
      </c>
      <c r="J1254" s="44" t="s">
        <v>1567</v>
      </c>
      <c r="K1254" s="2">
        <v>100</v>
      </c>
      <c r="L1254" s="2">
        <v>1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/>
      <c r="AM1254" s="2" t="s">
        <v>1567</v>
      </c>
      <c r="AN1254" s="2">
        <f t="shared" si="200"/>
        <v>1</v>
      </c>
      <c r="AO1254" s="2">
        <f t="shared" si="201"/>
        <v>0</v>
      </c>
      <c r="AP1254" s="2">
        <f t="shared" si="202"/>
        <v>0</v>
      </c>
      <c r="AQ1254" s="2">
        <f t="shared" si="203"/>
        <v>0</v>
      </c>
      <c r="AR1254" s="2">
        <f t="shared" si="204"/>
        <v>0</v>
      </c>
      <c r="AS1254" s="2">
        <f t="shared" si="205"/>
        <v>0</v>
      </c>
      <c r="AT1254" s="25">
        <f t="shared" si="206"/>
        <v>0</v>
      </c>
    </row>
    <row r="1255" spans="1:46">
      <c r="A1255" s="24">
        <v>46122</v>
      </c>
      <c r="B1255" s="23">
        <f t="shared" si="198"/>
        <v>46113</v>
      </c>
      <c r="C1255" s="2" t="s">
        <v>46</v>
      </c>
      <c r="D1255" s="2" t="s">
        <v>392</v>
      </c>
      <c r="E1255" s="2">
        <v>3236</v>
      </c>
      <c r="F1255" s="2">
        <v>51</v>
      </c>
      <c r="G1255" s="2">
        <v>51</v>
      </c>
      <c r="H1255" s="2">
        <v>48</v>
      </c>
      <c r="I1255" s="2">
        <f t="shared" si="199"/>
        <v>3</v>
      </c>
      <c r="J1255" s="44" t="s">
        <v>1567</v>
      </c>
      <c r="K1255" s="2">
        <v>100</v>
      </c>
      <c r="L1255" s="2">
        <v>3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/>
      <c r="AM1255" s="2" t="s">
        <v>1567</v>
      </c>
      <c r="AN1255" s="2">
        <f t="shared" si="200"/>
        <v>3</v>
      </c>
      <c r="AO1255" s="2">
        <f t="shared" si="201"/>
        <v>0</v>
      </c>
      <c r="AP1255" s="2">
        <f t="shared" si="202"/>
        <v>0</v>
      </c>
      <c r="AQ1255" s="2">
        <f t="shared" si="203"/>
        <v>0</v>
      </c>
      <c r="AR1255" s="2">
        <f t="shared" si="204"/>
        <v>0</v>
      </c>
      <c r="AS1255" s="2">
        <f t="shared" si="205"/>
        <v>0</v>
      </c>
      <c r="AT1255" s="25">
        <f t="shared" si="206"/>
        <v>0</v>
      </c>
    </row>
    <row r="1256" spans="1:46">
      <c r="A1256" s="24">
        <v>46122</v>
      </c>
      <c r="B1256" s="23">
        <f t="shared" si="198"/>
        <v>46113</v>
      </c>
      <c r="C1256" s="2" t="s">
        <v>97</v>
      </c>
      <c r="D1256" s="2" t="s">
        <v>100</v>
      </c>
      <c r="E1256" s="2">
        <v>6237</v>
      </c>
      <c r="F1256" s="2">
        <v>85</v>
      </c>
      <c r="G1256" s="2">
        <v>85</v>
      </c>
      <c r="H1256" s="2">
        <v>82</v>
      </c>
      <c r="I1256" s="2">
        <f t="shared" si="199"/>
        <v>3</v>
      </c>
      <c r="J1256" s="44" t="s">
        <v>110</v>
      </c>
      <c r="K1256" s="2">
        <v>100</v>
      </c>
      <c r="L1256" s="2">
        <v>0</v>
      </c>
      <c r="M1256" s="2">
        <v>0</v>
      </c>
      <c r="N1256" s="2">
        <v>0</v>
      </c>
      <c r="O1256" s="2">
        <v>0</v>
      </c>
      <c r="P1256" s="2">
        <v>1</v>
      </c>
      <c r="Q1256" s="2">
        <v>0</v>
      </c>
      <c r="R1256" s="2">
        <v>0</v>
      </c>
      <c r="S1256" s="2">
        <v>0</v>
      </c>
      <c r="T1256" s="2">
        <v>2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/>
      <c r="AM1256" s="2" t="s">
        <v>110</v>
      </c>
      <c r="AN1256" s="2">
        <f t="shared" si="200"/>
        <v>0</v>
      </c>
      <c r="AO1256" s="2">
        <f t="shared" si="201"/>
        <v>3</v>
      </c>
      <c r="AP1256" s="2">
        <f t="shared" si="202"/>
        <v>0</v>
      </c>
      <c r="AQ1256" s="2">
        <f t="shared" si="203"/>
        <v>0</v>
      </c>
      <c r="AR1256" s="2">
        <f t="shared" si="204"/>
        <v>0</v>
      </c>
      <c r="AS1256" s="2">
        <f t="shared" si="205"/>
        <v>0</v>
      </c>
      <c r="AT1256" s="25">
        <f t="shared" si="206"/>
        <v>0</v>
      </c>
    </row>
    <row r="1257" spans="1:46">
      <c r="A1257" s="24">
        <v>46122</v>
      </c>
      <c r="B1257" s="23">
        <f t="shared" si="198"/>
        <v>46113</v>
      </c>
      <c r="C1257" s="2" t="s">
        <v>66</v>
      </c>
      <c r="D1257" s="2" t="s">
        <v>189</v>
      </c>
      <c r="E1257" s="2">
        <v>1770</v>
      </c>
      <c r="F1257" s="2">
        <v>28</v>
      </c>
      <c r="G1257" s="2">
        <v>28</v>
      </c>
      <c r="H1257" s="2">
        <v>28</v>
      </c>
      <c r="I1257" s="2">
        <f t="shared" si="199"/>
        <v>0</v>
      </c>
      <c r="J1257" s="44" t="s">
        <v>110</v>
      </c>
      <c r="K1257" s="2">
        <v>100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/>
      <c r="AM1257" s="2" t="s">
        <v>110</v>
      </c>
      <c r="AN1257" s="2">
        <f t="shared" si="200"/>
        <v>0</v>
      </c>
      <c r="AO1257" s="2">
        <f t="shared" si="201"/>
        <v>0</v>
      </c>
      <c r="AP1257" s="2">
        <f t="shared" si="202"/>
        <v>0</v>
      </c>
      <c r="AQ1257" s="2">
        <f t="shared" si="203"/>
        <v>0</v>
      </c>
      <c r="AR1257" s="2">
        <f t="shared" si="204"/>
        <v>0</v>
      </c>
      <c r="AS1257" s="2">
        <f t="shared" si="205"/>
        <v>0</v>
      </c>
      <c r="AT1257" s="25">
        <f t="shared" si="206"/>
        <v>0</v>
      </c>
    </row>
    <row r="1258" spans="1:46">
      <c r="A1258" s="24">
        <v>46122</v>
      </c>
      <c r="B1258" s="23">
        <f t="shared" si="198"/>
        <v>46113</v>
      </c>
      <c r="C1258" s="2" t="s">
        <v>66</v>
      </c>
      <c r="D1258" s="2" t="s">
        <v>254</v>
      </c>
      <c r="E1258" s="2">
        <v>3299</v>
      </c>
      <c r="F1258" s="2">
        <v>44</v>
      </c>
      <c r="G1258" s="2">
        <v>44</v>
      </c>
      <c r="H1258" s="2">
        <v>37</v>
      </c>
      <c r="I1258" s="2">
        <f t="shared" si="199"/>
        <v>7</v>
      </c>
      <c r="J1258" s="44" t="s">
        <v>110</v>
      </c>
      <c r="K1258" s="2">
        <v>100</v>
      </c>
      <c r="L1258" s="2">
        <v>6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1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/>
      <c r="AM1258" s="2" t="s">
        <v>110</v>
      </c>
      <c r="AN1258" s="2">
        <f t="shared" si="200"/>
        <v>6</v>
      </c>
      <c r="AO1258" s="2">
        <f t="shared" si="201"/>
        <v>0</v>
      </c>
      <c r="AP1258" s="2">
        <f t="shared" si="202"/>
        <v>0</v>
      </c>
      <c r="AQ1258" s="2">
        <f t="shared" si="203"/>
        <v>1</v>
      </c>
      <c r="AR1258" s="2">
        <f t="shared" si="204"/>
        <v>0</v>
      </c>
      <c r="AS1258" s="2">
        <f t="shared" si="205"/>
        <v>0</v>
      </c>
      <c r="AT1258" s="25">
        <f t="shared" si="206"/>
        <v>0</v>
      </c>
    </row>
    <row r="1259" spans="1:46">
      <c r="A1259" s="24">
        <v>46122</v>
      </c>
      <c r="B1259" s="23">
        <f t="shared" si="198"/>
        <v>46113</v>
      </c>
      <c r="C1259" s="2" t="s">
        <v>66</v>
      </c>
      <c r="D1259" s="2" t="s">
        <v>1582</v>
      </c>
      <c r="E1259" s="2">
        <v>6210</v>
      </c>
      <c r="F1259" s="2">
        <v>18</v>
      </c>
      <c r="G1259" s="2">
        <v>18</v>
      </c>
      <c r="H1259" s="2">
        <v>18</v>
      </c>
      <c r="I1259" s="2">
        <f t="shared" si="199"/>
        <v>0</v>
      </c>
      <c r="J1259" s="44" t="s">
        <v>110</v>
      </c>
      <c r="K1259" s="2">
        <v>100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/>
      <c r="AM1259" s="2" t="s">
        <v>110</v>
      </c>
      <c r="AN1259" s="2">
        <f t="shared" si="200"/>
        <v>0</v>
      </c>
      <c r="AO1259" s="2">
        <f t="shared" si="201"/>
        <v>0</v>
      </c>
      <c r="AP1259" s="2">
        <f t="shared" si="202"/>
        <v>0</v>
      </c>
      <c r="AQ1259" s="2">
        <f t="shared" si="203"/>
        <v>0</v>
      </c>
      <c r="AR1259" s="2">
        <f t="shared" si="204"/>
        <v>0</v>
      </c>
      <c r="AS1259" s="2">
        <f t="shared" si="205"/>
        <v>0</v>
      </c>
      <c r="AT1259" s="25">
        <f t="shared" si="206"/>
        <v>0</v>
      </c>
    </row>
    <row r="1260" spans="1:46">
      <c r="A1260" s="24">
        <v>46122</v>
      </c>
      <c r="B1260" s="23">
        <f t="shared" si="198"/>
        <v>46113</v>
      </c>
      <c r="C1260" s="2" t="s">
        <v>97</v>
      </c>
      <c r="D1260" s="2" t="s">
        <v>419</v>
      </c>
      <c r="E1260" s="2">
        <v>6237</v>
      </c>
      <c r="F1260" s="2">
        <v>20</v>
      </c>
      <c r="G1260" s="2">
        <v>20</v>
      </c>
      <c r="H1260" s="2">
        <v>20</v>
      </c>
      <c r="I1260" s="2">
        <f t="shared" si="199"/>
        <v>0</v>
      </c>
      <c r="J1260" s="44" t="s">
        <v>110</v>
      </c>
      <c r="K1260" s="2">
        <v>100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/>
      <c r="AM1260" s="2" t="s">
        <v>110</v>
      </c>
      <c r="AN1260" s="2">
        <f t="shared" si="200"/>
        <v>0</v>
      </c>
      <c r="AO1260" s="2">
        <f t="shared" si="201"/>
        <v>0</v>
      </c>
      <c r="AP1260" s="2">
        <f t="shared" si="202"/>
        <v>0</v>
      </c>
      <c r="AQ1260" s="2">
        <f t="shared" si="203"/>
        <v>0</v>
      </c>
      <c r="AR1260" s="2">
        <f t="shared" si="204"/>
        <v>0</v>
      </c>
      <c r="AS1260" s="2">
        <f t="shared" si="205"/>
        <v>0</v>
      </c>
      <c r="AT1260" s="25">
        <f t="shared" si="206"/>
        <v>0</v>
      </c>
    </row>
    <row r="1261" spans="1:46">
      <c r="A1261" s="24">
        <v>46122</v>
      </c>
      <c r="B1261" s="23">
        <f t="shared" si="198"/>
        <v>46113</v>
      </c>
      <c r="C1261" s="2" t="s">
        <v>97</v>
      </c>
      <c r="D1261" s="2" t="s">
        <v>419</v>
      </c>
      <c r="E1261" s="2">
        <v>6237</v>
      </c>
      <c r="F1261" s="2">
        <v>47</v>
      </c>
      <c r="G1261" s="2">
        <v>47</v>
      </c>
      <c r="H1261" s="2">
        <v>47</v>
      </c>
      <c r="I1261" s="2">
        <f t="shared" si="199"/>
        <v>0</v>
      </c>
      <c r="J1261" s="44" t="s">
        <v>110</v>
      </c>
      <c r="K1261" s="2">
        <v>100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/>
      <c r="AM1261" s="2" t="s">
        <v>110</v>
      </c>
      <c r="AN1261" s="2">
        <f t="shared" si="200"/>
        <v>0</v>
      </c>
      <c r="AO1261" s="2">
        <f t="shared" si="201"/>
        <v>0</v>
      </c>
      <c r="AP1261" s="2">
        <f t="shared" si="202"/>
        <v>0</v>
      </c>
      <c r="AQ1261" s="2">
        <f t="shared" si="203"/>
        <v>0</v>
      </c>
      <c r="AR1261" s="2">
        <f t="shared" si="204"/>
        <v>0</v>
      </c>
      <c r="AS1261" s="2">
        <f t="shared" si="205"/>
        <v>0</v>
      </c>
      <c r="AT1261" s="25">
        <f t="shared" si="206"/>
        <v>0</v>
      </c>
    </row>
    <row r="1262" spans="1:46">
      <c r="A1262" s="24">
        <v>46122</v>
      </c>
      <c r="B1262" s="23">
        <f t="shared" si="198"/>
        <v>46113</v>
      </c>
      <c r="C1262" s="2" t="s">
        <v>97</v>
      </c>
      <c r="D1262" s="2" t="s">
        <v>419</v>
      </c>
      <c r="E1262" s="2">
        <v>6237</v>
      </c>
      <c r="F1262" s="2">
        <v>42</v>
      </c>
      <c r="G1262" s="2">
        <v>42</v>
      </c>
      <c r="H1262" s="2">
        <v>18</v>
      </c>
      <c r="I1262" s="2">
        <f t="shared" si="199"/>
        <v>24</v>
      </c>
      <c r="J1262" s="44" t="s">
        <v>110</v>
      </c>
      <c r="K1262" s="2">
        <v>100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24</v>
      </c>
      <c r="AL1262" s="2"/>
      <c r="AM1262" s="2" t="s">
        <v>110</v>
      </c>
      <c r="AN1262" s="2">
        <f t="shared" si="200"/>
        <v>0</v>
      </c>
      <c r="AO1262" s="2">
        <f t="shared" si="201"/>
        <v>0</v>
      </c>
      <c r="AP1262" s="2">
        <f t="shared" si="202"/>
        <v>0</v>
      </c>
      <c r="AQ1262" s="2">
        <f t="shared" si="203"/>
        <v>24</v>
      </c>
      <c r="AR1262" s="2">
        <f t="shared" si="204"/>
        <v>0</v>
      </c>
      <c r="AS1262" s="2">
        <f t="shared" si="205"/>
        <v>0</v>
      </c>
      <c r="AT1262" s="25">
        <f t="shared" si="206"/>
        <v>0</v>
      </c>
    </row>
    <row r="1263" spans="1:46">
      <c r="A1263" s="24">
        <v>46122</v>
      </c>
      <c r="B1263" s="23">
        <f t="shared" si="198"/>
        <v>46113</v>
      </c>
      <c r="C1263" s="2" t="s">
        <v>97</v>
      </c>
      <c r="D1263" s="2" t="s">
        <v>395</v>
      </c>
      <c r="E1263" s="2">
        <v>9151</v>
      </c>
      <c r="F1263" s="2">
        <v>258</v>
      </c>
      <c r="G1263" s="2">
        <v>258</v>
      </c>
      <c r="H1263" s="2">
        <v>256</v>
      </c>
      <c r="I1263" s="2">
        <f t="shared" si="199"/>
        <v>2</v>
      </c>
      <c r="J1263" s="44" t="s">
        <v>110</v>
      </c>
      <c r="K1263" s="2">
        <v>100</v>
      </c>
      <c r="L1263" s="2">
        <v>1</v>
      </c>
      <c r="M1263" s="2">
        <v>0</v>
      </c>
      <c r="N1263" s="2">
        <v>1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/>
      <c r="AM1263" s="2" t="s">
        <v>110</v>
      </c>
      <c r="AN1263" s="2">
        <f t="shared" si="200"/>
        <v>1</v>
      </c>
      <c r="AO1263" s="2">
        <f t="shared" si="201"/>
        <v>1</v>
      </c>
      <c r="AP1263" s="2">
        <f t="shared" si="202"/>
        <v>0</v>
      </c>
      <c r="AQ1263" s="2">
        <f t="shared" si="203"/>
        <v>0</v>
      </c>
      <c r="AR1263" s="2">
        <f t="shared" si="204"/>
        <v>0</v>
      </c>
      <c r="AS1263" s="2">
        <f t="shared" si="205"/>
        <v>0</v>
      </c>
      <c r="AT1263" s="25">
        <f t="shared" si="206"/>
        <v>0</v>
      </c>
    </row>
    <row r="1264" spans="1:46">
      <c r="A1264" s="24">
        <v>46122</v>
      </c>
      <c r="B1264" s="23">
        <f t="shared" si="198"/>
        <v>46113</v>
      </c>
      <c r="C1264" s="2" t="s">
        <v>66</v>
      </c>
      <c r="D1264" s="2" t="s">
        <v>1536</v>
      </c>
      <c r="E1264" s="2">
        <v>1866</v>
      </c>
      <c r="F1264" s="2">
        <v>20</v>
      </c>
      <c r="G1264" s="2">
        <v>20</v>
      </c>
      <c r="H1264" s="2">
        <v>16</v>
      </c>
      <c r="I1264" s="2">
        <f t="shared" si="199"/>
        <v>4</v>
      </c>
      <c r="J1264" s="44" t="s">
        <v>110</v>
      </c>
      <c r="K1264" s="2">
        <v>100</v>
      </c>
      <c r="L1264" s="2">
        <v>3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1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/>
      <c r="AM1264" s="2" t="s">
        <v>110</v>
      </c>
      <c r="AN1264" s="2">
        <f t="shared" si="200"/>
        <v>3</v>
      </c>
      <c r="AO1264" s="2">
        <f t="shared" si="201"/>
        <v>1</v>
      </c>
      <c r="AP1264" s="2">
        <f t="shared" si="202"/>
        <v>0</v>
      </c>
      <c r="AQ1264" s="2">
        <f t="shared" si="203"/>
        <v>0</v>
      </c>
      <c r="AR1264" s="2">
        <f t="shared" si="204"/>
        <v>0</v>
      </c>
      <c r="AS1264" s="2">
        <f t="shared" si="205"/>
        <v>0</v>
      </c>
      <c r="AT1264" s="25">
        <f t="shared" si="206"/>
        <v>0</v>
      </c>
    </row>
    <row r="1265" spans="1:46">
      <c r="A1265" s="24">
        <v>46122</v>
      </c>
      <c r="B1265" s="23">
        <f t="shared" si="198"/>
        <v>46113</v>
      </c>
      <c r="C1265" s="2" t="s">
        <v>97</v>
      </c>
      <c r="D1265" s="2" t="s">
        <v>134</v>
      </c>
      <c r="E1265" s="2">
        <v>3326</v>
      </c>
      <c r="F1265" s="2">
        <v>47</v>
      </c>
      <c r="G1265" s="2">
        <v>47</v>
      </c>
      <c r="H1265" s="2">
        <v>44</v>
      </c>
      <c r="I1265" s="2">
        <f t="shared" si="199"/>
        <v>3</v>
      </c>
      <c r="J1265" s="44" t="s">
        <v>110</v>
      </c>
      <c r="K1265" s="2">
        <v>100</v>
      </c>
      <c r="L1265" s="2">
        <v>1</v>
      </c>
      <c r="M1265" s="2">
        <v>0</v>
      </c>
      <c r="N1265" s="2">
        <v>0</v>
      </c>
      <c r="O1265" s="2">
        <v>2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/>
      <c r="AM1265" s="2" t="s">
        <v>110</v>
      </c>
      <c r="AN1265" s="2">
        <f t="shared" si="200"/>
        <v>1</v>
      </c>
      <c r="AO1265" s="2">
        <f t="shared" si="201"/>
        <v>2</v>
      </c>
      <c r="AP1265" s="2">
        <f t="shared" si="202"/>
        <v>0</v>
      </c>
      <c r="AQ1265" s="2">
        <f t="shared" si="203"/>
        <v>0</v>
      </c>
      <c r="AR1265" s="2">
        <f t="shared" si="204"/>
        <v>0</v>
      </c>
      <c r="AS1265" s="2">
        <f t="shared" si="205"/>
        <v>0</v>
      </c>
      <c r="AT1265" s="25">
        <f t="shared" si="206"/>
        <v>0</v>
      </c>
    </row>
    <row r="1266" spans="1:46">
      <c r="A1266" s="24">
        <v>46122</v>
      </c>
      <c r="B1266" s="23">
        <f t="shared" si="198"/>
        <v>46113</v>
      </c>
      <c r="C1266" s="2" t="s">
        <v>133</v>
      </c>
      <c r="D1266" s="2" t="s">
        <v>1561</v>
      </c>
      <c r="E1266" s="2">
        <v>2784</v>
      </c>
      <c r="F1266" s="2">
        <v>378</v>
      </c>
      <c r="G1266" s="2">
        <v>378</v>
      </c>
      <c r="H1266" s="2">
        <v>371</v>
      </c>
      <c r="I1266" s="2">
        <f t="shared" si="199"/>
        <v>7</v>
      </c>
      <c r="J1266" s="44" t="s">
        <v>1566</v>
      </c>
      <c r="K1266" s="2">
        <v>100</v>
      </c>
      <c r="L1266" s="2">
        <v>7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/>
      <c r="AM1266" s="2" t="s">
        <v>1566</v>
      </c>
      <c r="AN1266" s="2">
        <f t="shared" si="200"/>
        <v>7</v>
      </c>
      <c r="AO1266" s="2">
        <f t="shared" si="201"/>
        <v>0</v>
      </c>
      <c r="AP1266" s="2">
        <f t="shared" si="202"/>
        <v>0</v>
      </c>
      <c r="AQ1266" s="2">
        <f t="shared" si="203"/>
        <v>0</v>
      </c>
      <c r="AR1266" s="2">
        <f t="shared" si="204"/>
        <v>0</v>
      </c>
      <c r="AS1266" s="2">
        <f t="shared" si="205"/>
        <v>0</v>
      </c>
      <c r="AT1266" s="25">
        <f t="shared" si="206"/>
        <v>0</v>
      </c>
    </row>
    <row r="1267" spans="1:46">
      <c r="A1267" s="24">
        <v>46122</v>
      </c>
      <c r="B1267" s="23">
        <f t="shared" si="198"/>
        <v>46113</v>
      </c>
      <c r="C1267" s="2" t="s">
        <v>133</v>
      </c>
      <c r="D1267" s="2" t="s">
        <v>1561</v>
      </c>
      <c r="E1267" s="2">
        <v>2784</v>
      </c>
      <c r="F1267" s="2">
        <v>120</v>
      </c>
      <c r="G1267" s="2">
        <v>120</v>
      </c>
      <c r="H1267" s="2">
        <v>117</v>
      </c>
      <c r="I1267" s="2">
        <f t="shared" si="199"/>
        <v>3</v>
      </c>
      <c r="J1267" s="44" t="s">
        <v>1566</v>
      </c>
      <c r="K1267" s="2">
        <v>100</v>
      </c>
      <c r="L1267" s="2">
        <v>3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/>
      <c r="AM1267" s="2" t="s">
        <v>1566</v>
      </c>
      <c r="AN1267" s="2">
        <f t="shared" si="200"/>
        <v>3</v>
      </c>
      <c r="AO1267" s="2">
        <f t="shared" si="201"/>
        <v>0</v>
      </c>
      <c r="AP1267" s="2">
        <f t="shared" si="202"/>
        <v>0</v>
      </c>
      <c r="AQ1267" s="2">
        <f t="shared" si="203"/>
        <v>0</v>
      </c>
      <c r="AR1267" s="2">
        <f t="shared" si="204"/>
        <v>0</v>
      </c>
      <c r="AS1267" s="2">
        <f t="shared" si="205"/>
        <v>0</v>
      </c>
      <c r="AT1267" s="25">
        <f t="shared" si="206"/>
        <v>0</v>
      </c>
    </row>
    <row r="1268" spans="1:46">
      <c r="A1268" s="24">
        <v>46123</v>
      </c>
      <c r="B1268" s="23">
        <f t="shared" si="198"/>
        <v>46113</v>
      </c>
      <c r="C1268" s="2" t="s">
        <v>55</v>
      </c>
      <c r="D1268" s="2" t="s">
        <v>332</v>
      </c>
      <c r="E1268" s="2">
        <v>2594</v>
      </c>
      <c r="F1268" s="2">
        <v>399</v>
      </c>
      <c r="G1268" s="2">
        <v>399</v>
      </c>
      <c r="H1268" s="2">
        <v>387</v>
      </c>
      <c r="I1268" s="2">
        <f t="shared" si="199"/>
        <v>12</v>
      </c>
      <c r="J1268" s="44" t="s">
        <v>80</v>
      </c>
      <c r="K1268" s="2">
        <v>100</v>
      </c>
      <c r="L1268" s="2">
        <v>4</v>
      </c>
      <c r="M1268" s="2">
        <v>0</v>
      </c>
      <c r="N1268" s="2">
        <v>0</v>
      </c>
      <c r="O1268" s="2">
        <v>0</v>
      </c>
      <c r="P1268" s="2">
        <v>5</v>
      </c>
      <c r="Q1268" s="2">
        <v>0</v>
      </c>
      <c r="R1268" s="2">
        <v>0</v>
      </c>
      <c r="S1268" s="2">
        <v>0</v>
      </c>
      <c r="T1268" s="2">
        <v>3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/>
      <c r="AM1268" s="2" t="s">
        <v>80</v>
      </c>
      <c r="AN1268" s="2">
        <f t="shared" si="200"/>
        <v>4</v>
      </c>
      <c r="AO1268" s="2">
        <f t="shared" si="201"/>
        <v>8</v>
      </c>
      <c r="AP1268" s="2">
        <f t="shared" si="202"/>
        <v>0</v>
      </c>
      <c r="AQ1268" s="2">
        <f t="shared" si="203"/>
        <v>0</v>
      </c>
      <c r="AR1268" s="2">
        <f t="shared" si="204"/>
        <v>0</v>
      </c>
      <c r="AS1268" s="2">
        <f t="shared" si="205"/>
        <v>0</v>
      </c>
      <c r="AT1268" s="25">
        <f t="shared" si="206"/>
        <v>0</v>
      </c>
    </row>
    <row r="1269" spans="1:46">
      <c r="A1269" s="24">
        <v>46123</v>
      </c>
      <c r="B1269" s="23">
        <f t="shared" si="198"/>
        <v>46113</v>
      </c>
      <c r="C1269" s="2" t="s">
        <v>114</v>
      </c>
      <c r="D1269" s="2" t="s">
        <v>376</v>
      </c>
      <c r="E1269" s="2">
        <v>6206</v>
      </c>
      <c r="F1269" s="2">
        <v>31</v>
      </c>
      <c r="G1269" s="2">
        <v>31</v>
      </c>
      <c r="H1269" s="2">
        <v>31</v>
      </c>
      <c r="I1269" s="2">
        <f t="shared" si="199"/>
        <v>0</v>
      </c>
      <c r="J1269" s="44" t="s">
        <v>80</v>
      </c>
      <c r="K1269" s="2">
        <v>100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/>
      <c r="AM1269" s="2" t="s">
        <v>80</v>
      </c>
      <c r="AN1269" s="2">
        <f t="shared" si="200"/>
        <v>0</v>
      </c>
      <c r="AO1269" s="2">
        <f t="shared" si="201"/>
        <v>0</v>
      </c>
      <c r="AP1269" s="2">
        <f t="shared" si="202"/>
        <v>0</v>
      </c>
      <c r="AQ1269" s="2">
        <f t="shared" si="203"/>
        <v>0</v>
      </c>
      <c r="AR1269" s="2">
        <f t="shared" si="204"/>
        <v>0</v>
      </c>
      <c r="AS1269" s="2">
        <f t="shared" si="205"/>
        <v>0</v>
      </c>
      <c r="AT1269" s="25">
        <f t="shared" si="206"/>
        <v>0</v>
      </c>
    </row>
    <row r="1270" spans="1:46">
      <c r="A1270" s="24">
        <v>46123</v>
      </c>
      <c r="B1270" s="23">
        <f t="shared" si="198"/>
        <v>46113</v>
      </c>
      <c r="C1270" s="2" t="s">
        <v>62</v>
      </c>
      <c r="D1270" s="2" t="s">
        <v>293</v>
      </c>
      <c r="E1270" s="2">
        <v>3247</v>
      </c>
      <c r="F1270" s="2">
        <v>32</v>
      </c>
      <c r="G1270" s="2">
        <v>32</v>
      </c>
      <c r="H1270" s="2">
        <v>31</v>
      </c>
      <c r="I1270" s="2">
        <f t="shared" si="199"/>
        <v>1</v>
      </c>
      <c r="J1270" s="44" t="s">
        <v>77</v>
      </c>
      <c r="K1270" s="2">
        <v>100</v>
      </c>
      <c r="L1270" s="2">
        <v>1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/>
      <c r="AM1270" s="2" t="s">
        <v>77</v>
      </c>
      <c r="AN1270" s="2">
        <f t="shared" si="200"/>
        <v>1</v>
      </c>
      <c r="AO1270" s="2">
        <f t="shared" si="201"/>
        <v>0</v>
      </c>
      <c r="AP1270" s="2">
        <f t="shared" si="202"/>
        <v>0</v>
      </c>
      <c r="AQ1270" s="2">
        <f t="shared" si="203"/>
        <v>0</v>
      </c>
      <c r="AR1270" s="2">
        <f t="shared" si="204"/>
        <v>0</v>
      </c>
      <c r="AS1270" s="2">
        <f t="shared" si="205"/>
        <v>0</v>
      </c>
      <c r="AT1270" s="25">
        <f t="shared" si="206"/>
        <v>0</v>
      </c>
    </row>
    <row r="1271" spans="1:46">
      <c r="A1271" s="24">
        <v>46123</v>
      </c>
      <c r="B1271" s="23">
        <f t="shared" si="198"/>
        <v>46113</v>
      </c>
      <c r="C1271" s="2" t="s">
        <v>62</v>
      </c>
      <c r="D1271" s="2" t="s">
        <v>334</v>
      </c>
      <c r="E1271" s="2">
        <v>3246</v>
      </c>
      <c r="F1271" s="2">
        <v>103</v>
      </c>
      <c r="G1271" s="2">
        <v>103</v>
      </c>
      <c r="H1271" s="2">
        <v>93</v>
      </c>
      <c r="I1271" s="2">
        <f t="shared" si="199"/>
        <v>10</v>
      </c>
      <c r="J1271" s="44" t="s">
        <v>77</v>
      </c>
      <c r="K1271" s="2">
        <v>100</v>
      </c>
      <c r="L1271" s="2">
        <v>10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/>
      <c r="AM1271" s="2" t="s">
        <v>77</v>
      </c>
      <c r="AN1271" s="2">
        <f t="shared" si="200"/>
        <v>10</v>
      </c>
      <c r="AO1271" s="2">
        <f t="shared" si="201"/>
        <v>0</v>
      </c>
      <c r="AP1271" s="2">
        <f t="shared" si="202"/>
        <v>0</v>
      </c>
      <c r="AQ1271" s="2">
        <f t="shared" si="203"/>
        <v>0</v>
      </c>
      <c r="AR1271" s="2">
        <f t="shared" si="204"/>
        <v>0</v>
      </c>
      <c r="AS1271" s="2">
        <f t="shared" si="205"/>
        <v>0</v>
      </c>
      <c r="AT1271" s="25">
        <f t="shared" si="206"/>
        <v>0</v>
      </c>
    </row>
    <row r="1272" spans="1:46">
      <c r="A1272" s="24">
        <v>46123</v>
      </c>
      <c r="B1272" s="23">
        <f t="shared" si="198"/>
        <v>46113</v>
      </c>
      <c r="C1272" s="2" t="s">
        <v>62</v>
      </c>
      <c r="D1272" s="2" t="s">
        <v>334</v>
      </c>
      <c r="E1272" s="2">
        <v>3246</v>
      </c>
      <c r="F1272" s="2">
        <v>20</v>
      </c>
      <c r="G1272" s="2">
        <v>20</v>
      </c>
      <c r="H1272" s="2">
        <v>19</v>
      </c>
      <c r="I1272" s="2">
        <f t="shared" si="199"/>
        <v>1</v>
      </c>
      <c r="J1272" s="44" t="s">
        <v>77</v>
      </c>
      <c r="K1272" s="2">
        <v>100</v>
      </c>
      <c r="L1272" s="2">
        <v>1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/>
      <c r="AM1272" s="2" t="s">
        <v>77</v>
      </c>
      <c r="AN1272" s="2">
        <f t="shared" si="200"/>
        <v>1</v>
      </c>
      <c r="AO1272" s="2">
        <f t="shared" si="201"/>
        <v>0</v>
      </c>
      <c r="AP1272" s="2">
        <f t="shared" si="202"/>
        <v>0</v>
      </c>
      <c r="AQ1272" s="2">
        <f t="shared" si="203"/>
        <v>0</v>
      </c>
      <c r="AR1272" s="2">
        <f t="shared" si="204"/>
        <v>0</v>
      </c>
      <c r="AS1272" s="2">
        <f t="shared" si="205"/>
        <v>0</v>
      </c>
      <c r="AT1272" s="25">
        <f t="shared" si="206"/>
        <v>0</v>
      </c>
    </row>
    <row r="1273" spans="1:46">
      <c r="A1273" s="24">
        <v>46123</v>
      </c>
      <c r="B1273" s="23">
        <f t="shared" si="198"/>
        <v>46113</v>
      </c>
      <c r="C1273" s="2" t="s">
        <v>95</v>
      </c>
      <c r="D1273" s="2" t="s">
        <v>360</v>
      </c>
      <c r="E1273" s="2">
        <v>90024</v>
      </c>
      <c r="F1273" s="2">
        <v>137</v>
      </c>
      <c r="G1273" s="2">
        <v>137</v>
      </c>
      <c r="H1273" s="2">
        <v>111</v>
      </c>
      <c r="I1273" s="2">
        <f t="shared" si="199"/>
        <v>26</v>
      </c>
      <c r="J1273" s="44" t="s">
        <v>1567</v>
      </c>
      <c r="K1273" s="2">
        <v>100</v>
      </c>
      <c r="L1273" s="2">
        <v>26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/>
      <c r="AM1273" s="2" t="s">
        <v>1567</v>
      </c>
      <c r="AN1273" s="2">
        <f t="shared" si="200"/>
        <v>26</v>
      </c>
      <c r="AO1273" s="2">
        <f t="shared" si="201"/>
        <v>0</v>
      </c>
      <c r="AP1273" s="2">
        <f t="shared" si="202"/>
        <v>0</v>
      </c>
      <c r="AQ1273" s="2">
        <f t="shared" si="203"/>
        <v>0</v>
      </c>
      <c r="AR1273" s="2">
        <f t="shared" si="204"/>
        <v>0</v>
      </c>
      <c r="AS1273" s="2">
        <f t="shared" si="205"/>
        <v>0</v>
      </c>
      <c r="AT1273" s="25">
        <f t="shared" si="206"/>
        <v>0</v>
      </c>
    </row>
    <row r="1274" spans="1:46">
      <c r="A1274" s="24">
        <v>46123</v>
      </c>
      <c r="B1274" s="23">
        <f t="shared" si="198"/>
        <v>46113</v>
      </c>
      <c r="C1274" s="2" t="s">
        <v>46</v>
      </c>
      <c r="D1274" s="2" t="s">
        <v>176</v>
      </c>
      <c r="E1274" s="2">
        <v>7152</v>
      </c>
      <c r="F1274" s="2">
        <v>30</v>
      </c>
      <c r="G1274" s="2">
        <v>30</v>
      </c>
      <c r="H1274" s="2">
        <v>29</v>
      </c>
      <c r="I1274" s="2">
        <f t="shared" si="199"/>
        <v>1</v>
      </c>
      <c r="J1274" s="44" t="s">
        <v>1567</v>
      </c>
      <c r="K1274" s="2">
        <v>100</v>
      </c>
      <c r="L1274" s="2">
        <v>1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/>
      <c r="AM1274" s="2" t="s">
        <v>1567</v>
      </c>
      <c r="AN1274" s="2">
        <f t="shared" si="200"/>
        <v>1</v>
      </c>
      <c r="AO1274" s="2">
        <f t="shared" si="201"/>
        <v>0</v>
      </c>
      <c r="AP1274" s="2">
        <f t="shared" si="202"/>
        <v>0</v>
      </c>
      <c r="AQ1274" s="2">
        <f t="shared" si="203"/>
        <v>0</v>
      </c>
      <c r="AR1274" s="2">
        <f t="shared" si="204"/>
        <v>0</v>
      </c>
      <c r="AS1274" s="2">
        <f t="shared" si="205"/>
        <v>0</v>
      </c>
      <c r="AT1274" s="25">
        <f t="shared" si="206"/>
        <v>0</v>
      </c>
    </row>
    <row r="1275" spans="1:46">
      <c r="A1275" s="24">
        <v>46123</v>
      </c>
      <c r="B1275" s="23">
        <f t="shared" si="198"/>
        <v>46113</v>
      </c>
      <c r="C1275" s="2" t="s">
        <v>46</v>
      </c>
      <c r="D1275" s="2" t="s">
        <v>418</v>
      </c>
      <c r="E1275" s="2">
        <v>7152</v>
      </c>
      <c r="F1275" s="2">
        <v>48</v>
      </c>
      <c r="G1275" s="2">
        <v>48</v>
      </c>
      <c r="H1275" s="2">
        <v>47</v>
      </c>
      <c r="I1275" s="2">
        <f t="shared" si="199"/>
        <v>1</v>
      </c>
      <c r="J1275" s="44" t="s">
        <v>1567</v>
      </c>
      <c r="K1275" s="2">
        <v>100</v>
      </c>
      <c r="L1275" s="2">
        <v>1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/>
      <c r="AM1275" s="2" t="s">
        <v>1567</v>
      </c>
      <c r="AN1275" s="2">
        <f t="shared" si="200"/>
        <v>1</v>
      </c>
      <c r="AO1275" s="2">
        <f t="shared" si="201"/>
        <v>0</v>
      </c>
      <c r="AP1275" s="2">
        <f t="shared" si="202"/>
        <v>0</v>
      </c>
      <c r="AQ1275" s="2">
        <f t="shared" si="203"/>
        <v>0</v>
      </c>
      <c r="AR1275" s="2">
        <f t="shared" si="204"/>
        <v>0</v>
      </c>
      <c r="AS1275" s="2">
        <f t="shared" si="205"/>
        <v>0</v>
      </c>
      <c r="AT1275" s="25">
        <f t="shared" si="206"/>
        <v>0</v>
      </c>
    </row>
    <row r="1276" spans="1:46">
      <c r="A1276" s="24">
        <v>46123</v>
      </c>
      <c r="B1276" s="23">
        <f t="shared" si="198"/>
        <v>46113</v>
      </c>
      <c r="C1276" s="2" t="s">
        <v>46</v>
      </c>
      <c r="D1276" s="2" t="s">
        <v>242</v>
      </c>
      <c r="E1276" s="2">
        <v>6296</v>
      </c>
      <c r="F1276" s="2">
        <v>49</v>
      </c>
      <c r="G1276" s="2">
        <v>49</v>
      </c>
      <c r="H1276" s="2">
        <v>47</v>
      </c>
      <c r="I1276" s="2">
        <f t="shared" si="199"/>
        <v>2</v>
      </c>
      <c r="J1276" s="44" t="s">
        <v>1567</v>
      </c>
      <c r="K1276" s="2">
        <v>100</v>
      </c>
      <c r="L1276" s="2">
        <v>2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/>
      <c r="AM1276" s="2" t="s">
        <v>1567</v>
      </c>
      <c r="AN1276" s="2">
        <f t="shared" si="200"/>
        <v>2</v>
      </c>
      <c r="AO1276" s="2">
        <f t="shared" si="201"/>
        <v>0</v>
      </c>
      <c r="AP1276" s="2">
        <f t="shared" si="202"/>
        <v>0</v>
      </c>
      <c r="AQ1276" s="2">
        <f t="shared" si="203"/>
        <v>0</v>
      </c>
      <c r="AR1276" s="2">
        <f t="shared" si="204"/>
        <v>0</v>
      </c>
      <c r="AS1276" s="2">
        <f t="shared" si="205"/>
        <v>0</v>
      </c>
      <c r="AT1276" s="25">
        <f t="shared" si="206"/>
        <v>0</v>
      </c>
    </row>
    <row r="1277" spans="1:46">
      <c r="A1277" s="24">
        <v>46123</v>
      </c>
      <c r="B1277" s="23">
        <f t="shared" si="198"/>
        <v>46113</v>
      </c>
      <c r="C1277" s="2" t="s">
        <v>46</v>
      </c>
      <c r="D1277" s="2" t="s">
        <v>128</v>
      </c>
      <c r="E1277" s="2">
        <v>6296</v>
      </c>
      <c r="F1277" s="2">
        <v>47</v>
      </c>
      <c r="G1277" s="2">
        <v>47</v>
      </c>
      <c r="H1277" s="2">
        <v>46</v>
      </c>
      <c r="I1277" s="2">
        <f t="shared" si="199"/>
        <v>1</v>
      </c>
      <c r="J1277" s="44" t="s">
        <v>1567</v>
      </c>
      <c r="K1277" s="2">
        <v>100</v>
      </c>
      <c r="L1277" s="2">
        <v>1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/>
      <c r="AM1277" s="2" t="s">
        <v>1567</v>
      </c>
      <c r="AN1277" s="2">
        <f t="shared" si="200"/>
        <v>1</v>
      </c>
      <c r="AO1277" s="2">
        <f t="shared" si="201"/>
        <v>0</v>
      </c>
      <c r="AP1277" s="2">
        <f t="shared" si="202"/>
        <v>0</v>
      </c>
      <c r="AQ1277" s="2">
        <f t="shared" si="203"/>
        <v>0</v>
      </c>
      <c r="AR1277" s="2">
        <f t="shared" si="204"/>
        <v>0</v>
      </c>
      <c r="AS1277" s="2">
        <f t="shared" si="205"/>
        <v>0</v>
      </c>
      <c r="AT1277" s="25">
        <f t="shared" si="206"/>
        <v>0</v>
      </c>
    </row>
    <row r="1278" spans="1:46">
      <c r="A1278" s="24">
        <v>46123</v>
      </c>
      <c r="B1278" s="23">
        <f t="shared" si="198"/>
        <v>46113</v>
      </c>
      <c r="C1278" s="2" t="s">
        <v>46</v>
      </c>
      <c r="D1278" s="2" t="s">
        <v>1310</v>
      </c>
      <c r="E1278" s="2">
        <v>8190</v>
      </c>
      <c r="F1278" s="2">
        <v>15</v>
      </c>
      <c r="G1278" s="2">
        <v>15</v>
      </c>
      <c r="H1278" s="2">
        <v>15</v>
      </c>
      <c r="I1278" s="2">
        <f t="shared" si="199"/>
        <v>0</v>
      </c>
      <c r="J1278" s="44" t="s">
        <v>99</v>
      </c>
      <c r="K1278" s="2">
        <v>100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/>
      <c r="AM1278" s="2" t="s">
        <v>99</v>
      </c>
      <c r="AN1278" s="2">
        <f t="shared" si="200"/>
        <v>0</v>
      </c>
      <c r="AO1278" s="2">
        <f t="shared" si="201"/>
        <v>0</v>
      </c>
      <c r="AP1278" s="2">
        <f t="shared" si="202"/>
        <v>0</v>
      </c>
      <c r="AQ1278" s="2">
        <f t="shared" si="203"/>
        <v>0</v>
      </c>
      <c r="AR1278" s="2">
        <f t="shared" si="204"/>
        <v>0</v>
      </c>
      <c r="AS1278" s="2">
        <f t="shared" si="205"/>
        <v>0</v>
      </c>
      <c r="AT1278" s="25">
        <f t="shared" si="206"/>
        <v>0</v>
      </c>
    </row>
    <row r="1279" spans="1:46">
      <c r="A1279" s="24">
        <v>46123</v>
      </c>
      <c r="B1279" s="23">
        <f t="shared" si="198"/>
        <v>46113</v>
      </c>
      <c r="C1279" s="2" t="s">
        <v>114</v>
      </c>
      <c r="D1279" s="2" t="s">
        <v>365</v>
      </c>
      <c r="E1279" s="2">
        <v>3287</v>
      </c>
      <c r="F1279" s="2">
        <v>291</v>
      </c>
      <c r="G1279" s="2">
        <v>291</v>
      </c>
      <c r="H1279" s="2">
        <v>286</v>
      </c>
      <c r="I1279" s="2">
        <f t="shared" si="199"/>
        <v>5</v>
      </c>
      <c r="J1279" s="44" t="s">
        <v>103</v>
      </c>
      <c r="K1279" s="2">
        <v>100</v>
      </c>
      <c r="L1279" s="2">
        <v>3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2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/>
      <c r="AM1279" s="2" t="s">
        <v>103</v>
      </c>
      <c r="AN1279" s="2">
        <f t="shared" si="200"/>
        <v>3</v>
      </c>
      <c r="AO1279" s="2">
        <f t="shared" si="201"/>
        <v>0</v>
      </c>
      <c r="AP1279" s="2">
        <f t="shared" si="202"/>
        <v>0</v>
      </c>
      <c r="AQ1279" s="2">
        <f t="shared" si="203"/>
        <v>0</v>
      </c>
      <c r="AR1279" s="2">
        <f t="shared" si="204"/>
        <v>2</v>
      </c>
      <c r="AS1279" s="2">
        <f t="shared" si="205"/>
        <v>0</v>
      </c>
      <c r="AT1279" s="25">
        <f t="shared" si="206"/>
        <v>0</v>
      </c>
    </row>
    <row r="1280" spans="1:46">
      <c r="A1280" s="24">
        <v>46123</v>
      </c>
      <c r="B1280" s="23">
        <f t="shared" si="198"/>
        <v>46113</v>
      </c>
      <c r="C1280" s="2" t="s">
        <v>114</v>
      </c>
      <c r="D1280" s="2" t="s">
        <v>220</v>
      </c>
      <c r="E1280" s="2">
        <v>6109</v>
      </c>
      <c r="F1280" s="2">
        <v>38</v>
      </c>
      <c r="G1280" s="2">
        <v>38</v>
      </c>
      <c r="H1280" s="2">
        <v>31</v>
      </c>
      <c r="I1280" s="2">
        <f t="shared" si="199"/>
        <v>7</v>
      </c>
      <c r="J1280" s="44" t="s">
        <v>103</v>
      </c>
      <c r="K1280" s="2">
        <v>100</v>
      </c>
      <c r="L1280" s="2">
        <v>0</v>
      </c>
      <c r="M1280" s="2">
        <v>0</v>
      </c>
      <c r="N1280" s="2">
        <v>0</v>
      </c>
      <c r="O1280" s="2">
        <v>0</v>
      </c>
      <c r="P1280" s="2">
        <v>7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/>
      <c r="AM1280" s="2" t="s">
        <v>103</v>
      </c>
      <c r="AN1280" s="2">
        <f t="shared" si="200"/>
        <v>0</v>
      </c>
      <c r="AO1280" s="2">
        <f t="shared" si="201"/>
        <v>7</v>
      </c>
      <c r="AP1280" s="2">
        <f t="shared" si="202"/>
        <v>0</v>
      </c>
      <c r="AQ1280" s="2">
        <f t="shared" si="203"/>
        <v>0</v>
      </c>
      <c r="AR1280" s="2">
        <f t="shared" si="204"/>
        <v>0</v>
      </c>
      <c r="AS1280" s="2">
        <f t="shared" si="205"/>
        <v>0</v>
      </c>
      <c r="AT1280" s="25">
        <f t="shared" si="206"/>
        <v>0</v>
      </c>
    </row>
    <row r="1281" spans="1:46">
      <c r="A1281" s="24">
        <v>46123</v>
      </c>
      <c r="B1281" s="23">
        <f t="shared" si="198"/>
        <v>46113</v>
      </c>
      <c r="C1281" s="2" t="s">
        <v>72</v>
      </c>
      <c r="D1281" s="2" t="s">
        <v>363</v>
      </c>
      <c r="E1281" s="2">
        <v>9315</v>
      </c>
      <c r="F1281" s="2">
        <v>227</v>
      </c>
      <c r="G1281" s="2">
        <v>227</v>
      </c>
      <c r="H1281" s="2">
        <v>219</v>
      </c>
      <c r="I1281" s="2">
        <f t="shared" si="199"/>
        <v>8</v>
      </c>
      <c r="J1281" s="44" t="s">
        <v>103</v>
      </c>
      <c r="K1281" s="2">
        <v>100</v>
      </c>
      <c r="L1281" s="2">
        <v>7</v>
      </c>
      <c r="M1281" s="2">
        <v>1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/>
      <c r="AM1281" s="2" t="s">
        <v>103</v>
      </c>
      <c r="AN1281" s="2">
        <f t="shared" si="200"/>
        <v>7</v>
      </c>
      <c r="AO1281" s="2">
        <f t="shared" si="201"/>
        <v>1</v>
      </c>
      <c r="AP1281" s="2">
        <f t="shared" si="202"/>
        <v>0</v>
      </c>
      <c r="AQ1281" s="2">
        <f t="shared" si="203"/>
        <v>0</v>
      </c>
      <c r="AR1281" s="2">
        <f t="shared" si="204"/>
        <v>0</v>
      </c>
      <c r="AS1281" s="2">
        <f t="shared" si="205"/>
        <v>0</v>
      </c>
      <c r="AT1281" s="25">
        <f t="shared" si="206"/>
        <v>0</v>
      </c>
    </row>
    <row r="1282" spans="1:46">
      <c r="A1282" s="24">
        <v>46123</v>
      </c>
      <c r="B1282" s="23">
        <f t="shared" si="198"/>
        <v>46113</v>
      </c>
      <c r="C1282" s="2" t="s">
        <v>72</v>
      </c>
      <c r="D1282" s="2" t="s">
        <v>347</v>
      </c>
      <c r="E1282" s="2">
        <v>3240</v>
      </c>
      <c r="F1282" s="2">
        <v>12</v>
      </c>
      <c r="G1282" s="2">
        <v>12</v>
      </c>
      <c r="H1282" s="2">
        <v>12</v>
      </c>
      <c r="I1282" s="2">
        <f t="shared" si="199"/>
        <v>0</v>
      </c>
      <c r="J1282" s="44" t="s">
        <v>99</v>
      </c>
      <c r="K1282" s="2">
        <v>100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/>
      <c r="AM1282" s="2" t="s">
        <v>99</v>
      </c>
      <c r="AN1282" s="2">
        <f t="shared" si="200"/>
        <v>0</v>
      </c>
      <c r="AO1282" s="2">
        <f t="shared" si="201"/>
        <v>0</v>
      </c>
      <c r="AP1282" s="2">
        <f t="shared" si="202"/>
        <v>0</v>
      </c>
      <c r="AQ1282" s="2">
        <f t="shared" si="203"/>
        <v>0</v>
      </c>
      <c r="AR1282" s="2">
        <f t="shared" si="204"/>
        <v>0</v>
      </c>
      <c r="AS1282" s="2">
        <f t="shared" si="205"/>
        <v>0</v>
      </c>
      <c r="AT1282" s="25">
        <f t="shared" si="206"/>
        <v>0</v>
      </c>
    </row>
    <row r="1283" spans="1:46">
      <c r="A1283" s="24">
        <v>46123</v>
      </c>
      <c r="B1283" s="23">
        <f t="shared" si="198"/>
        <v>46113</v>
      </c>
      <c r="C1283" s="2" t="s">
        <v>66</v>
      </c>
      <c r="D1283" s="2" t="s">
        <v>1571</v>
      </c>
      <c r="E1283" s="2">
        <v>6328</v>
      </c>
      <c r="F1283" s="2">
        <v>40</v>
      </c>
      <c r="G1283" s="2">
        <v>40</v>
      </c>
      <c r="H1283" s="2">
        <v>40</v>
      </c>
      <c r="I1283" s="2">
        <f t="shared" si="199"/>
        <v>0</v>
      </c>
      <c r="J1283" s="44" t="s">
        <v>110</v>
      </c>
      <c r="K1283" s="2">
        <v>100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/>
      <c r="AM1283" s="2" t="s">
        <v>110</v>
      </c>
      <c r="AN1283" s="2">
        <f t="shared" si="200"/>
        <v>0</v>
      </c>
      <c r="AO1283" s="2">
        <f t="shared" si="201"/>
        <v>0</v>
      </c>
      <c r="AP1283" s="2">
        <f t="shared" si="202"/>
        <v>0</v>
      </c>
      <c r="AQ1283" s="2">
        <f t="shared" si="203"/>
        <v>0</v>
      </c>
      <c r="AR1283" s="2">
        <f t="shared" si="204"/>
        <v>0</v>
      </c>
      <c r="AS1283" s="2">
        <f t="shared" si="205"/>
        <v>0</v>
      </c>
      <c r="AT1283" s="25">
        <f t="shared" si="206"/>
        <v>0</v>
      </c>
    </row>
    <row r="1284" spans="1:46">
      <c r="A1284" s="24">
        <v>46123</v>
      </c>
      <c r="B1284" s="23">
        <f t="shared" si="198"/>
        <v>46113</v>
      </c>
      <c r="C1284" s="2" t="s">
        <v>66</v>
      </c>
      <c r="D1284" s="2" t="s">
        <v>123</v>
      </c>
      <c r="E1284" s="2">
        <v>1866</v>
      </c>
      <c r="F1284" s="2">
        <v>36</v>
      </c>
      <c r="G1284" s="2">
        <v>36</v>
      </c>
      <c r="H1284" s="2">
        <v>32</v>
      </c>
      <c r="I1284" s="2">
        <f t="shared" si="199"/>
        <v>4</v>
      </c>
      <c r="J1284" s="44" t="s">
        <v>110</v>
      </c>
      <c r="K1284" s="2">
        <v>100</v>
      </c>
      <c r="L1284" s="2">
        <v>4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/>
      <c r="AM1284" s="2" t="s">
        <v>110</v>
      </c>
      <c r="AN1284" s="2">
        <f t="shared" si="200"/>
        <v>4</v>
      </c>
      <c r="AO1284" s="2">
        <f t="shared" si="201"/>
        <v>0</v>
      </c>
      <c r="AP1284" s="2">
        <f t="shared" si="202"/>
        <v>0</v>
      </c>
      <c r="AQ1284" s="2">
        <f t="shared" si="203"/>
        <v>0</v>
      </c>
      <c r="AR1284" s="2">
        <f t="shared" si="204"/>
        <v>0</v>
      </c>
      <c r="AS1284" s="2">
        <f t="shared" si="205"/>
        <v>0</v>
      </c>
      <c r="AT1284" s="25">
        <f t="shared" si="206"/>
        <v>0</v>
      </c>
    </row>
    <row r="1285" spans="1:46">
      <c r="A1285" s="24">
        <v>46123</v>
      </c>
      <c r="B1285" s="23">
        <f t="shared" si="198"/>
        <v>46113</v>
      </c>
      <c r="C1285" s="2" t="s">
        <v>66</v>
      </c>
      <c r="D1285" s="2" t="s">
        <v>399</v>
      </c>
      <c r="E1285" s="2">
        <v>9151</v>
      </c>
      <c r="F1285" s="2">
        <v>89</v>
      </c>
      <c r="G1285" s="2">
        <v>89</v>
      </c>
      <c r="H1285" s="2">
        <v>89</v>
      </c>
      <c r="I1285" s="2">
        <f t="shared" si="199"/>
        <v>0</v>
      </c>
      <c r="J1285" s="44" t="s">
        <v>110</v>
      </c>
      <c r="K1285" s="2">
        <v>100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/>
      <c r="AM1285" s="2" t="s">
        <v>110</v>
      </c>
      <c r="AN1285" s="2">
        <f t="shared" si="200"/>
        <v>0</v>
      </c>
      <c r="AO1285" s="2">
        <f t="shared" si="201"/>
        <v>0</v>
      </c>
      <c r="AP1285" s="2">
        <f t="shared" si="202"/>
        <v>0</v>
      </c>
      <c r="AQ1285" s="2">
        <f t="shared" si="203"/>
        <v>0</v>
      </c>
      <c r="AR1285" s="2">
        <f t="shared" si="204"/>
        <v>0</v>
      </c>
      <c r="AS1285" s="2">
        <f t="shared" si="205"/>
        <v>0</v>
      </c>
      <c r="AT1285" s="25">
        <f t="shared" si="206"/>
        <v>0</v>
      </c>
    </row>
    <row r="1286" spans="1:46">
      <c r="A1286" s="24">
        <v>46123</v>
      </c>
      <c r="B1286" s="23">
        <f t="shared" si="198"/>
        <v>46113</v>
      </c>
      <c r="C1286" s="2" t="s">
        <v>66</v>
      </c>
      <c r="D1286" s="2" t="s">
        <v>399</v>
      </c>
      <c r="E1286" s="2">
        <v>9151</v>
      </c>
      <c r="F1286" s="2">
        <v>20</v>
      </c>
      <c r="G1286" s="2">
        <v>20</v>
      </c>
      <c r="H1286" s="2">
        <v>20</v>
      </c>
      <c r="I1286" s="2">
        <f t="shared" si="199"/>
        <v>0</v>
      </c>
      <c r="J1286" s="44" t="s">
        <v>110</v>
      </c>
      <c r="K1286" s="2">
        <v>100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/>
      <c r="AM1286" s="2" t="s">
        <v>110</v>
      </c>
      <c r="AN1286" s="2">
        <f t="shared" si="200"/>
        <v>0</v>
      </c>
      <c r="AO1286" s="2">
        <f t="shared" si="201"/>
        <v>0</v>
      </c>
      <c r="AP1286" s="2">
        <f t="shared" si="202"/>
        <v>0</v>
      </c>
      <c r="AQ1286" s="2">
        <f t="shared" si="203"/>
        <v>0</v>
      </c>
      <c r="AR1286" s="2">
        <f t="shared" si="204"/>
        <v>0</v>
      </c>
      <c r="AS1286" s="2">
        <f t="shared" si="205"/>
        <v>0</v>
      </c>
      <c r="AT1286" s="25">
        <f t="shared" si="206"/>
        <v>0</v>
      </c>
    </row>
    <row r="1287" spans="1:46">
      <c r="A1287" s="24">
        <v>46123</v>
      </c>
      <c r="B1287" s="23">
        <f t="shared" si="198"/>
        <v>46113</v>
      </c>
      <c r="C1287" s="2" t="s">
        <v>66</v>
      </c>
      <c r="D1287" s="2" t="s">
        <v>377</v>
      </c>
      <c r="E1287" s="2">
        <v>1585</v>
      </c>
      <c r="F1287" s="2">
        <v>45</v>
      </c>
      <c r="G1287" s="2">
        <v>45</v>
      </c>
      <c r="H1287" s="2">
        <v>42</v>
      </c>
      <c r="I1287" s="2">
        <f t="shared" si="199"/>
        <v>3</v>
      </c>
      <c r="J1287" s="44" t="s">
        <v>110</v>
      </c>
      <c r="K1287" s="2">
        <v>100</v>
      </c>
      <c r="L1287" s="2">
        <v>2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1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/>
      <c r="AM1287" s="2" t="s">
        <v>110</v>
      </c>
      <c r="AN1287" s="2">
        <f t="shared" si="200"/>
        <v>2</v>
      </c>
      <c r="AO1287" s="2">
        <f t="shared" si="201"/>
        <v>1</v>
      </c>
      <c r="AP1287" s="2">
        <f t="shared" si="202"/>
        <v>0</v>
      </c>
      <c r="AQ1287" s="2">
        <f t="shared" si="203"/>
        <v>0</v>
      </c>
      <c r="AR1287" s="2">
        <f t="shared" si="204"/>
        <v>0</v>
      </c>
      <c r="AS1287" s="2">
        <f t="shared" si="205"/>
        <v>0</v>
      </c>
      <c r="AT1287" s="25">
        <f t="shared" si="206"/>
        <v>0</v>
      </c>
    </row>
    <row r="1288" spans="1:46">
      <c r="A1288" s="24">
        <v>46123</v>
      </c>
      <c r="B1288" s="23">
        <f t="shared" si="198"/>
        <v>46113</v>
      </c>
      <c r="C1288" s="2" t="s">
        <v>66</v>
      </c>
      <c r="D1288" s="2" t="s">
        <v>334</v>
      </c>
      <c r="E1288" s="2">
        <v>3246</v>
      </c>
      <c r="F1288" s="2">
        <v>80</v>
      </c>
      <c r="G1288" s="2">
        <v>80</v>
      </c>
      <c r="H1288" s="2">
        <v>78</v>
      </c>
      <c r="I1288" s="2">
        <f t="shared" si="199"/>
        <v>2</v>
      </c>
      <c r="J1288" s="44" t="s">
        <v>110</v>
      </c>
      <c r="K1288" s="2">
        <v>100</v>
      </c>
      <c r="L1288" s="2">
        <v>2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/>
      <c r="AM1288" s="2" t="s">
        <v>110</v>
      </c>
      <c r="AN1288" s="2">
        <f t="shared" si="200"/>
        <v>2</v>
      </c>
      <c r="AO1288" s="2">
        <f t="shared" si="201"/>
        <v>0</v>
      </c>
      <c r="AP1288" s="2">
        <f t="shared" si="202"/>
        <v>0</v>
      </c>
      <c r="AQ1288" s="2">
        <f t="shared" si="203"/>
        <v>0</v>
      </c>
      <c r="AR1288" s="2">
        <f t="shared" si="204"/>
        <v>0</v>
      </c>
      <c r="AS1288" s="2">
        <f t="shared" si="205"/>
        <v>0</v>
      </c>
      <c r="AT1288" s="25">
        <f t="shared" si="206"/>
        <v>0</v>
      </c>
    </row>
    <row r="1289" spans="1:46">
      <c r="A1289" s="24">
        <v>46123</v>
      </c>
      <c r="B1289" s="23">
        <f t="shared" si="198"/>
        <v>46113</v>
      </c>
      <c r="C1289" s="2" t="s">
        <v>66</v>
      </c>
      <c r="D1289" s="2" t="s">
        <v>288</v>
      </c>
      <c r="E1289" s="2">
        <v>1639</v>
      </c>
      <c r="F1289" s="2">
        <v>46</v>
      </c>
      <c r="G1289" s="2">
        <v>46</v>
      </c>
      <c r="H1289" s="2">
        <v>45</v>
      </c>
      <c r="I1289" s="2">
        <f t="shared" si="199"/>
        <v>1</v>
      </c>
      <c r="J1289" s="44" t="s">
        <v>110</v>
      </c>
      <c r="K1289" s="2">
        <v>100</v>
      </c>
      <c r="L1289" s="2">
        <v>1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/>
      <c r="AM1289" s="2" t="s">
        <v>110</v>
      </c>
      <c r="AN1289" s="2">
        <f t="shared" si="200"/>
        <v>1</v>
      </c>
      <c r="AO1289" s="2">
        <f t="shared" si="201"/>
        <v>0</v>
      </c>
      <c r="AP1289" s="2">
        <f t="shared" si="202"/>
        <v>0</v>
      </c>
      <c r="AQ1289" s="2">
        <f t="shared" si="203"/>
        <v>0</v>
      </c>
      <c r="AR1289" s="2">
        <f t="shared" si="204"/>
        <v>0</v>
      </c>
      <c r="AS1289" s="2">
        <f t="shared" si="205"/>
        <v>0</v>
      </c>
      <c r="AT1289" s="25">
        <f t="shared" si="206"/>
        <v>0</v>
      </c>
    </row>
    <row r="1290" spans="1:46">
      <c r="A1290" s="24">
        <v>46123</v>
      </c>
      <c r="B1290" s="23">
        <f t="shared" si="198"/>
        <v>46113</v>
      </c>
      <c r="C1290" s="2" t="s">
        <v>160</v>
      </c>
      <c r="D1290" s="2" t="s">
        <v>162</v>
      </c>
      <c r="E1290" s="2">
        <v>3227</v>
      </c>
      <c r="F1290" s="2">
        <v>59</v>
      </c>
      <c r="G1290" s="2">
        <v>59</v>
      </c>
      <c r="H1290" s="2">
        <v>59</v>
      </c>
      <c r="I1290" s="2">
        <f t="shared" si="199"/>
        <v>0</v>
      </c>
      <c r="J1290" s="44" t="s">
        <v>110</v>
      </c>
      <c r="K1290" s="2">
        <v>100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/>
      <c r="AM1290" s="2" t="s">
        <v>110</v>
      </c>
      <c r="AN1290" s="2">
        <f t="shared" si="200"/>
        <v>0</v>
      </c>
      <c r="AO1290" s="2">
        <f t="shared" si="201"/>
        <v>0</v>
      </c>
      <c r="AP1290" s="2">
        <f t="shared" si="202"/>
        <v>0</v>
      </c>
      <c r="AQ1290" s="2">
        <f t="shared" si="203"/>
        <v>0</v>
      </c>
      <c r="AR1290" s="2">
        <f t="shared" si="204"/>
        <v>0</v>
      </c>
      <c r="AS1290" s="2">
        <f t="shared" si="205"/>
        <v>0</v>
      </c>
      <c r="AT1290" s="25">
        <f t="shared" si="206"/>
        <v>0</v>
      </c>
    </row>
    <row r="1291" spans="1:46">
      <c r="A1291" s="24">
        <v>46123</v>
      </c>
      <c r="B1291" s="23">
        <f t="shared" si="198"/>
        <v>46113</v>
      </c>
      <c r="C1291" s="2" t="s">
        <v>55</v>
      </c>
      <c r="D1291" s="2" t="s">
        <v>1207</v>
      </c>
      <c r="E1291" s="2">
        <v>8190</v>
      </c>
      <c r="F1291" s="2">
        <v>36</v>
      </c>
      <c r="G1291" s="2">
        <v>36</v>
      </c>
      <c r="H1291" s="2">
        <v>35</v>
      </c>
      <c r="I1291" s="2">
        <f t="shared" si="199"/>
        <v>1</v>
      </c>
      <c r="J1291" s="44" t="s">
        <v>1566</v>
      </c>
      <c r="K1291" s="2">
        <v>100</v>
      </c>
      <c r="L1291" s="2">
        <v>1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/>
      <c r="AM1291" s="2" t="s">
        <v>1566</v>
      </c>
      <c r="AN1291" s="2">
        <f t="shared" si="200"/>
        <v>1</v>
      </c>
      <c r="AO1291" s="2">
        <f t="shared" si="201"/>
        <v>0</v>
      </c>
      <c r="AP1291" s="2">
        <f t="shared" si="202"/>
        <v>0</v>
      </c>
      <c r="AQ1291" s="2">
        <f t="shared" si="203"/>
        <v>0</v>
      </c>
      <c r="AR1291" s="2">
        <f t="shared" si="204"/>
        <v>0</v>
      </c>
      <c r="AS1291" s="2">
        <f t="shared" si="205"/>
        <v>0</v>
      </c>
      <c r="AT1291" s="25">
        <f t="shared" si="206"/>
        <v>0</v>
      </c>
    </row>
    <row r="1292" spans="1:46">
      <c r="A1292" s="24">
        <v>46123</v>
      </c>
      <c r="B1292" s="23">
        <f t="shared" si="198"/>
        <v>46113</v>
      </c>
      <c r="C1292" s="2" t="s">
        <v>55</v>
      </c>
      <c r="D1292" s="2" t="s">
        <v>352</v>
      </c>
      <c r="E1292" s="2">
        <v>7078</v>
      </c>
      <c r="F1292" s="2">
        <v>161</v>
      </c>
      <c r="G1292" s="2">
        <v>161</v>
      </c>
      <c r="H1292" s="2">
        <v>142</v>
      </c>
      <c r="I1292" s="2">
        <f t="shared" si="199"/>
        <v>19</v>
      </c>
      <c r="J1292" s="44" t="s">
        <v>1566</v>
      </c>
      <c r="K1292" s="2">
        <v>100</v>
      </c>
      <c r="L1292" s="2">
        <v>19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/>
      <c r="AM1292" s="2" t="s">
        <v>1566</v>
      </c>
      <c r="AN1292" s="2">
        <f t="shared" si="200"/>
        <v>19</v>
      </c>
      <c r="AO1292" s="2">
        <f t="shared" si="201"/>
        <v>0</v>
      </c>
      <c r="AP1292" s="2">
        <f t="shared" si="202"/>
        <v>0</v>
      </c>
      <c r="AQ1292" s="2">
        <f t="shared" si="203"/>
        <v>0</v>
      </c>
      <c r="AR1292" s="2">
        <f t="shared" si="204"/>
        <v>0</v>
      </c>
      <c r="AS1292" s="2">
        <f t="shared" si="205"/>
        <v>0</v>
      </c>
      <c r="AT1292" s="25">
        <f t="shared" si="206"/>
        <v>0</v>
      </c>
    </row>
    <row r="1293" spans="1:46">
      <c r="A1293" s="24">
        <v>46123</v>
      </c>
      <c r="B1293" s="23">
        <f t="shared" si="198"/>
        <v>46113</v>
      </c>
      <c r="C1293" s="2" t="s">
        <v>133</v>
      </c>
      <c r="D1293" s="2" t="s">
        <v>197</v>
      </c>
      <c r="E1293" s="2">
        <v>6078</v>
      </c>
      <c r="F1293" s="2">
        <v>108</v>
      </c>
      <c r="G1293" s="2">
        <v>108</v>
      </c>
      <c r="H1293" s="2">
        <v>92</v>
      </c>
      <c r="I1293" s="2">
        <f t="shared" si="199"/>
        <v>16</v>
      </c>
      <c r="J1293" s="44" t="s">
        <v>1566</v>
      </c>
      <c r="K1293" s="2">
        <v>100</v>
      </c>
      <c r="L1293" s="2">
        <v>0</v>
      </c>
      <c r="M1293" s="2">
        <v>0</v>
      </c>
      <c r="N1293" s="2">
        <v>9</v>
      </c>
      <c r="O1293" s="2">
        <v>0</v>
      </c>
      <c r="P1293" s="2">
        <v>3</v>
      </c>
      <c r="Q1293" s="2">
        <v>0</v>
      </c>
      <c r="R1293" s="2">
        <v>0</v>
      </c>
      <c r="S1293" s="2">
        <v>0</v>
      </c>
      <c r="T1293" s="2">
        <v>3</v>
      </c>
      <c r="U1293" s="2">
        <v>1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/>
      <c r="AM1293" s="2" t="s">
        <v>1566</v>
      </c>
      <c r="AN1293" s="2">
        <f t="shared" si="200"/>
        <v>0</v>
      </c>
      <c r="AO1293" s="2">
        <f t="shared" si="201"/>
        <v>16</v>
      </c>
      <c r="AP1293" s="2">
        <f t="shared" si="202"/>
        <v>0</v>
      </c>
      <c r="AQ1293" s="2">
        <f t="shared" si="203"/>
        <v>0</v>
      </c>
      <c r="AR1293" s="2">
        <f t="shared" si="204"/>
        <v>0</v>
      </c>
      <c r="AS1293" s="2">
        <f t="shared" si="205"/>
        <v>0</v>
      </c>
      <c r="AT1293" s="25">
        <f t="shared" si="206"/>
        <v>0</v>
      </c>
    </row>
    <row r="1294" spans="1:46">
      <c r="A1294" s="24">
        <v>46123</v>
      </c>
      <c r="B1294" s="23">
        <f t="shared" si="198"/>
        <v>46113</v>
      </c>
      <c r="C1294" s="2" t="s">
        <v>133</v>
      </c>
      <c r="D1294" s="2" t="s">
        <v>197</v>
      </c>
      <c r="E1294" s="2">
        <v>6078</v>
      </c>
      <c r="F1294" s="2">
        <v>12</v>
      </c>
      <c r="G1294" s="2">
        <v>12</v>
      </c>
      <c r="H1294" s="2">
        <v>12</v>
      </c>
      <c r="I1294" s="2">
        <f t="shared" si="199"/>
        <v>0</v>
      </c>
      <c r="J1294" s="44" t="s">
        <v>1566</v>
      </c>
      <c r="K1294" s="2">
        <v>100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/>
      <c r="AM1294" s="2" t="s">
        <v>1566</v>
      </c>
      <c r="AN1294" s="2">
        <f t="shared" si="200"/>
        <v>0</v>
      </c>
      <c r="AO1294" s="2">
        <f t="shared" si="201"/>
        <v>0</v>
      </c>
      <c r="AP1294" s="2">
        <f t="shared" si="202"/>
        <v>0</v>
      </c>
      <c r="AQ1294" s="2">
        <f t="shared" si="203"/>
        <v>0</v>
      </c>
      <c r="AR1294" s="2">
        <f t="shared" si="204"/>
        <v>0</v>
      </c>
      <c r="AS1294" s="2">
        <f t="shared" si="205"/>
        <v>0</v>
      </c>
      <c r="AT1294" s="25">
        <f t="shared" si="206"/>
        <v>0</v>
      </c>
    </row>
    <row r="1295" spans="1:46">
      <c r="A1295" s="24">
        <v>46123</v>
      </c>
      <c r="B1295" s="23">
        <f t="shared" ref="B1295:B1358" si="207">EOMONTH(A1295,-1)+1</f>
        <v>46113</v>
      </c>
      <c r="C1295" s="2" t="s">
        <v>55</v>
      </c>
      <c r="D1295" s="2" t="s">
        <v>352</v>
      </c>
      <c r="E1295" s="2">
        <v>7078</v>
      </c>
      <c r="F1295" s="2">
        <v>75</v>
      </c>
      <c r="G1295" s="2">
        <v>75</v>
      </c>
      <c r="H1295" s="2">
        <v>74</v>
      </c>
      <c r="I1295" s="2">
        <f t="shared" ref="I1295:I1358" si="208">F1295-H1295</f>
        <v>1</v>
      </c>
      <c r="J1295" s="44" t="s">
        <v>1566</v>
      </c>
      <c r="K1295" s="2">
        <v>100</v>
      </c>
      <c r="L1295" s="2">
        <v>1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/>
      <c r="AM1295" s="2" t="s">
        <v>1566</v>
      </c>
      <c r="AN1295" s="2">
        <f t="shared" ref="AN1295:AN1358" si="209">+L1295+AI1295</f>
        <v>1</v>
      </c>
      <c r="AO1295" s="2">
        <f t="shared" ref="AO1295:AO1358" si="210">+M1295+N1295+O1295+P1295+Q1295+R1295+S1295+T1295+U1295+V1295</f>
        <v>0</v>
      </c>
      <c r="AP1295" s="2">
        <f t="shared" ref="AP1295:AP1358" si="211">+AE1295+AF1295</f>
        <v>0</v>
      </c>
      <c r="AQ1295" s="2">
        <f t="shared" ref="AQ1295:AQ1358" si="212">+AK1295+AD1295+AC1295+AJ1295</f>
        <v>0</v>
      </c>
      <c r="AR1295" s="2">
        <f t="shared" ref="AR1295:AR1358" si="213">+W1295+X1295+Y1295+Z1295+AA1295+AB1295</f>
        <v>0</v>
      </c>
      <c r="AS1295" s="2">
        <f t="shared" ref="AS1295:AS1358" si="214">+AG1295</f>
        <v>0</v>
      </c>
      <c r="AT1295" s="25">
        <f t="shared" ref="AT1295:AT1358" si="215">+AH1295</f>
        <v>0</v>
      </c>
    </row>
    <row r="1296" spans="1:46">
      <c r="A1296" s="24">
        <v>46123</v>
      </c>
      <c r="B1296" s="23">
        <f t="shared" si="207"/>
        <v>46113</v>
      </c>
      <c r="C1296" s="2" t="s">
        <v>55</v>
      </c>
      <c r="D1296" s="2" t="s">
        <v>304</v>
      </c>
      <c r="E1296" s="2">
        <v>9154</v>
      </c>
      <c r="F1296" s="2">
        <v>137</v>
      </c>
      <c r="G1296" s="2">
        <v>137</v>
      </c>
      <c r="H1296" s="2">
        <v>136</v>
      </c>
      <c r="I1296" s="2">
        <f t="shared" si="208"/>
        <v>1</v>
      </c>
      <c r="J1296" s="44" t="s">
        <v>1566</v>
      </c>
      <c r="K1296" s="2">
        <v>100</v>
      </c>
      <c r="L1296" s="2">
        <v>1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/>
      <c r="AM1296" s="2" t="s">
        <v>1566</v>
      </c>
      <c r="AN1296" s="2">
        <f t="shared" si="209"/>
        <v>1</v>
      </c>
      <c r="AO1296" s="2">
        <f t="shared" si="210"/>
        <v>0</v>
      </c>
      <c r="AP1296" s="2">
        <f t="shared" si="211"/>
        <v>0</v>
      </c>
      <c r="AQ1296" s="2">
        <f t="shared" si="212"/>
        <v>0</v>
      </c>
      <c r="AR1296" s="2">
        <f t="shared" si="213"/>
        <v>0</v>
      </c>
      <c r="AS1296" s="2">
        <f t="shared" si="214"/>
        <v>0</v>
      </c>
      <c r="AT1296" s="25">
        <f t="shared" si="215"/>
        <v>0</v>
      </c>
    </row>
    <row r="1297" spans="1:46">
      <c r="A1297" s="24">
        <v>46123</v>
      </c>
      <c r="B1297" s="23">
        <f t="shared" si="207"/>
        <v>46113</v>
      </c>
      <c r="C1297" s="2" t="s">
        <v>133</v>
      </c>
      <c r="D1297" s="2" t="s">
        <v>197</v>
      </c>
      <c r="E1297" s="2">
        <v>6078</v>
      </c>
      <c r="F1297" s="2">
        <v>53</v>
      </c>
      <c r="G1297" s="2">
        <v>53</v>
      </c>
      <c r="H1297" s="2">
        <v>41</v>
      </c>
      <c r="I1297" s="2">
        <f t="shared" si="208"/>
        <v>12</v>
      </c>
      <c r="J1297" s="44" t="s">
        <v>1566</v>
      </c>
      <c r="K1297" s="2">
        <v>100</v>
      </c>
      <c r="L1297" s="2">
        <v>0</v>
      </c>
      <c r="M1297" s="2">
        <v>0</v>
      </c>
      <c r="N1297" s="2">
        <v>3</v>
      </c>
      <c r="O1297" s="2">
        <v>0</v>
      </c>
      <c r="P1297" s="2">
        <v>9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/>
      <c r="AM1297" s="2" t="s">
        <v>1566</v>
      </c>
      <c r="AN1297" s="2">
        <f t="shared" si="209"/>
        <v>0</v>
      </c>
      <c r="AO1297" s="2">
        <f t="shared" si="210"/>
        <v>12</v>
      </c>
      <c r="AP1297" s="2">
        <f t="shared" si="211"/>
        <v>0</v>
      </c>
      <c r="AQ1297" s="2">
        <f t="shared" si="212"/>
        <v>0</v>
      </c>
      <c r="AR1297" s="2">
        <f t="shared" si="213"/>
        <v>0</v>
      </c>
      <c r="AS1297" s="2">
        <f t="shared" si="214"/>
        <v>0</v>
      </c>
      <c r="AT1297" s="25">
        <f t="shared" si="215"/>
        <v>0</v>
      </c>
    </row>
    <row r="1298" spans="1:46">
      <c r="A1298" s="24">
        <v>46123</v>
      </c>
      <c r="B1298" s="23">
        <f t="shared" si="207"/>
        <v>46113</v>
      </c>
      <c r="C1298" s="2" t="s">
        <v>63</v>
      </c>
      <c r="D1298" s="2" t="s">
        <v>297</v>
      </c>
      <c r="E1298" s="2">
        <v>8060</v>
      </c>
      <c r="F1298" s="2">
        <v>43</v>
      </c>
      <c r="G1298" s="2">
        <v>43</v>
      </c>
      <c r="H1298" s="2">
        <v>42</v>
      </c>
      <c r="I1298" s="2">
        <f t="shared" si="208"/>
        <v>1</v>
      </c>
      <c r="J1298" s="44" t="s">
        <v>1568</v>
      </c>
      <c r="K1298" s="2">
        <v>100</v>
      </c>
      <c r="L1298" s="2">
        <v>1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/>
      <c r="AM1298" s="2" t="s">
        <v>1568</v>
      </c>
      <c r="AN1298" s="2">
        <f t="shared" si="209"/>
        <v>1</v>
      </c>
      <c r="AO1298" s="2">
        <f t="shared" si="210"/>
        <v>0</v>
      </c>
      <c r="AP1298" s="2">
        <f t="shared" si="211"/>
        <v>0</v>
      </c>
      <c r="AQ1298" s="2">
        <f t="shared" si="212"/>
        <v>0</v>
      </c>
      <c r="AR1298" s="2">
        <f t="shared" si="213"/>
        <v>0</v>
      </c>
      <c r="AS1298" s="2">
        <f t="shared" si="214"/>
        <v>0</v>
      </c>
      <c r="AT1298" s="25">
        <f t="shared" si="215"/>
        <v>0</v>
      </c>
    </row>
    <row r="1299" spans="1:46">
      <c r="A1299" s="24">
        <v>46123</v>
      </c>
      <c r="B1299" s="23">
        <f t="shared" si="207"/>
        <v>46113</v>
      </c>
      <c r="C1299" s="2" t="s">
        <v>62</v>
      </c>
      <c r="D1299" s="2" t="s">
        <v>271</v>
      </c>
      <c r="E1299" s="2">
        <v>2536</v>
      </c>
      <c r="F1299" s="2">
        <v>28</v>
      </c>
      <c r="G1299" s="2">
        <v>28</v>
      </c>
      <c r="H1299" s="2">
        <v>28</v>
      </c>
      <c r="I1299" s="2">
        <f t="shared" si="208"/>
        <v>0</v>
      </c>
      <c r="J1299" s="44" t="s">
        <v>1568</v>
      </c>
      <c r="K1299" s="2">
        <v>100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/>
      <c r="AM1299" s="2" t="s">
        <v>1568</v>
      </c>
      <c r="AN1299" s="2">
        <f t="shared" si="209"/>
        <v>0</v>
      </c>
      <c r="AO1299" s="2">
        <f t="shared" si="210"/>
        <v>0</v>
      </c>
      <c r="AP1299" s="2">
        <f t="shared" si="211"/>
        <v>0</v>
      </c>
      <c r="AQ1299" s="2">
        <f t="shared" si="212"/>
        <v>0</v>
      </c>
      <c r="AR1299" s="2">
        <f t="shared" si="213"/>
        <v>0</v>
      </c>
      <c r="AS1299" s="2">
        <f t="shared" si="214"/>
        <v>0</v>
      </c>
      <c r="AT1299" s="25">
        <f t="shared" si="215"/>
        <v>0</v>
      </c>
    </row>
    <row r="1300" spans="1:46">
      <c r="A1300" s="24">
        <v>46123</v>
      </c>
      <c r="B1300" s="23">
        <f t="shared" si="207"/>
        <v>46113</v>
      </c>
      <c r="C1300" s="2" t="s">
        <v>82</v>
      </c>
      <c r="D1300" s="2" t="s">
        <v>241</v>
      </c>
      <c r="E1300" s="2">
        <v>3317</v>
      </c>
      <c r="F1300" s="2">
        <v>51</v>
      </c>
      <c r="G1300" s="2">
        <v>51</v>
      </c>
      <c r="H1300" s="2">
        <v>47</v>
      </c>
      <c r="I1300" s="2">
        <f t="shared" si="208"/>
        <v>4</v>
      </c>
      <c r="J1300" s="44" t="s">
        <v>93</v>
      </c>
      <c r="K1300" s="2">
        <v>100</v>
      </c>
      <c r="L1300" s="2">
        <v>2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2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/>
      <c r="AM1300" s="2" t="s">
        <v>93</v>
      </c>
      <c r="AN1300" s="2">
        <f t="shared" si="209"/>
        <v>2</v>
      </c>
      <c r="AO1300" s="2">
        <f t="shared" si="210"/>
        <v>2</v>
      </c>
      <c r="AP1300" s="2">
        <f t="shared" si="211"/>
        <v>0</v>
      </c>
      <c r="AQ1300" s="2">
        <f t="shared" si="212"/>
        <v>0</v>
      </c>
      <c r="AR1300" s="2">
        <f t="shared" si="213"/>
        <v>0</v>
      </c>
      <c r="AS1300" s="2">
        <f t="shared" si="214"/>
        <v>0</v>
      </c>
      <c r="AT1300" s="25">
        <f t="shared" si="215"/>
        <v>0</v>
      </c>
    </row>
    <row r="1301" spans="1:46">
      <c r="A1301" s="24">
        <v>46125</v>
      </c>
      <c r="B1301" s="23">
        <f t="shared" si="207"/>
        <v>46113</v>
      </c>
      <c r="C1301" s="2" t="s">
        <v>72</v>
      </c>
      <c r="D1301" s="2" t="s">
        <v>236</v>
      </c>
      <c r="E1301" s="2">
        <v>3317</v>
      </c>
      <c r="F1301" s="2">
        <v>50</v>
      </c>
      <c r="G1301" s="2">
        <v>50</v>
      </c>
      <c r="H1301" s="2">
        <v>49</v>
      </c>
      <c r="I1301" s="2">
        <f t="shared" si="208"/>
        <v>1</v>
      </c>
      <c r="J1301" s="44" t="s">
        <v>77</v>
      </c>
      <c r="K1301" s="2">
        <v>100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1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/>
      <c r="AM1301" s="2" t="s">
        <v>77</v>
      </c>
      <c r="AN1301" s="2">
        <f t="shared" si="209"/>
        <v>0</v>
      </c>
      <c r="AO1301" s="2">
        <f t="shared" si="210"/>
        <v>0</v>
      </c>
      <c r="AP1301" s="2">
        <f t="shared" si="211"/>
        <v>0</v>
      </c>
      <c r="AQ1301" s="2">
        <f t="shared" si="212"/>
        <v>1</v>
      </c>
      <c r="AR1301" s="2">
        <f t="shared" si="213"/>
        <v>0</v>
      </c>
      <c r="AS1301" s="2">
        <f t="shared" si="214"/>
        <v>0</v>
      </c>
      <c r="AT1301" s="25">
        <f t="shared" si="215"/>
        <v>0</v>
      </c>
    </row>
    <row r="1302" spans="1:46">
      <c r="A1302" s="24">
        <v>46125</v>
      </c>
      <c r="B1302" s="23">
        <f t="shared" si="207"/>
        <v>46113</v>
      </c>
      <c r="C1302" s="2" t="s">
        <v>72</v>
      </c>
      <c r="D1302" s="2" t="s">
        <v>90</v>
      </c>
      <c r="E1302" s="2">
        <v>8141</v>
      </c>
      <c r="F1302" s="2">
        <v>32</v>
      </c>
      <c r="G1302" s="2">
        <v>32</v>
      </c>
      <c r="H1302" s="2">
        <v>32</v>
      </c>
      <c r="I1302" s="2">
        <f t="shared" si="208"/>
        <v>0</v>
      </c>
      <c r="J1302" s="44" t="s">
        <v>77</v>
      </c>
      <c r="K1302" s="2">
        <v>100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/>
      <c r="AM1302" s="2" t="s">
        <v>77</v>
      </c>
      <c r="AN1302" s="2">
        <f t="shared" si="209"/>
        <v>0</v>
      </c>
      <c r="AO1302" s="2">
        <f t="shared" si="210"/>
        <v>0</v>
      </c>
      <c r="AP1302" s="2">
        <f t="shared" si="211"/>
        <v>0</v>
      </c>
      <c r="AQ1302" s="2">
        <f t="shared" si="212"/>
        <v>0</v>
      </c>
      <c r="AR1302" s="2">
        <f t="shared" si="213"/>
        <v>0</v>
      </c>
      <c r="AS1302" s="2">
        <f t="shared" si="214"/>
        <v>0</v>
      </c>
      <c r="AT1302" s="25">
        <f t="shared" si="215"/>
        <v>0</v>
      </c>
    </row>
    <row r="1303" spans="1:46">
      <c r="A1303" s="24">
        <v>46125</v>
      </c>
      <c r="B1303" s="23">
        <f t="shared" si="207"/>
        <v>46113</v>
      </c>
      <c r="C1303" s="2" t="s">
        <v>95</v>
      </c>
      <c r="D1303" s="2" t="s">
        <v>347</v>
      </c>
      <c r="E1303" s="2">
        <v>3240</v>
      </c>
      <c r="F1303" s="2">
        <v>124</v>
      </c>
      <c r="G1303" s="2">
        <v>124</v>
      </c>
      <c r="H1303" s="2">
        <v>118</v>
      </c>
      <c r="I1303" s="2">
        <f t="shared" si="208"/>
        <v>6</v>
      </c>
      <c r="J1303" s="44" t="s">
        <v>77</v>
      </c>
      <c r="K1303" s="2">
        <v>100</v>
      </c>
      <c r="L1303" s="2">
        <v>4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2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/>
      <c r="AM1303" s="2" t="s">
        <v>77</v>
      </c>
      <c r="AN1303" s="2">
        <f t="shared" si="209"/>
        <v>4</v>
      </c>
      <c r="AO1303" s="2">
        <f t="shared" si="210"/>
        <v>2</v>
      </c>
      <c r="AP1303" s="2">
        <f t="shared" si="211"/>
        <v>0</v>
      </c>
      <c r="AQ1303" s="2">
        <f t="shared" si="212"/>
        <v>0</v>
      </c>
      <c r="AR1303" s="2">
        <f t="shared" si="213"/>
        <v>0</v>
      </c>
      <c r="AS1303" s="2">
        <f t="shared" si="214"/>
        <v>0</v>
      </c>
      <c r="AT1303" s="25">
        <f t="shared" si="215"/>
        <v>0</v>
      </c>
    </row>
    <row r="1304" spans="1:46">
      <c r="A1304" s="24">
        <v>46125</v>
      </c>
      <c r="B1304" s="23">
        <f t="shared" si="207"/>
        <v>46113</v>
      </c>
      <c r="C1304" s="2" t="s">
        <v>62</v>
      </c>
      <c r="D1304" s="2" t="s">
        <v>1388</v>
      </c>
      <c r="E1304" s="2">
        <v>6284</v>
      </c>
      <c r="F1304" s="2">
        <v>35</v>
      </c>
      <c r="G1304" s="2">
        <v>35</v>
      </c>
      <c r="H1304" s="2">
        <v>35</v>
      </c>
      <c r="I1304" s="2">
        <f t="shared" si="208"/>
        <v>0</v>
      </c>
      <c r="J1304" s="44" t="s">
        <v>1568</v>
      </c>
      <c r="K1304" s="2">
        <v>100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/>
      <c r="AM1304" s="2" t="s">
        <v>1568</v>
      </c>
      <c r="AN1304" s="2">
        <f t="shared" si="209"/>
        <v>0</v>
      </c>
      <c r="AO1304" s="2">
        <f t="shared" si="210"/>
        <v>0</v>
      </c>
      <c r="AP1304" s="2">
        <f t="shared" si="211"/>
        <v>0</v>
      </c>
      <c r="AQ1304" s="2">
        <f t="shared" si="212"/>
        <v>0</v>
      </c>
      <c r="AR1304" s="2">
        <f t="shared" si="213"/>
        <v>0</v>
      </c>
      <c r="AS1304" s="2">
        <f t="shared" si="214"/>
        <v>0</v>
      </c>
      <c r="AT1304" s="25">
        <f t="shared" si="215"/>
        <v>0</v>
      </c>
    </row>
    <row r="1305" spans="1:46">
      <c r="A1305" s="24">
        <v>46125</v>
      </c>
      <c r="B1305" s="23">
        <f t="shared" si="207"/>
        <v>46113</v>
      </c>
      <c r="C1305" s="2" t="s">
        <v>62</v>
      </c>
      <c r="D1305" s="2" t="s">
        <v>1205</v>
      </c>
      <c r="E1305" s="2">
        <v>3313</v>
      </c>
      <c r="F1305" s="2">
        <v>37</v>
      </c>
      <c r="G1305" s="2">
        <v>37</v>
      </c>
      <c r="H1305" s="2">
        <v>37</v>
      </c>
      <c r="I1305" s="2">
        <f t="shared" si="208"/>
        <v>0</v>
      </c>
      <c r="J1305" s="44" t="s">
        <v>1568</v>
      </c>
      <c r="K1305" s="2">
        <v>100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/>
      <c r="AM1305" s="2" t="s">
        <v>1568</v>
      </c>
      <c r="AN1305" s="2">
        <f t="shared" si="209"/>
        <v>0</v>
      </c>
      <c r="AO1305" s="2">
        <f t="shared" si="210"/>
        <v>0</v>
      </c>
      <c r="AP1305" s="2">
        <f t="shared" si="211"/>
        <v>0</v>
      </c>
      <c r="AQ1305" s="2">
        <f t="shared" si="212"/>
        <v>0</v>
      </c>
      <c r="AR1305" s="2">
        <f t="shared" si="213"/>
        <v>0</v>
      </c>
      <c r="AS1305" s="2">
        <f t="shared" si="214"/>
        <v>0</v>
      </c>
      <c r="AT1305" s="25">
        <f t="shared" si="215"/>
        <v>0</v>
      </c>
    </row>
    <row r="1306" spans="1:46">
      <c r="A1306" s="24">
        <v>46125</v>
      </c>
      <c r="B1306" s="23">
        <f t="shared" si="207"/>
        <v>46113</v>
      </c>
      <c r="C1306" s="2" t="s">
        <v>62</v>
      </c>
      <c r="D1306" s="2" t="s">
        <v>333</v>
      </c>
      <c r="E1306" s="2">
        <v>2594</v>
      </c>
      <c r="F1306" s="2">
        <v>114</v>
      </c>
      <c r="G1306" s="2">
        <v>114</v>
      </c>
      <c r="H1306" s="2">
        <v>108</v>
      </c>
      <c r="I1306" s="2">
        <f t="shared" si="208"/>
        <v>6</v>
      </c>
      <c r="J1306" s="44" t="s">
        <v>1568</v>
      </c>
      <c r="K1306" s="2">
        <v>100</v>
      </c>
      <c r="L1306" s="2">
        <v>5</v>
      </c>
      <c r="M1306" s="2">
        <v>0</v>
      </c>
      <c r="N1306" s="2">
        <v>0</v>
      </c>
      <c r="O1306" s="2">
        <v>1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/>
      <c r="AM1306" s="2" t="s">
        <v>1568</v>
      </c>
      <c r="AN1306" s="2">
        <f t="shared" si="209"/>
        <v>5</v>
      </c>
      <c r="AO1306" s="2">
        <f t="shared" si="210"/>
        <v>1</v>
      </c>
      <c r="AP1306" s="2">
        <f t="shared" si="211"/>
        <v>0</v>
      </c>
      <c r="AQ1306" s="2">
        <f t="shared" si="212"/>
        <v>0</v>
      </c>
      <c r="AR1306" s="2">
        <f t="shared" si="213"/>
        <v>0</v>
      </c>
      <c r="AS1306" s="2">
        <f t="shared" si="214"/>
        <v>0</v>
      </c>
      <c r="AT1306" s="25">
        <f t="shared" si="215"/>
        <v>0</v>
      </c>
    </row>
    <row r="1307" spans="1:46">
      <c r="A1307" s="24">
        <v>46125</v>
      </c>
      <c r="B1307" s="23">
        <f t="shared" si="207"/>
        <v>46113</v>
      </c>
      <c r="C1307" s="2" t="s">
        <v>62</v>
      </c>
      <c r="D1307" s="2" t="s">
        <v>293</v>
      </c>
      <c r="E1307" s="2">
        <v>3247</v>
      </c>
      <c r="F1307" s="2">
        <v>69</v>
      </c>
      <c r="G1307" s="2">
        <v>69</v>
      </c>
      <c r="H1307" s="2">
        <v>67</v>
      </c>
      <c r="I1307" s="2">
        <f t="shared" si="208"/>
        <v>2</v>
      </c>
      <c r="J1307" s="44" t="s">
        <v>1568</v>
      </c>
      <c r="K1307" s="2">
        <v>100</v>
      </c>
      <c r="L1307" s="2">
        <v>1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1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/>
      <c r="AM1307" s="2" t="s">
        <v>1568</v>
      </c>
      <c r="AN1307" s="2">
        <f t="shared" si="209"/>
        <v>1</v>
      </c>
      <c r="AO1307" s="2">
        <f t="shared" si="210"/>
        <v>1</v>
      </c>
      <c r="AP1307" s="2">
        <f t="shared" si="211"/>
        <v>0</v>
      </c>
      <c r="AQ1307" s="2">
        <f t="shared" si="212"/>
        <v>0</v>
      </c>
      <c r="AR1307" s="2">
        <f t="shared" si="213"/>
        <v>0</v>
      </c>
      <c r="AS1307" s="2">
        <f t="shared" si="214"/>
        <v>0</v>
      </c>
      <c r="AT1307" s="25">
        <f t="shared" si="215"/>
        <v>0</v>
      </c>
    </row>
    <row r="1308" spans="1:46">
      <c r="A1308" s="24">
        <v>46125</v>
      </c>
      <c r="B1308" s="23">
        <f t="shared" si="207"/>
        <v>46113</v>
      </c>
      <c r="C1308" s="2" t="s">
        <v>62</v>
      </c>
      <c r="D1308" s="2" t="s">
        <v>109</v>
      </c>
      <c r="E1308" s="2">
        <v>7131</v>
      </c>
      <c r="F1308" s="2">
        <v>50</v>
      </c>
      <c r="G1308" s="2">
        <v>50</v>
      </c>
      <c r="H1308" s="2">
        <v>50</v>
      </c>
      <c r="I1308" s="2">
        <f t="shared" si="208"/>
        <v>0</v>
      </c>
      <c r="J1308" s="44" t="s">
        <v>1568</v>
      </c>
      <c r="K1308" s="2">
        <v>100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/>
      <c r="AM1308" s="2" t="s">
        <v>1568</v>
      </c>
      <c r="AN1308" s="2">
        <f t="shared" si="209"/>
        <v>0</v>
      </c>
      <c r="AO1308" s="2">
        <f t="shared" si="210"/>
        <v>0</v>
      </c>
      <c r="AP1308" s="2">
        <f t="shared" si="211"/>
        <v>0</v>
      </c>
      <c r="AQ1308" s="2">
        <f t="shared" si="212"/>
        <v>0</v>
      </c>
      <c r="AR1308" s="2">
        <f t="shared" si="213"/>
        <v>0</v>
      </c>
      <c r="AS1308" s="2">
        <f t="shared" si="214"/>
        <v>0</v>
      </c>
      <c r="AT1308" s="25">
        <f t="shared" si="215"/>
        <v>0</v>
      </c>
    </row>
    <row r="1309" spans="1:46">
      <c r="A1309" s="24">
        <v>46125</v>
      </c>
      <c r="B1309" s="23">
        <f t="shared" si="207"/>
        <v>46113</v>
      </c>
      <c r="C1309" s="2" t="s">
        <v>62</v>
      </c>
      <c r="D1309" s="2" t="s">
        <v>1217</v>
      </c>
      <c r="E1309" s="2">
        <v>3247</v>
      </c>
      <c r="F1309" s="2">
        <v>52</v>
      </c>
      <c r="G1309" s="2">
        <v>52</v>
      </c>
      <c r="H1309" s="2">
        <v>52</v>
      </c>
      <c r="I1309" s="2">
        <f t="shared" si="208"/>
        <v>0</v>
      </c>
      <c r="J1309" s="44" t="s">
        <v>1568</v>
      </c>
      <c r="K1309" s="2">
        <v>100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/>
      <c r="AM1309" s="2" t="s">
        <v>1568</v>
      </c>
      <c r="AN1309" s="2">
        <f t="shared" si="209"/>
        <v>0</v>
      </c>
      <c r="AO1309" s="2">
        <f t="shared" si="210"/>
        <v>0</v>
      </c>
      <c r="AP1309" s="2">
        <f t="shared" si="211"/>
        <v>0</v>
      </c>
      <c r="AQ1309" s="2">
        <f t="shared" si="212"/>
        <v>0</v>
      </c>
      <c r="AR1309" s="2">
        <f t="shared" si="213"/>
        <v>0</v>
      </c>
      <c r="AS1309" s="2">
        <f t="shared" si="214"/>
        <v>0</v>
      </c>
      <c r="AT1309" s="25">
        <f t="shared" si="215"/>
        <v>0</v>
      </c>
    </row>
    <row r="1310" spans="1:46">
      <c r="A1310" s="24">
        <v>46125</v>
      </c>
      <c r="B1310" s="23">
        <f t="shared" si="207"/>
        <v>46113</v>
      </c>
      <c r="C1310" s="2" t="s">
        <v>133</v>
      </c>
      <c r="D1310" s="2" t="s">
        <v>1583</v>
      </c>
      <c r="E1310" s="2">
        <v>3344</v>
      </c>
      <c r="F1310" s="2">
        <v>216</v>
      </c>
      <c r="G1310" s="2">
        <v>216</v>
      </c>
      <c r="H1310" s="2">
        <v>196</v>
      </c>
      <c r="I1310" s="2">
        <f t="shared" si="208"/>
        <v>20</v>
      </c>
      <c r="J1310" s="44" t="s">
        <v>99</v>
      </c>
      <c r="K1310" s="2">
        <v>100</v>
      </c>
      <c r="L1310" s="2">
        <v>3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17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/>
      <c r="AM1310" s="2" t="s">
        <v>99</v>
      </c>
      <c r="AN1310" s="2">
        <f t="shared" si="209"/>
        <v>3</v>
      </c>
      <c r="AO1310" s="2">
        <f t="shared" si="210"/>
        <v>0</v>
      </c>
      <c r="AP1310" s="2">
        <f t="shared" si="211"/>
        <v>0</v>
      </c>
      <c r="AQ1310" s="2">
        <f t="shared" si="212"/>
        <v>0</v>
      </c>
      <c r="AR1310" s="2">
        <f t="shared" si="213"/>
        <v>17</v>
      </c>
      <c r="AS1310" s="2">
        <f t="shared" si="214"/>
        <v>0</v>
      </c>
      <c r="AT1310" s="25">
        <f t="shared" si="215"/>
        <v>0</v>
      </c>
    </row>
    <row r="1311" spans="1:46">
      <c r="A1311" s="24">
        <v>46125</v>
      </c>
      <c r="B1311" s="23">
        <f t="shared" si="207"/>
        <v>46113</v>
      </c>
      <c r="C1311" s="2" t="s">
        <v>133</v>
      </c>
      <c r="D1311" s="2" t="s">
        <v>1583</v>
      </c>
      <c r="E1311" s="2">
        <v>3344</v>
      </c>
      <c r="F1311" s="2">
        <v>223</v>
      </c>
      <c r="G1311" s="2">
        <v>223</v>
      </c>
      <c r="H1311" s="2">
        <v>188</v>
      </c>
      <c r="I1311" s="2">
        <f t="shared" si="208"/>
        <v>35</v>
      </c>
      <c r="J1311" s="44" t="s">
        <v>99</v>
      </c>
      <c r="K1311" s="2">
        <v>100</v>
      </c>
      <c r="L1311" s="2">
        <v>5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30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/>
      <c r="AM1311" s="2" t="s">
        <v>99</v>
      </c>
      <c r="AN1311" s="2">
        <f t="shared" si="209"/>
        <v>5</v>
      </c>
      <c r="AO1311" s="2">
        <f t="shared" si="210"/>
        <v>0</v>
      </c>
      <c r="AP1311" s="2">
        <f t="shared" si="211"/>
        <v>0</v>
      </c>
      <c r="AQ1311" s="2">
        <f t="shared" si="212"/>
        <v>0</v>
      </c>
      <c r="AR1311" s="2">
        <f t="shared" si="213"/>
        <v>30</v>
      </c>
      <c r="AS1311" s="2">
        <f t="shared" si="214"/>
        <v>0</v>
      </c>
      <c r="AT1311" s="25">
        <f t="shared" si="215"/>
        <v>0</v>
      </c>
    </row>
    <row r="1312" spans="1:46">
      <c r="A1312" s="24">
        <v>46125</v>
      </c>
      <c r="B1312" s="23">
        <f t="shared" si="207"/>
        <v>46113</v>
      </c>
      <c r="C1312" s="2" t="s">
        <v>133</v>
      </c>
      <c r="D1312" s="2" t="s">
        <v>1583</v>
      </c>
      <c r="E1312" s="2">
        <v>3344</v>
      </c>
      <c r="F1312" s="2">
        <v>142</v>
      </c>
      <c r="G1312" s="2">
        <v>142</v>
      </c>
      <c r="H1312" s="2">
        <v>132</v>
      </c>
      <c r="I1312" s="2">
        <f t="shared" si="208"/>
        <v>10</v>
      </c>
      <c r="J1312" s="44" t="s">
        <v>99</v>
      </c>
      <c r="K1312" s="2">
        <v>100</v>
      </c>
      <c r="L1312" s="2">
        <v>5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5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/>
      <c r="AM1312" s="2" t="s">
        <v>99</v>
      </c>
      <c r="AN1312" s="2">
        <f t="shared" si="209"/>
        <v>5</v>
      </c>
      <c r="AO1312" s="2">
        <f t="shared" si="210"/>
        <v>0</v>
      </c>
      <c r="AP1312" s="2">
        <f t="shared" si="211"/>
        <v>0</v>
      </c>
      <c r="AQ1312" s="2">
        <f t="shared" si="212"/>
        <v>0</v>
      </c>
      <c r="AR1312" s="2">
        <f t="shared" si="213"/>
        <v>5</v>
      </c>
      <c r="AS1312" s="2">
        <f t="shared" si="214"/>
        <v>0</v>
      </c>
      <c r="AT1312" s="25">
        <f t="shared" si="215"/>
        <v>0</v>
      </c>
    </row>
    <row r="1313" spans="1:46">
      <c r="A1313" s="24">
        <v>46125</v>
      </c>
      <c r="B1313" s="23">
        <f t="shared" si="207"/>
        <v>46113</v>
      </c>
      <c r="C1313" s="2" t="s">
        <v>72</v>
      </c>
      <c r="D1313" s="2" t="s">
        <v>345</v>
      </c>
      <c r="E1313" s="2">
        <v>2724</v>
      </c>
      <c r="F1313" s="2">
        <v>62</v>
      </c>
      <c r="G1313" s="2">
        <v>62</v>
      </c>
      <c r="H1313" s="2">
        <v>57</v>
      </c>
      <c r="I1313" s="2">
        <f t="shared" si="208"/>
        <v>5</v>
      </c>
      <c r="J1313" s="44" t="s">
        <v>80</v>
      </c>
      <c r="K1313" s="2">
        <v>100</v>
      </c>
      <c r="L1313" s="2">
        <v>1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4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/>
      <c r="AM1313" s="2" t="s">
        <v>80</v>
      </c>
      <c r="AN1313" s="2">
        <f t="shared" si="209"/>
        <v>1</v>
      </c>
      <c r="AO1313" s="2">
        <f t="shared" si="210"/>
        <v>4</v>
      </c>
      <c r="AP1313" s="2">
        <f t="shared" si="211"/>
        <v>0</v>
      </c>
      <c r="AQ1313" s="2">
        <f t="shared" si="212"/>
        <v>0</v>
      </c>
      <c r="AR1313" s="2">
        <f t="shared" si="213"/>
        <v>0</v>
      </c>
      <c r="AS1313" s="2">
        <f t="shared" si="214"/>
        <v>0</v>
      </c>
      <c r="AT1313" s="25">
        <f t="shared" si="215"/>
        <v>0</v>
      </c>
    </row>
    <row r="1314" spans="1:46">
      <c r="A1314" s="24">
        <v>46125</v>
      </c>
      <c r="B1314" s="23">
        <f t="shared" si="207"/>
        <v>46113</v>
      </c>
      <c r="C1314" s="2" t="s">
        <v>72</v>
      </c>
      <c r="D1314" s="2" t="s">
        <v>1515</v>
      </c>
      <c r="E1314" s="2">
        <v>3341</v>
      </c>
      <c r="F1314" s="2">
        <v>39</v>
      </c>
      <c r="G1314" s="2">
        <v>39</v>
      </c>
      <c r="H1314" s="2">
        <v>34</v>
      </c>
      <c r="I1314" s="2">
        <f t="shared" si="208"/>
        <v>5</v>
      </c>
      <c r="J1314" s="44" t="s">
        <v>80</v>
      </c>
      <c r="K1314" s="2">
        <v>100</v>
      </c>
      <c r="L1314" s="2">
        <v>5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/>
      <c r="AM1314" s="2" t="s">
        <v>80</v>
      </c>
      <c r="AN1314" s="2">
        <f t="shared" si="209"/>
        <v>5</v>
      </c>
      <c r="AO1314" s="2">
        <f t="shared" si="210"/>
        <v>0</v>
      </c>
      <c r="AP1314" s="2">
        <f t="shared" si="211"/>
        <v>0</v>
      </c>
      <c r="AQ1314" s="2">
        <f t="shared" si="212"/>
        <v>0</v>
      </c>
      <c r="AR1314" s="2">
        <f t="shared" si="213"/>
        <v>0</v>
      </c>
      <c r="AS1314" s="2">
        <f t="shared" si="214"/>
        <v>0</v>
      </c>
      <c r="AT1314" s="25">
        <f t="shared" si="215"/>
        <v>0</v>
      </c>
    </row>
    <row r="1315" spans="1:46">
      <c r="A1315" s="24">
        <v>46125</v>
      </c>
      <c r="B1315" s="23">
        <f t="shared" si="207"/>
        <v>46113</v>
      </c>
      <c r="C1315" s="2" t="s">
        <v>46</v>
      </c>
      <c r="D1315" s="2" t="s">
        <v>1222</v>
      </c>
      <c r="E1315" s="2">
        <v>6307</v>
      </c>
      <c r="F1315" s="2">
        <v>63</v>
      </c>
      <c r="G1315" s="2">
        <v>63</v>
      </c>
      <c r="H1315" s="2">
        <v>61</v>
      </c>
      <c r="I1315" s="2">
        <f t="shared" si="208"/>
        <v>2</v>
      </c>
      <c r="J1315" s="44" t="s">
        <v>80</v>
      </c>
      <c r="K1315" s="2">
        <v>100</v>
      </c>
      <c r="L1315" s="2">
        <v>2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/>
      <c r="AM1315" s="2" t="s">
        <v>80</v>
      </c>
      <c r="AN1315" s="2">
        <f t="shared" si="209"/>
        <v>2</v>
      </c>
      <c r="AO1315" s="2">
        <f t="shared" si="210"/>
        <v>0</v>
      </c>
      <c r="AP1315" s="2">
        <f t="shared" si="211"/>
        <v>0</v>
      </c>
      <c r="AQ1315" s="2">
        <f t="shared" si="212"/>
        <v>0</v>
      </c>
      <c r="AR1315" s="2">
        <f t="shared" si="213"/>
        <v>0</v>
      </c>
      <c r="AS1315" s="2">
        <f t="shared" si="214"/>
        <v>0</v>
      </c>
      <c r="AT1315" s="25">
        <f t="shared" si="215"/>
        <v>0</v>
      </c>
    </row>
    <row r="1316" spans="1:46">
      <c r="A1316" s="24">
        <v>46125</v>
      </c>
      <c r="B1316" s="23">
        <f t="shared" si="207"/>
        <v>46113</v>
      </c>
      <c r="C1316" s="2" t="s">
        <v>46</v>
      </c>
      <c r="D1316" s="2" t="s">
        <v>1230</v>
      </c>
      <c r="E1316" s="2">
        <v>6309</v>
      </c>
      <c r="F1316" s="2">
        <v>38</v>
      </c>
      <c r="G1316" s="2">
        <v>38</v>
      </c>
      <c r="H1316" s="2">
        <v>33</v>
      </c>
      <c r="I1316" s="2">
        <f t="shared" si="208"/>
        <v>5</v>
      </c>
      <c r="J1316" s="44" t="s">
        <v>80</v>
      </c>
      <c r="K1316" s="2">
        <v>100</v>
      </c>
      <c r="L1316" s="2">
        <v>1</v>
      </c>
      <c r="M1316" s="2">
        <v>0</v>
      </c>
      <c r="N1316" s="2">
        <v>0</v>
      </c>
      <c r="O1316" s="2">
        <v>0</v>
      </c>
      <c r="P1316" s="2">
        <v>4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/>
      <c r="AM1316" s="2" t="s">
        <v>80</v>
      </c>
      <c r="AN1316" s="2">
        <f t="shared" si="209"/>
        <v>1</v>
      </c>
      <c r="AO1316" s="2">
        <f t="shared" si="210"/>
        <v>4</v>
      </c>
      <c r="AP1316" s="2">
        <f t="shared" si="211"/>
        <v>0</v>
      </c>
      <c r="AQ1316" s="2">
        <f t="shared" si="212"/>
        <v>0</v>
      </c>
      <c r="AR1316" s="2">
        <f t="shared" si="213"/>
        <v>0</v>
      </c>
      <c r="AS1316" s="2">
        <f t="shared" si="214"/>
        <v>0</v>
      </c>
      <c r="AT1316" s="25">
        <f t="shared" si="215"/>
        <v>0</v>
      </c>
    </row>
    <row r="1317" spans="1:46">
      <c r="A1317" s="24">
        <v>46125</v>
      </c>
      <c r="B1317" s="23">
        <f t="shared" si="207"/>
        <v>46113</v>
      </c>
      <c r="C1317" s="2" t="s">
        <v>46</v>
      </c>
      <c r="D1317" s="2" t="s">
        <v>1224</v>
      </c>
      <c r="E1317" s="2">
        <v>6277</v>
      </c>
      <c r="F1317" s="2">
        <v>46</v>
      </c>
      <c r="G1317" s="2">
        <v>46</v>
      </c>
      <c r="H1317" s="2">
        <v>38</v>
      </c>
      <c r="I1317" s="2">
        <f t="shared" si="208"/>
        <v>8</v>
      </c>
      <c r="J1317" s="44" t="s">
        <v>80</v>
      </c>
      <c r="K1317" s="2">
        <v>100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5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3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/>
      <c r="AM1317" s="2" t="s">
        <v>80</v>
      </c>
      <c r="AN1317" s="2">
        <f t="shared" si="209"/>
        <v>0</v>
      </c>
      <c r="AO1317" s="2">
        <f t="shared" si="210"/>
        <v>5</v>
      </c>
      <c r="AP1317" s="2">
        <f t="shared" si="211"/>
        <v>3</v>
      </c>
      <c r="AQ1317" s="2">
        <f t="shared" si="212"/>
        <v>0</v>
      </c>
      <c r="AR1317" s="2">
        <f t="shared" si="213"/>
        <v>0</v>
      </c>
      <c r="AS1317" s="2">
        <f t="shared" si="214"/>
        <v>0</v>
      </c>
      <c r="AT1317" s="25">
        <f t="shared" si="215"/>
        <v>0</v>
      </c>
    </row>
    <row r="1318" spans="1:46">
      <c r="A1318" s="24">
        <v>46125</v>
      </c>
      <c r="B1318" s="23">
        <f t="shared" si="207"/>
        <v>46113</v>
      </c>
      <c r="C1318" s="2" t="s">
        <v>46</v>
      </c>
      <c r="D1318" s="2" t="s">
        <v>1393</v>
      </c>
      <c r="E1318" s="2">
        <v>6285</v>
      </c>
      <c r="F1318" s="2">
        <v>31</v>
      </c>
      <c r="G1318" s="2">
        <v>31</v>
      </c>
      <c r="H1318" s="2">
        <v>31</v>
      </c>
      <c r="I1318" s="2">
        <f t="shared" si="208"/>
        <v>0</v>
      </c>
      <c r="J1318" s="44" t="s">
        <v>80</v>
      </c>
      <c r="K1318" s="2">
        <v>100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/>
      <c r="AM1318" s="2" t="s">
        <v>80</v>
      </c>
      <c r="AN1318" s="2">
        <f t="shared" si="209"/>
        <v>0</v>
      </c>
      <c r="AO1318" s="2">
        <f t="shared" si="210"/>
        <v>0</v>
      </c>
      <c r="AP1318" s="2">
        <f t="shared" si="211"/>
        <v>0</v>
      </c>
      <c r="AQ1318" s="2">
        <f t="shared" si="212"/>
        <v>0</v>
      </c>
      <c r="AR1318" s="2">
        <f t="shared" si="213"/>
        <v>0</v>
      </c>
      <c r="AS1318" s="2">
        <f t="shared" si="214"/>
        <v>0</v>
      </c>
      <c r="AT1318" s="25">
        <f t="shared" si="215"/>
        <v>0</v>
      </c>
    </row>
    <row r="1319" spans="1:46">
      <c r="A1319" s="24">
        <v>46125</v>
      </c>
      <c r="B1319" s="23">
        <f t="shared" si="207"/>
        <v>46113</v>
      </c>
      <c r="C1319" s="2" t="s">
        <v>46</v>
      </c>
      <c r="D1319" s="2" t="s">
        <v>208</v>
      </c>
      <c r="E1319" s="2">
        <v>3305</v>
      </c>
      <c r="F1319" s="2">
        <v>46</v>
      </c>
      <c r="G1319" s="2">
        <v>46</v>
      </c>
      <c r="H1319" s="2">
        <v>46</v>
      </c>
      <c r="I1319" s="2">
        <f t="shared" si="208"/>
        <v>0</v>
      </c>
      <c r="J1319" s="44" t="s">
        <v>80</v>
      </c>
      <c r="K1319" s="2">
        <v>100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/>
      <c r="AM1319" s="2" t="s">
        <v>80</v>
      </c>
      <c r="AN1319" s="2">
        <f t="shared" si="209"/>
        <v>0</v>
      </c>
      <c r="AO1319" s="2">
        <f t="shared" si="210"/>
        <v>0</v>
      </c>
      <c r="AP1319" s="2">
        <f t="shared" si="211"/>
        <v>0</v>
      </c>
      <c r="AQ1319" s="2">
        <f t="shared" si="212"/>
        <v>0</v>
      </c>
      <c r="AR1319" s="2">
        <f t="shared" si="213"/>
        <v>0</v>
      </c>
      <c r="AS1319" s="2">
        <f t="shared" si="214"/>
        <v>0</v>
      </c>
      <c r="AT1319" s="25">
        <f t="shared" si="215"/>
        <v>0</v>
      </c>
    </row>
    <row r="1320" spans="1:46">
      <c r="A1320" s="24">
        <v>46125</v>
      </c>
      <c r="B1320" s="23">
        <f t="shared" si="207"/>
        <v>46113</v>
      </c>
      <c r="C1320" s="2" t="s">
        <v>46</v>
      </c>
      <c r="D1320" s="2" t="s">
        <v>1224</v>
      </c>
      <c r="E1320" s="2">
        <v>6277</v>
      </c>
      <c r="F1320" s="2">
        <v>5</v>
      </c>
      <c r="G1320" s="2">
        <v>5</v>
      </c>
      <c r="H1320" s="2">
        <v>5</v>
      </c>
      <c r="I1320" s="2">
        <f t="shared" si="208"/>
        <v>0</v>
      </c>
      <c r="J1320" s="44" t="s">
        <v>80</v>
      </c>
      <c r="K1320" s="2">
        <v>100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/>
      <c r="AM1320" s="2" t="s">
        <v>80</v>
      </c>
      <c r="AN1320" s="2">
        <f t="shared" si="209"/>
        <v>0</v>
      </c>
      <c r="AO1320" s="2">
        <f t="shared" si="210"/>
        <v>0</v>
      </c>
      <c r="AP1320" s="2">
        <f t="shared" si="211"/>
        <v>0</v>
      </c>
      <c r="AQ1320" s="2">
        <f t="shared" si="212"/>
        <v>0</v>
      </c>
      <c r="AR1320" s="2">
        <f t="shared" si="213"/>
        <v>0</v>
      </c>
      <c r="AS1320" s="2">
        <f t="shared" si="214"/>
        <v>0</v>
      </c>
      <c r="AT1320" s="25">
        <f t="shared" si="215"/>
        <v>0</v>
      </c>
    </row>
    <row r="1321" spans="1:46">
      <c r="A1321" s="24">
        <v>46125</v>
      </c>
      <c r="B1321" s="23">
        <f t="shared" si="207"/>
        <v>46113</v>
      </c>
      <c r="C1321" s="2" t="s">
        <v>72</v>
      </c>
      <c r="D1321" s="2" t="s">
        <v>154</v>
      </c>
      <c r="E1321" s="2">
        <v>1729</v>
      </c>
      <c r="F1321" s="2">
        <v>54</v>
      </c>
      <c r="G1321" s="2">
        <v>54</v>
      </c>
      <c r="H1321" s="2">
        <v>47</v>
      </c>
      <c r="I1321" s="2">
        <f t="shared" si="208"/>
        <v>7</v>
      </c>
      <c r="J1321" s="44" t="s">
        <v>80</v>
      </c>
      <c r="K1321" s="2">
        <v>100</v>
      </c>
      <c r="L1321" s="2">
        <v>1</v>
      </c>
      <c r="M1321" s="2">
        <v>0</v>
      </c>
      <c r="N1321" s="2">
        <v>0</v>
      </c>
      <c r="O1321" s="2">
        <v>0</v>
      </c>
      <c r="P1321" s="2">
        <v>5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1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/>
      <c r="AM1321" s="2" t="s">
        <v>80</v>
      </c>
      <c r="AN1321" s="2">
        <f t="shared" si="209"/>
        <v>1</v>
      </c>
      <c r="AO1321" s="2">
        <f t="shared" si="210"/>
        <v>5</v>
      </c>
      <c r="AP1321" s="2">
        <f t="shared" si="211"/>
        <v>1</v>
      </c>
      <c r="AQ1321" s="2">
        <f t="shared" si="212"/>
        <v>0</v>
      </c>
      <c r="AR1321" s="2">
        <f t="shared" si="213"/>
        <v>0</v>
      </c>
      <c r="AS1321" s="2">
        <f t="shared" si="214"/>
        <v>0</v>
      </c>
      <c r="AT1321" s="25">
        <f t="shared" si="215"/>
        <v>0</v>
      </c>
    </row>
    <row r="1322" spans="1:46">
      <c r="A1322" s="24">
        <v>46125</v>
      </c>
      <c r="B1322" s="23">
        <f t="shared" si="207"/>
        <v>46113</v>
      </c>
      <c r="C1322" s="2" t="s">
        <v>72</v>
      </c>
      <c r="D1322" s="2" t="s">
        <v>1308</v>
      </c>
      <c r="E1322" s="2">
        <v>6314</v>
      </c>
      <c r="F1322" s="2">
        <v>41</v>
      </c>
      <c r="G1322" s="2">
        <v>41</v>
      </c>
      <c r="H1322" s="2">
        <v>40</v>
      </c>
      <c r="I1322" s="2">
        <f t="shared" si="208"/>
        <v>1</v>
      </c>
      <c r="J1322" s="44" t="s">
        <v>80</v>
      </c>
      <c r="K1322" s="2">
        <v>100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1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/>
      <c r="AM1322" s="2" t="s">
        <v>80</v>
      </c>
      <c r="AN1322" s="2">
        <f t="shared" si="209"/>
        <v>0</v>
      </c>
      <c r="AO1322" s="2">
        <f t="shared" si="210"/>
        <v>0</v>
      </c>
      <c r="AP1322" s="2">
        <f t="shared" si="211"/>
        <v>1</v>
      </c>
      <c r="AQ1322" s="2">
        <f t="shared" si="212"/>
        <v>0</v>
      </c>
      <c r="AR1322" s="2">
        <f t="shared" si="213"/>
        <v>0</v>
      </c>
      <c r="AS1322" s="2">
        <f t="shared" si="214"/>
        <v>0</v>
      </c>
      <c r="AT1322" s="25">
        <f t="shared" si="215"/>
        <v>0</v>
      </c>
    </row>
    <row r="1323" spans="1:46">
      <c r="A1323" s="24">
        <v>46125</v>
      </c>
      <c r="B1323" s="23">
        <f t="shared" si="207"/>
        <v>46113</v>
      </c>
      <c r="C1323" s="2" t="s">
        <v>82</v>
      </c>
      <c r="D1323" s="2" t="s">
        <v>335</v>
      </c>
      <c r="E1323" s="2">
        <v>7133</v>
      </c>
      <c r="F1323" s="2">
        <v>27</v>
      </c>
      <c r="G1323" s="2">
        <v>27</v>
      </c>
      <c r="H1323" s="2">
        <v>23</v>
      </c>
      <c r="I1323" s="2">
        <f t="shared" si="208"/>
        <v>4</v>
      </c>
      <c r="J1323" s="44" t="s">
        <v>93</v>
      </c>
      <c r="K1323" s="2">
        <v>100</v>
      </c>
      <c r="L1323" s="2">
        <v>4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/>
      <c r="AM1323" s="2" t="s">
        <v>93</v>
      </c>
      <c r="AN1323" s="2">
        <f t="shared" si="209"/>
        <v>4</v>
      </c>
      <c r="AO1323" s="2">
        <f t="shared" si="210"/>
        <v>0</v>
      </c>
      <c r="AP1323" s="2">
        <f t="shared" si="211"/>
        <v>0</v>
      </c>
      <c r="AQ1323" s="2">
        <f t="shared" si="212"/>
        <v>0</v>
      </c>
      <c r="AR1323" s="2">
        <f t="shared" si="213"/>
        <v>0</v>
      </c>
      <c r="AS1323" s="2">
        <f t="shared" si="214"/>
        <v>0</v>
      </c>
      <c r="AT1323" s="25">
        <f t="shared" si="215"/>
        <v>0</v>
      </c>
    </row>
    <row r="1324" spans="1:46">
      <c r="A1324" s="24">
        <v>46125</v>
      </c>
      <c r="B1324" s="23">
        <f t="shared" si="207"/>
        <v>46113</v>
      </c>
      <c r="C1324" s="2" t="s">
        <v>62</v>
      </c>
      <c r="D1324" s="2" t="s">
        <v>334</v>
      </c>
      <c r="E1324" s="2">
        <v>3246</v>
      </c>
      <c r="F1324" s="2">
        <v>318</v>
      </c>
      <c r="G1324" s="2">
        <v>318</v>
      </c>
      <c r="H1324" s="2">
        <v>311</v>
      </c>
      <c r="I1324" s="2">
        <f t="shared" si="208"/>
        <v>7</v>
      </c>
      <c r="J1324" s="44" t="s">
        <v>93</v>
      </c>
      <c r="K1324" s="2">
        <v>100</v>
      </c>
      <c r="L1324" s="2">
        <v>7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/>
      <c r="AM1324" s="2" t="s">
        <v>93</v>
      </c>
      <c r="AN1324" s="2">
        <f t="shared" si="209"/>
        <v>7</v>
      </c>
      <c r="AO1324" s="2">
        <f t="shared" si="210"/>
        <v>0</v>
      </c>
      <c r="AP1324" s="2">
        <f t="shared" si="211"/>
        <v>0</v>
      </c>
      <c r="AQ1324" s="2">
        <f t="shared" si="212"/>
        <v>0</v>
      </c>
      <c r="AR1324" s="2">
        <f t="shared" si="213"/>
        <v>0</v>
      </c>
      <c r="AS1324" s="2">
        <f t="shared" si="214"/>
        <v>0</v>
      </c>
      <c r="AT1324" s="25">
        <f t="shared" si="215"/>
        <v>0</v>
      </c>
    </row>
    <row r="1325" spans="1:46">
      <c r="A1325" s="24">
        <v>46125</v>
      </c>
      <c r="B1325" s="23">
        <f t="shared" si="207"/>
        <v>46113</v>
      </c>
      <c r="C1325" s="2" t="s">
        <v>62</v>
      </c>
      <c r="D1325" s="2" t="s">
        <v>334</v>
      </c>
      <c r="E1325" s="2">
        <v>3246</v>
      </c>
      <c r="F1325" s="2">
        <v>50</v>
      </c>
      <c r="G1325" s="2">
        <v>50</v>
      </c>
      <c r="H1325" s="2">
        <v>49</v>
      </c>
      <c r="I1325" s="2">
        <f t="shared" si="208"/>
        <v>1</v>
      </c>
      <c r="J1325" s="44" t="s">
        <v>93</v>
      </c>
      <c r="K1325" s="2">
        <v>100</v>
      </c>
      <c r="L1325" s="2">
        <v>1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/>
      <c r="AM1325" s="2" t="s">
        <v>93</v>
      </c>
      <c r="AN1325" s="2">
        <f t="shared" si="209"/>
        <v>1</v>
      </c>
      <c r="AO1325" s="2">
        <f t="shared" si="210"/>
        <v>0</v>
      </c>
      <c r="AP1325" s="2">
        <f t="shared" si="211"/>
        <v>0</v>
      </c>
      <c r="AQ1325" s="2">
        <f t="shared" si="212"/>
        <v>0</v>
      </c>
      <c r="AR1325" s="2">
        <f t="shared" si="213"/>
        <v>0</v>
      </c>
      <c r="AS1325" s="2">
        <f t="shared" si="214"/>
        <v>0</v>
      </c>
      <c r="AT1325" s="25">
        <f t="shared" si="215"/>
        <v>0</v>
      </c>
    </row>
    <row r="1326" spans="1:46">
      <c r="A1326" s="24">
        <v>46125</v>
      </c>
      <c r="B1326" s="23">
        <f t="shared" si="207"/>
        <v>46113</v>
      </c>
      <c r="C1326" s="2" t="s">
        <v>160</v>
      </c>
      <c r="D1326" s="2" t="s">
        <v>388</v>
      </c>
      <c r="E1326" s="2">
        <v>3089</v>
      </c>
      <c r="F1326" s="2">
        <v>44</v>
      </c>
      <c r="G1326" s="2">
        <v>44</v>
      </c>
      <c r="H1326" s="2">
        <v>43</v>
      </c>
      <c r="I1326" s="2">
        <f t="shared" si="208"/>
        <v>1</v>
      </c>
      <c r="J1326" s="44" t="s">
        <v>93</v>
      </c>
      <c r="K1326" s="2">
        <v>100</v>
      </c>
      <c r="L1326" s="2">
        <v>1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/>
      <c r="AM1326" s="2" t="s">
        <v>93</v>
      </c>
      <c r="AN1326" s="2">
        <f t="shared" si="209"/>
        <v>1</v>
      </c>
      <c r="AO1326" s="2">
        <f t="shared" si="210"/>
        <v>0</v>
      </c>
      <c r="AP1326" s="2">
        <f t="shared" si="211"/>
        <v>0</v>
      </c>
      <c r="AQ1326" s="2">
        <f t="shared" si="212"/>
        <v>0</v>
      </c>
      <c r="AR1326" s="2">
        <f t="shared" si="213"/>
        <v>0</v>
      </c>
      <c r="AS1326" s="2">
        <f t="shared" si="214"/>
        <v>0</v>
      </c>
      <c r="AT1326" s="25">
        <f t="shared" si="215"/>
        <v>0</v>
      </c>
    </row>
    <row r="1327" spans="1:46">
      <c r="A1327" s="24">
        <v>46125</v>
      </c>
      <c r="B1327" s="23">
        <f t="shared" si="207"/>
        <v>46113</v>
      </c>
      <c r="C1327" s="2" t="s">
        <v>160</v>
      </c>
      <c r="D1327" s="2" t="s">
        <v>388</v>
      </c>
      <c r="E1327" s="2">
        <v>3089</v>
      </c>
      <c r="F1327" s="2">
        <v>39</v>
      </c>
      <c r="G1327" s="2">
        <v>39</v>
      </c>
      <c r="H1327" s="2">
        <v>38</v>
      </c>
      <c r="I1327" s="2">
        <f t="shared" si="208"/>
        <v>1</v>
      </c>
      <c r="J1327" s="44" t="s">
        <v>93</v>
      </c>
      <c r="K1327" s="2">
        <v>100</v>
      </c>
      <c r="L1327" s="2">
        <v>1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/>
      <c r="AM1327" s="2" t="s">
        <v>93</v>
      </c>
      <c r="AN1327" s="2">
        <f t="shared" si="209"/>
        <v>1</v>
      </c>
      <c r="AO1327" s="2">
        <f t="shared" si="210"/>
        <v>0</v>
      </c>
      <c r="AP1327" s="2">
        <f t="shared" si="211"/>
        <v>0</v>
      </c>
      <c r="AQ1327" s="2">
        <f t="shared" si="212"/>
        <v>0</v>
      </c>
      <c r="AR1327" s="2">
        <f t="shared" si="213"/>
        <v>0</v>
      </c>
      <c r="AS1327" s="2">
        <f t="shared" si="214"/>
        <v>0</v>
      </c>
      <c r="AT1327" s="25">
        <f t="shared" si="215"/>
        <v>0</v>
      </c>
    </row>
    <row r="1328" spans="1:46">
      <c r="A1328" s="24">
        <v>46125</v>
      </c>
      <c r="B1328" s="23">
        <f t="shared" si="207"/>
        <v>46113</v>
      </c>
      <c r="C1328" s="2" t="s">
        <v>160</v>
      </c>
      <c r="D1328" s="2" t="s">
        <v>223</v>
      </c>
      <c r="E1328" s="2">
        <v>6278</v>
      </c>
      <c r="F1328" s="2">
        <v>12</v>
      </c>
      <c r="G1328" s="2">
        <v>12</v>
      </c>
      <c r="H1328" s="2">
        <v>0</v>
      </c>
      <c r="I1328" s="2">
        <f t="shared" si="208"/>
        <v>12</v>
      </c>
      <c r="J1328" s="44" t="s">
        <v>93</v>
      </c>
      <c r="K1328" s="2">
        <v>100</v>
      </c>
      <c r="L1328" s="2">
        <v>0</v>
      </c>
      <c r="M1328" s="2">
        <v>10</v>
      </c>
      <c r="N1328" s="2">
        <v>0</v>
      </c>
      <c r="O1328" s="2">
        <v>0</v>
      </c>
      <c r="P1328" s="2">
        <v>2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/>
      <c r="AM1328" s="2" t="s">
        <v>93</v>
      </c>
      <c r="AN1328" s="2">
        <f t="shared" si="209"/>
        <v>0</v>
      </c>
      <c r="AO1328" s="2">
        <f t="shared" si="210"/>
        <v>12</v>
      </c>
      <c r="AP1328" s="2">
        <f t="shared" si="211"/>
        <v>0</v>
      </c>
      <c r="AQ1328" s="2">
        <f t="shared" si="212"/>
        <v>0</v>
      </c>
      <c r="AR1328" s="2">
        <f t="shared" si="213"/>
        <v>0</v>
      </c>
      <c r="AS1328" s="2">
        <f t="shared" si="214"/>
        <v>0</v>
      </c>
      <c r="AT1328" s="25">
        <f t="shared" si="215"/>
        <v>0</v>
      </c>
    </row>
    <row r="1329" spans="1:46">
      <c r="A1329" s="24">
        <v>46125</v>
      </c>
      <c r="B1329" s="23">
        <f t="shared" si="207"/>
        <v>46113</v>
      </c>
      <c r="C1329" s="2" t="s">
        <v>114</v>
      </c>
      <c r="D1329" s="2" t="s">
        <v>365</v>
      </c>
      <c r="E1329" s="2">
        <v>3287</v>
      </c>
      <c r="F1329" s="2">
        <v>236</v>
      </c>
      <c r="G1329" s="2">
        <v>236</v>
      </c>
      <c r="H1329" s="2">
        <v>223</v>
      </c>
      <c r="I1329" s="2">
        <f t="shared" si="208"/>
        <v>13</v>
      </c>
      <c r="J1329" s="44" t="s">
        <v>99</v>
      </c>
      <c r="K1329" s="2">
        <v>100</v>
      </c>
      <c r="L1329" s="2">
        <v>7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3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1</v>
      </c>
      <c r="AB1329" s="2">
        <v>0</v>
      </c>
      <c r="AC1329" s="2">
        <v>0</v>
      </c>
      <c r="AD1329" s="2">
        <v>1</v>
      </c>
      <c r="AE1329" s="2">
        <v>1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/>
      <c r="AM1329" s="2" t="s">
        <v>99</v>
      </c>
      <c r="AN1329" s="2">
        <f t="shared" si="209"/>
        <v>7</v>
      </c>
      <c r="AO1329" s="2">
        <f t="shared" si="210"/>
        <v>3</v>
      </c>
      <c r="AP1329" s="2">
        <f t="shared" si="211"/>
        <v>1</v>
      </c>
      <c r="AQ1329" s="2">
        <f t="shared" si="212"/>
        <v>1</v>
      </c>
      <c r="AR1329" s="2">
        <f t="shared" si="213"/>
        <v>1</v>
      </c>
      <c r="AS1329" s="2">
        <f t="shared" si="214"/>
        <v>0</v>
      </c>
      <c r="AT1329" s="25">
        <f t="shared" si="215"/>
        <v>0</v>
      </c>
    </row>
    <row r="1330" spans="1:46">
      <c r="A1330" s="24">
        <v>46125</v>
      </c>
      <c r="B1330" s="23">
        <f t="shared" si="207"/>
        <v>46113</v>
      </c>
      <c r="C1330" s="2" t="s">
        <v>114</v>
      </c>
      <c r="D1330" s="2" t="s">
        <v>367</v>
      </c>
      <c r="E1330" s="2">
        <v>3287</v>
      </c>
      <c r="F1330" s="2">
        <v>397</v>
      </c>
      <c r="G1330" s="2">
        <v>397</v>
      </c>
      <c r="H1330" s="2">
        <v>358</v>
      </c>
      <c r="I1330" s="2">
        <f t="shared" si="208"/>
        <v>39</v>
      </c>
      <c r="J1330" s="44" t="s">
        <v>99</v>
      </c>
      <c r="K1330" s="2">
        <v>100</v>
      </c>
      <c r="L1330" s="2">
        <v>15</v>
      </c>
      <c r="M1330" s="2">
        <v>0</v>
      </c>
      <c r="N1330" s="2">
        <v>0</v>
      </c>
      <c r="O1330" s="2">
        <v>0</v>
      </c>
      <c r="P1330" s="2">
        <v>4</v>
      </c>
      <c r="Q1330" s="2">
        <v>0</v>
      </c>
      <c r="R1330" s="2">
        <v>0</v>
      </c>
      <c r="S1330" s="2">
        <v>0</v>
      </c>
      <c r="T1330" s="2">
        <v>0</v>
      </c>
      <c r="U1330" s="2">
        <v>6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2</v>
      </c>
      <c r="AB1330" s="2">
        <v>0</v>
      </c>
      <c r="AC1330" s="2">
        <v>0</v>
      </c>
      <c r="AD1330" s="2">
        <v>12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/>
      <c r="AM1330" s="2" t="s">
        <v>99</v>
      </c>
      <c r="AN1330" s="2">
        <f t="shared" si="209"/>
        <v>15</v>
      </c>
      <c r="AO1330" s="2">
        <f t="shared" si="210"/>
        <v>10</v>
      </c>
      <c r="AP1330" s="2">
        <f t="shared" si="211"/>
        <v>0</v>
      </c>
      <c r="AQ1330" s="2">
        <f t="shared" si="212"/>
        <v>12</v>
      </c>
      <c r="AR1330" s="2">
        <f t="shared" si="213"/>
        <v>2</v>
      </c>
      <c r="AS1330" s="2">
        <f t="shared" si="214"/>
        <v>0</v>
      </c>
      <c r="AT1330" s="25">
        <f t="shared" si="215"/>
        <v>0</v>
      </c>
    </row>
    <row r="1331" spans="1:46">
      <c r="A1331" s="24">
        <v>46125</v>
      </c>
      <c r="B1331" s="23">
        <f t="shared" si="207"/>
        <v>46113</v>
      </c>
      <c r="C1331" s="2" t="s">
        <v>114</v>
      </c>
      <c r="D1331" s="2" t="s">
        <v>389</v>
      </c>
      <c r="E1331" s="2">
        <v>3287</v>
      </c>
      <c r="F1331" s="2">
        <v>49</v>
      </c>
      <c r="G1331" s="2">
        <v>49</v>
      </c>
      <c r="H1331" s="2">
        <v>38</v>
      </c>
      <c r="I1331" s="2">
        <f t="shared" si="208"/>
        <v>11</v>
      </c>
      <c r="J1331" s="44" t="s">
        <v>99</v>
      </c>
      <c r="K1331" s="2">
        <v>100</v>
      </c>
      <c r="L1331" s="2">
        <v>3</v>
      </c>
      <c r="M1331" s="2">
        <v>0</v>
      </c>
      <c r="N1331" s="2">
        <v>0</v>
      </c>
      <c r="O1331" s="2">
        <v>0</v>
      </c>
      <c r="P1331" s="2">
        <v>4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1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3</v>
      </c>
      <c r="AI1331" s="2">
        <v>0</v>
      </c>
      <c r="AJ1331" s="2">
        <v>0</v>
      </c>
      <c r="AK1331" s="2">
        <v>0</v>
      </c>
      <c r="AL1331" s="2"/>
      <c r="AM1331" s="2" t="s">
        <v>99</v>
      </c>
      <c r="AN1331" s="2">
        <f t="shared" si="209"/>
        <v>3</v>
      </c>
      <c r="AO1331" s="2">
        <f t="shared" si="210"/>
        <v>4</v>
      </c>
      <c r="AP1331" s="2">
        <f t="shared" si="211"/>
        <v>0</v>
      </c>
      <c r="AQ1331" s="2">
        <f t="shared" si="212"/>
        <v>0</v>
      </c>
      <c r="AR1331" s="2">
        <f t="shared" si="213"/>
        <v>1</v>
      </c>
      <c r="AS1331" s="2">
        <f t="shared" si="214"/>
        <v>0</v>
      </c>
      <c r="AT1331" s="25">
        <f t="shared" si="215"/>
        <v>3</v>
      </c>
    </row>
    <row r="1332" spans="1:46">
      <c r="A1332" s="24">
        <v>46125</v>
      </c>
      <c r="B1332" s="23">
        <f t="shared" si="207"/>
        <v>46113</v>
      </c>
      <c r="C1332" s="2" t="s">
        <v>114</v>
      </c>
      <c r="D1332" s="2" t="s">
        <v>389</v>
      </c>
      <c r="E1332" s="2">
        <v>3287</v>
      </c>
      <c r="F1332" s="2">
        <v>16</v>
      </c>
      <c r="G1332" s="2">
        <v>16</v>
      </c>
      <c r="H1332" s="2">
        <v>16</v>
      </c>
      <c r="I1332" s="2">
        <f t="shared" si="208"/>
        <v>0</v>
      </c>
      <c r="J1332" s="44" t="s">
        <v>99</v>
      </c>
      <c r="K1332" s="2">
        <v>100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/>
      <c r="AM1332" s="2" t="s">
        <v>99</v>
      </c>
      <c r="AN1332" s="2">
        <f t="shared" si="209"/>
        <v>0</v>
      </c>
      <c r="AO1332" s="2">
        <f t="shared" si="210"/>
        <v>0</v>
      </c>
      <c r="AP1332" s="2">
        <f t="shared" si="211"/>
        <v>0</v>
      </c>
      <c r="AQ1332" s="2">
        <f t="shared" si="212"/>
        <v>0</v>
      </c>
      <c r="AR1332" s="2">
        <f t="shared" si="213"/>
        <v>0</v>
      </c>
      <c r="AS1332" s="2">
        <f t="shared" si="214"/>
        <v>0</v>
      </c>
      <c r="AT1332" s="25">
        <f t="shared" si="215"/>
        <v>0</v>
      </c>
    </row>
    <row r="1333" spans="1:46">
      <c r="A1333" s="24">
        <v>46125</v>
      </c>
      <c r="B1333" s="23">
        <f t="shared" si="207"/>
        <v>46113</v>
      </c>
      <c r="C1333" s="2" t="s">
        <v>114</v>
      </c>
      <c r="D1333" s="2" t="s">
        <v>367</v>
      </c>
      <c r="E1333" s="2">
        <v>3287</v>
      </c>
      <c r="F1333" s="2">
        <v>61</v>
      </c>
      <c r="G1333" s="2">
        <v>61</v>
      </c>
      <c r="H1333" s="2">
        <v>59</v>
      </c>
      <c r="I1333" s="2">
        <f t="shared" si="208"/>
        <v>2</v>
      </c>
      <c r="J1333" s="44" t="s">
        <v>99</v>
      </c>
      <c r="K1333" s="2">
        <v>100</v>
      </c>
      <c r="L1333" s="2">
        <v>2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/>
      <c r="AM1333" s="2" t="s">
        <v>99</v>
      </c>
      <c r="AN1333" s="2">
        <f t="shared" si="209"/>
        <v>2</v>
      </c>
      <c r="AO1333" s="2">
        <f t="shared" si="210"/>
        <v>0</v>
      </c>
      <c r="AP1333" s="2">
        <f t="shared" si="211"/>
        <v>0</v>
      </c>
      <c r="AQ1333" s="2">
        <f t="shared" si="212"/>
        <v>0</v>
      </c>
      <c r="AR1333" s="2">
        <f t="shared" si="213"/>
        <v>0</v>
      </c>
      <c r="AS1333" s="2">
        <f t="shared" si="214"/>
        <v>0</v>
      </c>
      <c r="AT1333" s="25">
        <f t="shared" si="215"/>
        <v>0</v>
      </c>
    </row>
    <row r="1334" spans="1:46">
      <c r="A1334" s="24">
        <v>46125</v>
      </c>
      <c r="B1334" s="23">
        <f t="shared" si="207"/>
        <v>46113</v>
      </c>
      <c r="C1334" s="2" t="s">
        <v>114</v>
      </c>
      <c r="D1334" s="2" t="s">
        <v>365</v>
      </c>
      <c r="E1334" s="2">
        <v>3287</v>
      </c>
      <c r="F1334" s="2">
        <v>32</v>
      </c>
      <c r="G1334" s="2">
        <v>32</v>
      </c>
      <c r="H1334" s="2">
        <v>32</v>
      </c>
      <c r="I1334" s="2">
        <f t="shared" si="208"/>
        <v>0</v>
      </c>
      <c r="J1334" s="44" t="s">
        <v>99</v>
      </c>
      <c r="K1334" s="2">
        <v>100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/>
      <c r="AM1334" s="2" t="s">
        <v>99</v>
      </c>
      <c r="AN1334" s="2">
        <f t="shared" si="209"/>
        <v>0</v>
      </c>
      <c r="AO1334" s="2">
        <f t="shared" si="210"/>
        <v>0</v>
      </c>
      <c r="AP1334" s="2">
        <f t="shared" si="211"/>
        <v>0</v>
      </c>
      <c r="AQ1334" s="2">
        <f t="shared" si="212"/>
        <v>0</v>
      </c>
      <c r="AR1334" s="2">
        <f t="shared" si="213"/>
        <v>0</v>
      </c>
      <c r="AS1334" s="2">
        <f t="shared" si="214"/>
        <v>0</v>
      </c>
      <c r="AT1334" s="25">
        <f t="shared" si="215"/>
        <v>0</v>
      </c>
    </row>
    <row r="1335" spans="1:46">
      <c r="A1335" s="24">
        <v>46125</v>
      </c>
      <c r="B1335" s="23">
        <f t="shared" si="207"/>
        <v>46113</v>
      </c>
      <c r="C1335" s="2" t="s">
        <v>114</v>
      </c>
      <c r="D1335" s="2" t="s">
        <v>1220</v>
      </c>
      <c r="E1335" s="2">
        <v>7155</v>
      </c>
      <c r="F1335" s="2">
        <v>38</v>
      </c>
      <c r="G1335" s="2">
        <v>38</v>
      </c>
      <c r="H1335" s="2">
        <v>24</v>
      </c>
      <c r="I1335" s="2">
        <f t="shared" si="208"/>
        <v>14</v>
      </c>
      <c r="J1335" s="44" t="s">
        <v>99</v>
      </c>
      <c r="K1335" s="2">
        <v>100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14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/>
      <c r="AM1335" s="2" t="s">
        <v>99</v>
      </c>
      <c r="AN1335" s="2">
        <f t="shared" si="209"/>
        <v>0</v>
      </c>
      <c r="AO1335" s="2">
        <f t="shared" si="210"/>
        <v>14</v>
      </c>
      <c r="AP1335" s="2">
        <f t="shared" si="211"/>
        <v>0</v>
      </c>
      <c r="AQ1335" s="2">
        <f t="shared" si="212"/>
        <v>0</v>
      </c>
      <c r="AR1335" s="2">
        <f t="shared" si="213"/>
        <v>0</v>
      </c>
      <c r="AS1335" s="2">
        <f t="shared" si="214"/>
        <v>0</v>
      </c>
      <c r="AT1335" s="25">
        <f t="shared" si="215"/>
        <v>0</v>
      </c>
    </row>
    <row r="1336" spans="1:46">
      <c r="A1336" s="24">
        <v>46125</v>
      </c>
      <c r="B1336" s="23">
        <f t="shared" si="207"/>
        <v>46113</v>
      </c>
      <c r="C1336" s="2" t="s">
        <v>160</v>
      </c>
      <c r="D1336" s="2" t="s">
        <v>223</v>
      </c>
      <c r="E1336" s="2">
        <v>6278</v>
      </c>
      <c r="F1336" s="2">
        <v>24</v>
      </c>
      <c r="G1336" s="2">
        <v>24</v>
      </c>
      <c r="H1336" s="2">
        <v>24</v>
      </c>
      <c r="I1336" s="2">
        <f t="shared" si="208"/>
        <v>0</v>
      </c>
      <c r="J1336" s="44" t="s">
        <v>99</v>
      </c>
      <c r="K1336" s="2">
        <v>100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/>
      <c r="AM1336" s="2" t="s">
        <v>99</v>
      </c>
      <c r="AN1336" s="2">
        <f t="shared" si="209"/>
        <v>0</v>
      </c>
      <c r="AO1336" s="2">
        <f t="shared" si="210"/>
        <v>0</v>
      </c>
      <c r="AP1336" s="2">
        <f t="shared" si="211"/>
        <v>0</v>
      </c>
      <c r="AQ1336" s="2">
        <f t="shared" si="212"/>
        <v>0</v>
      </c>
      <c r="AR1336" s="2">
        <f t="shared" si="213"/>
        <v>0</v>
      </c>
      <c r="AS1336" s="2">
        <f t="shared" si="214"/>
        <v>0</v>
      </c>
      <c r="AT1336" s="25">
        <f t="shared" si="215"/>
        <v>0</v>
      </c>
    </row>
    <row r="1337" spans="1:46">
      <c r="A1337" s="24">
        <v>46125</v>
      </c>
      <c r="B1337" s="23">
        <f t="shared" si="207"/>
        <v>46113</v>
      </c>
      <c r="C1337" s="2" t="s">
        <v>114</v>
      </c>
      <c r="D1337" s="2" t="s">
        <v>348</v>
      </c>
      <c r="E1337" s="2">
        <v>3287</v>
      </c>
      <c r="F1337" s="2">
        <v>47</v>
      </c>
      <c r="G1337" s="2">
        <v>47</v>
      </c>
      <c r="H1337" s="2">
        <v>47</v>
      </c>
      <c r="I1337" s="2">
        <f t="shared" si="208"/>
        <v>0</v>
      </c>
      <c r="J1337" s="44" t="s">
        <v>99</v>
      </c>
      <c r="K1337" s="2">
        <v>100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/>
      <c r="AM1337" s="2" t="s">
        <v>99</v>
      </c>
      <c r="AN1337" s="2">
        <f t="shared" si="209"/>
        <v>0</v>
      </c>
      <c r="AO1337" s="2">
        <f t="shared" si="210"/>
        <v>0</v>
      </c>
      <c r="AP1337" s="2">
        <f t="shared" si="211"/>
        <v>0</v>
      </c>
      <c r="AQ1337" s="2">
        <f t="shared" si="212"/>
        <v>0</v>
      </c>
      <c r="AR1337" s="2">
        <f t="shared" si="213"/>
        <v>0</v>
      </c>
      <c r="AS1337" s="2">
        <f t="shared" si="214"/>
        <v>0</v>
      </c>
      <c r="AT1337" s="25">
        <f t="shared" si="215"/>
        <v>0</v>
      </c>
    </row>
    <row r="1338" spans="1:46">
      <c r="A1338" s="24">
        <v>46125</v>
      </c>
      <c r="B1338" s="23">
        <f t="shared" si="207"/>
        <v>46113</v>
      </c>
      <c r="C1338" s="2" t="s">
        <v>114</v>
      </c>
      <c r="D1338" s="2" t="s">
        <v>368</v>
      </c>
      <c r="E1338" s="2">
        <v>3287</v>
      </c>
      <c r="F1338" s="2">
        <v>128</v>
      </c>
      <c r="G1338" s="2">
        <v>128</v>
      </c>
      <c r="H1338" s="2">
        <v>123</v>
      </c>
      <c r="I1338" s="2">
        <f t="shared" si="208"/>
        <v>5</v>
      </c>
      <c r="J1338" s="44" t="s">
        <v>99</v>
      </c>
      <c r="K1338" s="2">
        <v>100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4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1</v>
      </c>
      <c r="AI1338" s="2">
        <v>0</v>
      </c>
      <c r="AJ1338" s="2">
        <v>0</v>
      </c>
      <c r="AK1338" s="2">
        <v>0</v>
      </c>
      <c r="AL1338" s="2"/>
      <c r="AM1338" s="2" t="s">
        <v>99</v>
      </c>
      <c r="AN1338" s="2">
        <f t="shared" si="209"/>
        <v>0</v>
      </c>
      <c r="AO1338" s="2">
        <f t="shared" si="210"/>
        <v>0</v>
      </c>
      <c r="AP1338" s="2">
        <f t="shared" si="211"/>
        <v>0</v>
      </c>
      <c r="AQ1338" s="2">
        <f t="shared" si="212"/>
        <v>0</v>
      </c>
      <c r="AR1338" s="2">
        <f t="shared" si="213"/>
        <v>4</v>
      </c>
      <c r="AS1338" s="2">
        <f t="shared" si="214"/>
        <v>0</v>
      </c>
      <c r="AT1338" s="25">
        <f t="shared" si="215"/>
        <v>1</v>
      </c>
    </row>
    <row r="1339" spans="1:46">
      <c r="A1339" s="24">
        <v>46125</v>
      </c>
      <c r="B1339" s="23">
        <f t="shared" si="207"/>
        <v>46113</v>
      </c>
      <c r="C1339" s="2" t="s">
        <v>66</v>
      </c>
      <c r="D1339" s="2" t="s">
        <v>75</v>
      </c>
      <c r="E1339" s="2">
        <v>6316</v>
      </c>
      <c r="F1339" s="2">
        <v>46</v>
      </c>
      <c r="G1339" s="2">
        <v>46</v>
      </c>
      <c r="H1339" s="2">
        <v>46</v>
      </c>
      <c r="I1339" s="2">
        <f t="shared" si="208"/>
        <v>0</v>
      </c>
      <c r="J1339" s="44" t="s">
        <v>110</v>
      </c>
      <c r="K1339" s="2">
        <v>100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/>
      <c r="AM1339" s="2" t="s">
        <v>110</v>
      </c>
      <c r="AN1339" s="2">
        <f t="shared" si="209"/>
        <v>0</v>
      </c>
      <c r="AO1339" s="2">
        <f t="shared" si="210"/>
        <v>0</v>
      </c>
      <c r="AP1339" s="2">
        <f t="shared" si="211"/>
        <v>0</v>
      </c>
      <c r="AQ1339" s="2">
        <f t="shared" si="212"/>
        <v>0</v>
      </c>
      <c r="AR1339" s="2">
        <f t="shared" si="213"/>
        <v>0</v>
      </c>
      <c r="AS1339" s="2">
        <f t="shared" si="214"/>
        <v>0</v>
      </c>
      <c r="AT1339" s="25">
        <f t="shared" si="215"/>
        <v>0</v>
      </c>
    </row>
    <row r="1340" spans="1:46">
      <c r="A1340" s="24">
        <v>46125</v>
      </c>
      <c r="B1340" s="23">
        <f t="shared" si="207"/>
        <v>46113</v>
      </c>
      <c r="C1340" s="2" t="s">
        <v>66</v>
      </c>
      <c r="D1340" s="2" t="s">
        <v>334</v>
      </c>
      <c r="E1340" s="2">
        <v>3246</v>
      </c>
      <c r="F1340" s="2">
        <v>20</v>
      </c>
      <c r="G1340" s="2">
        <v>20</v>
      </c>
      <c r="H1340" s="2">
        <v>20</v>
      </c>
      <c r="I1340" s="2">
        <f t="shared" si="208"/>
        <v>0</v>
      </c>
      <c r="J1340" s="44" t="s">
        <v>110</v>
      </c>
      <c r="K1340" s="2">
        <v>100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/>
      <c r="AM1340" s="2" t="s">
        <v>110</v>
      </c>
      <c r="AN1340" s="2">
        <f t="shared" si="209"/>
        <v>0</v>
      </c>
      <c r="AO1340" s="2">
        <f t="shared" si="210"/>
        <v>0</v>
      </c>
      <c r="AP1340" s="2">
        <f t="shared" si="211"/>
        <v>0</v>
      </c>
      <c r="AQ1340" s="2">
        <f t="shared" si="212"/>
        <v>0</v>
      </c>
      <c r="AR1340" s="2">
        <f t="shared" si="213"/>
        <v>0</v>
      </c>
      <c r="AS1340" s="2">
        <f t="shared" si="214"/>
        <v>0</v>
      </c>
      <c r="AT1340" s="25">
        <f t="shared" si="215"/>
        <v>0</v>
      </c>
    </row>
    <row r="1341" spans="1:46">
      <c r="A1341" s="24">
        <v>46125</v>
      </c>
      <c r="B1341" s="23">
        <f t="shared" si="207"/>
        <v>46113</v>
      </c>
      <c r="C1341" s="2" t="s">
        <v>66</v>
      </c>
      <c r="D1341" s="2" t="s">
        <v>312</v>
      </c>
      <c r="E1341" s="2">
        <v>2345</v>
      </c>
      <c r="F1341" s="2">
        <v>36</v>
      </c>
      <c r="G1341" s="2">
        <v>36</v>
      </c>
      <c r="H1341" s="2">
        <v>35</v>
      </c>
      <c r="I1341" s="2">
        <f t="shared" si="208"/>
        <v>1</v>
      </c>
      <c r="J1341" s="44" t="s">
        <v>110</v>
      </c>
      <c r="K1341" s="2">
        <v>100</v>
      </c>
      <c r="L1341" s="2">
        <v>1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/>
      <c r="AM1341" s="2" t="s">
        <v>110</v>
      </c>
      <c r="AN1341" s="2">
        <f t="shared" si="209"/>
        <v>1</v>
      </c>
      <c r="AO1341" s="2">
        <f t="shared" si="210"/>
        <v>0</v>
      </c>
      <c r="AP1341" s="2">
        <f t="shared" si="211"/>
        <v>0</v>
      </c>
      <c r="AQ1341" s="2">
        <f t="shared" si="212"/>
        <v>0</v>
      </c>
      <c r="AR1341" s="2">
        <f t="shared" si="213"/>
        <v>0</v>
      </c>
      <c r="AS1341" s="2">
        <f t="shared" si="214"/>
        <v>0</v>
      </c>
      <c r="AT1341" s="25">
        <f t="shared" si="215"/>
        <v>0</v>
      </c>
    </row>
    <row r="1342" spans="1:46">
      <c r="A1342" s="24">
        <v>46125</v>
      </c>
      <c r="B1342" s="23">
        <f t="shared" si="207"/>
        <v>46113</v>
      </c>
      <c r="C1342" s="2" t="s">
        <v>97</v>
      </c>
      <c r="D1342" s="2" t="s">
        <v>1512</v>
      </c>
      <c r="E1342" s="2">
        <v>3326</v>
      </c>
      <c r="F1342" s="2">
        <v>43</v>
      </c>
      <c r="G1342" s="2">
        <v>43</v>
      </c>
      <c r="H1342" s="2">
        <v>43</v>
      </c>
      <c r="I1342" s="2">
        <f t="shared" si="208"/>
        <v>0</v>
      </c>
      <c r="J1342" s="44" t="s">
        <v>110</v>
      </c>
      <c r="K1342" s="2">
        <v>100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/>
      <c r="AM1342" s="2" t="s">
        <v>110</v>
      </c>
      <c r="AN1342" s="2">
        <f t="shared" si="209"/>
        <v>0</v>
      </c>
      <c r="AO1342" s="2">
        <f t="shared" si="210"/>
        <v>0</v>
      </c>
      <c r="AP1342" s="2">
        <f t="shared" si="211"/>
        <v>0</v>
      </c>
      <c r="AQ1342" s="2">
        <f t="shared" si="212"/>
        <v>0</v>
      </c>
      <c r="AR1342" s="2">
        <f t="shared" si="213"/>
        <v>0</v>
      </c>
      <c r="AS1342" s="2">
        <f t="shared" si="214"/>
        <v>0</v>
      </c>
      <c r="AT1342" s="25">
        <f t="shared" si="215"/>
        <v>0</v>
      </c>
    </row>
    <row r="1343" spans="1:46">
      <c r="A1343" s="24">
        <v>46125</v>
      </c>
      <c r="B1343" s="23">
        <f t="shared" si="207"/>
        <v>46113</v>
      </c>
      <c r="C1343" s="2" t="s">
        <v>72</v>
      </c>
      <c r="D1343" s="2" t="s">
        <v>211</v>
      </c>
      <c r="E1343" s="2">
        <v>6265</v>
      </c>
      <c r="F1343" s="2">
        <v>46</v>
      </c>
      <c r="G1343" s="2">
        <v>46</v>
      </c>
      <c r="H1343" s="2">
        <v>46</v>
      </c>
      <c r="I1343" s="2">
        <f t="shared" si="208"/>
        <v>0</v>
      </c>
      <c r="J1343" s="44" t="s">
        <v>110</v>
      </c>
      <c r="K1343" s="2">
        <v>100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/>
      <c r="AM1343" s="2" t="s">
        <v>110</v>
      </c>
      <c r="AN1343" s="2">
        <f t="shared" si="209"/>
        <v>0</v>
      </c>
      <c r="AO1343" s="2">
        <f t="shared" si="210"/>
        <v>0</v>
      </c>
      <c r="AP1343" s="2">
        <f t="shared" si="211"/>
        <v>0</v>
      </c>
      <c r="AQ1343" s="2">
        <f t="shared" si="212"/>
        <v>0</v>
      </c>
      <c r="AR1343" s="2">
        <f t="shared" si="213"/>
        <v>0</v>
      </c>
      <c r="AS1343" s="2">
        <f t="shared" si="214"/>
        <v>0</v>
      </c>
      <c r="AT1343" s="25">
        <f t="shared" si="215"/>
        <v>0</v>
      </c>
    </row>
    <row r="1344" spans="1:46">
      <c r="A1344" s="24">
        <v>46125</v>
      </c>
      <c r="B1344" s="23">
        <f t="shared" si="207"/>
        <v>46113</v>
      </c>
      <c r="C1344" s="2" t="s">
        <v>72</v>
      </c>
      <c r="D1344" s="2" t="s">
        <v>211</v>
      </c>
      <c r="E1344" s="2">
        <v>6265</v>
      </c>
      <c r="F1344" s="2">
        <v>49</v>
      </c>
      <c r="G1344" s="2">
        <v>49</v>
      </c>
      <c r="H1344" s="2">
        <v>47</v>
      </c>
      <c r="I1344" s="2">
        <f t="shared" si="208"/>
        <v>2</v>
      </c>
      <c r="J1344" s="44" t="s">
        <v>110</v>
      </c>
      <c r="K1344" s="2">
        <v>100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2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/>
      <c r="AM1344" s="2" t="s">
        <v>110</v>
      </c>
      <c r="AN1344" s="2">
        <f t="shared" si="209"/>
        <v>0</v>
      </c>
      <c r="AO1344" s="2">
        <f t="shared" si="210"/>
        <v>0</v>
      </c>
      <c r="AP1344" s="2">
        <f t="shared" si="211"/>
        <v>0</v>
      </c>
      <c r="AQ1344" s="2">
        <f t="shared" si="212"/>
        <v>2</v>
      </c>
      <c r="AR1344" s="2">
        <f t="shared" si="213"/>
        <v>0</v>
      </c>
      <c r="AS1344" s="2">
        <f t="shared" si="214"/>
        <v>0</v>
      </c>
      <c r="AT1344" s="25">
        <f t="shared" si="215"/>
        <v>0</v>
      </c>
    </row>
    <row r="1345" spans="1:46">
      <c r="A1345" s="24">
        <v>46125</v>
      </c>
      <c r="B1345" s="23">
        <f t="shared" si="207"/>
        <v>46113</v>
      </c>
      <c r="C1345" s="2" t="s">
        <v>97</v>
      </c>
      <c r="D1345" s="2" t="s">
        <v>166</v>
      </c>
      <c r="E1345" s="2">
        <v>3099</v>
      </c>
      <c r="F1345" s="2">
        <v>23</v>
      </c>
      <c r="G1345" s="2">
        <v>23</v>
      </c>
      <c r="H1345" s="2">
        <v>23</v>
      </c>
      <c r="I1345" s="2">
        <f t="shared" si="208"/>
        <v>0</v>
      </c>
      <c r="J1345" s="44" t="s">
        <v>110</v>
      </c>
      <c r="K1345" s="2">
        <v>100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/>
      <c r="AM1345" s="2" t="s">
        <v>110</v>
      </c>
      <c r="AN1345" s="2">
        <f t="shared" si="209"/>
        <v>0</v>
      </c>
      <c r="AO1345" s="2">
        <f t="shared" si="210"/>
        <v>0</v>
      </c>
      <c r="AP1345" s="2">
        <f t="shared" si="211"/>
        <v>0</v>
      </c>
      <c r="AQ1345" s="2">
        <f t="shared" si="212"/>
        <v>0</v>
      </c>
      <c r="AR1345" s="2">
        <f t="shared" si="213"/>
        <v>0</v>
      </c>
      <c r="AS1345" s="2">
        <f t="shared" si="214"/>
        <v>0</v>
      </c>
      <c r="AT1345" s="25">
        <f t="shared" si="215"/>
        <v>0</v>
      </c>
    </row>
    <row r="1346" spans="1:46">
      <c r="A1346" s="24">
        <v>46125</v>
      </c>
      <c r="B1346" s="23">
        <f t="shared" si="207"/>
        <v>46113</v>
      </c>
      <c r="C1346" s="2" t="s">
        <v>97</v>
      </c>
      <c r="D1346" s="2" t="s">
        <v>100</v>
      </c>
      <c r="E1346" s="2">
        <v>6237</v>
      </c>
      <c r="F1346" s="2">
        <v>109</v>
      </c>
      <c r="G1346" s="2">
        <v>109</v>
      </c>
      <c r="H1346" s="2">
        <v>107</v>
      </c>
      <c r="I1346" s="2">
        <f t="shared" si="208"/>
        <v>2</v>
      </c>
      <c r="J1346" s="44" t="s">
        <v>110</v>
      </c>
      <c r="K1346" s="2">
        <v>100</v>
      </c>
      <c r="L1346" s="2">
        <v>1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1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/>
      <c r="AM1346" s="2" t="s">
        <v>110</v>
      </c>
      <c r="AN1346" s="2">
        <f t="shared" si="209"/>
        <v>1</v>
      </c>
      <c r="AO1346" s="2">
        <f t="shared" si="210"/>
        <v>1</v>
      </c>
      <c r="AP1346" s="2">
        <f t="shared" si="211"/>
        <v>0</v>
      </c>
      <c r="AQ1346" s="2">
        <f t="shared" si="212"/>
        <v>0</v>
      </c>
      <c r="AR1346" s="2">
        <f t="shared" si="213"/>
        <v>0</v>
      </c>
      <c r="AS1346" s="2">
        <f t="shared" si="214"/>
        <v>0</v>
      </c>
      <c r="AT1346" s="25">
        <f t="shared" si="215"/>
        <v>0</v>
      </c>
    </row>
    <row r="1347" spans="1:46">
      <c r="A1347" s="24">
        <v>46125</v>
      </c>
      <c r="B1347" s="23">
        <f t="shared" si="207"/>
        <v>46113</v>
      </c>
      <c r="C1347" s="2" t="s">
        <v>97</v>
      </c>
      <c r="D1347" s="2" t="s">
        <v>395</v>
      </c>
      <c r="E1347" s="2">
        <v>9151</v>
      </c>
      <c r="F1347" s="2">
        <v>32</v>
      </c>
      <c r="G1347" s="2">
        <v>32</v>
      </c>
      <c r="H1347" s="2">
        <v>31</v>
      </c>
      <c r="I1347" s="2">
        <f t="shared" si="208"/>
        <v>1</v>
      </c>
      <c r="J1347" s="44" t="s">
        <v>110</v>
      </c>
      <c r="K1347" s="2">
        <v>100</v>
      </c>
      <c r="L1347" s="2">
        <v>1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/>
      <c r="AM1347" s="2" t="s">
        <v>110</v>
      </c>
      <c r="AN1347" s="2">
        <f t="shared" si="209"/>
        <v>1</v>
      </c>
      <c r="AO1347" s="2">
        <f t="shared" si="210"/>
        <v>0</v>
      </c>
      <c r="AP1347" s="2">
        <f t="shared" si="211"/>
        <v>0</v>
      </c>
      <c r="AQ1347" s="2">
        <f t="shared" si="212"/>
        <v>0</v>
      </c>
      <c r="AR1347" s="2">
        <f t="shared" si="213"/>
        <v>0</v>
      </c>
      <c r="AS1347" s="2">
        <f t="shared" si="214"/>
        <v>0</v>
      </c>
      <c r="AT1347" s="25">
        <f t="shared" si="215"/>
        <v>0</v>
      </c>
    </row>
    <row r="1348" spans="1:46">
      <c r="A1348" s="24">
        <v>46125</v>
      </c>
      <c r="B1348" s="23">
        <f t="shared" si="207"/>
        <v>46113</v>
      </c>
      <c r="C1348" s="2" t="s">
        <v>97</v>
      </c>
      <c r="D1348" s="2" t="s">
        <v>402</v>
      </c>
      <c r="E1348" s="2">
        <v>6237</v>
      </c>
      <c r="F1348" s="2">
        <v>127</v>
      </c>
      <c r="G1348" s="2">
        <v>127</v>
      </c>
      <c r="H1348" s="2">
        <v>126</v>
      </c>
      <c r="I1348" s="2">
        <f t="shared" si="208"/>
        <v>1</v>
      </c>
      <c r="J1348" s="44" t="s">
        <v>110</v>
      </c>
      <c r="K1348" s="2">
        <v>100</v>
      </c>
      <c r="L1348" s="2">
        <v>0</v>
      </c>
      <c r="M1348" s="2">
        <v>0</v>
      </c>
      <c r="N1348" s="2">
        <v>0</v>
      </c>
      <c r="O1348" s="2">
        <v>1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/>
      <c r="AM1348" s="2" t="s">
        <v>110</v>
      </c>
      <c r="AN1348" s="2">
        <f t="shared" si="209"/>
        <v>0</v>
      </c>
      <c r="AO1348" s="2">
        <f t="shared" si="210"/>
        <v>1</v>
      </c>
      <c r="AP1348" s="2">
        <f t="shared" si="211"/>
        <v>0</v>
      </c>
      <c r="AQ1348" s="2">
        <f t="shared" si="212"/>
        <v>0</v>
      </c>
      <c r="AR1348" s="2">
        <f t="shared" si="213"/>
        <v>0</v>
      </c>
      <c r="AS1348" s="2">
        <f t="shared" si="214"/>
        <v>0</v>
      </c>
      <c r="AT1348" s="25">
        <f t="shared" si="215"/>
        <v>0</v>
      </c>
    </row>
    <row r="1349" spans="1:46">
      <c r="A1349" s="24">
        <v>46125</v>
      </c>
      <c r="B1349" s="23">
        <f t="shared" si="207"/>
        <v>46113</v>
      </c>
      <c r="C1349" s="2" t="s">
        <v>97</v>
      </c>
      <c r="D1349" s="2" t="s">
        <v>419</v>
      </c>
      <c r="E1349" s="2">
        <v>6237</v>
      </c>
      <c r="F1349" s="2">
        <v>133</v>
      </c>
      <c r="G1349" s="2">
        <v>133</v>
      </c>
      <c r="H1349" s="2">
        <v>127</v>
      </c>
      <c r="I1349" s="2">
        <f t="shared" si="208"/>
        <v>6</v>
      </c>
      <c r="J1349" s="44" t="s">
        <v>110</v>
      </c>
      <c r="K1349" s="2">
        <v>100</v>
      </c>
      <c r="L1349" s="2">
        <v>4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2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/>
      <c r="AM1349" s="2" t="s">
        <v>110</v>
      </c>
      <c r="AN1349" s="2">
        <f t="shared" si="209"/>
        <v>4</v>
      </c>
      <c r="AO1349" s="2">
        <f t="shared" si="210"/>
        <v>2</v>
      </c>
      <c r="AP1349" s="2">
        <f t="shared" si="211"/>
        <v>0</v>
      </c>
      <c r="AQ1349" s="2">
        <f t="shared" si="212"/>
        <v>0</v>
      </c>
      <c r="AR1349" s="2">
        <f t="shared" si="213"/>
        <v>0</v>
      </c>
      <c r="AS1349" s="2">
        <f t="shared" si="214"/>
        <v>0</v>
      </c>
      <c r="AT1349" s="25">
        <f t="shared" si="215"/>
        <v>0</v>
      </c>
    </row>
    <row r="1350" spans="1:46">
      <c r="A1350" s="24">
        <v>46125</v>
      </c>
      <c r="B1350" s="23">
        <f t="shared" si="207"/>
        <v>46113</v>
      </c>
      <c r="C1350" s="2" t="s">
        <v>55</v>
      </c>
      <c r="D1350" s="2" t="s">
        <v>1210</v>
      </c>
      <c r="E1350" s="2">
        <v>3022</v>
      </c>
      <c r="F1350" s="2">
        <v>12</v>
      </c>
      <c r="G1350" s="2">
        <v>12</v>
      </c>
      <c r="H1350" s="2">
        <v>8</v>
      </c>
      <c r="I1350" s="2">
        <f t="shared" si="208"/>
        <v>4</v>
      </c>
      <c r="J1350" s="44" t="s">
        <v>1566</v>
      </c>
      <c r="K1350" s="2">
        <v>100</v>
      </c>
      <c r="L1350" s="2">
        <v>0</v>
      </c>
      <c r="M1350" s="2">
        <v>1</v>
      </c>
      <c r="N1350" s="2">
        <v>2</v>
      </c>
      <c r="O1350" s="2">
        <v>0</v>
      </c>
      <c r="P1350" s="2">
        <v>1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/>
      <c r="AM1350" s="2" t="s">
        <v>1566</v>
      </c>
      <c r="AN1350" s="2">
        <f t="shared" si="209"/>
        <v>0</v>
      </c>
      <c r="AO1350" s="2">
        <f t="shared" si="210"/>
        <v>4</v>
      </c>
      <c r="AP1350" s="2">
        <f t="shared" si="211"/>
        <v>0</v>
      </c>
      <c r="AQ1350" s="2">
        <f t="shared" si="212"/>
        <v>0</v>
      </c>
      <c r="AR1350" s="2">
        <f t="shared" si="213"/>
        <v>0</v>
      </c>
      <c r="AS1350" s="2">
        <f t="shared" si="214"/>
        <v>0</v>
      </c>
      <c r="AT1350" s="25">
        <f t="shared" si="215"/>
        <v>0</v>
      </c>
    </row>
    <row r="1351" spans="1:46">
      <c r="A1351" s="24">
        <v>46125</v>
      </c>
      <c r="B1351" s="23">
        <f t="shared" si="207"/>
        <v>46113</v>
      </c>
      <c r="C1351" s="2" t="s">
        <v>55</v>
      </c>
      <c r="D1351" s="2" t="s">
        <v>153</v>
      </c>
      <c r="E1351" s="2">
        <v>1730</v>
      </c>
      <c r="F1351" s="2">
        <v>44</v>
      </c>
      <c r="G1351" s="2">
        <v>44</v>
      </c>
      <c r="H1351" s="2">
        <v>41</v>
      </c>
      <c r="I1351" s="2">
        <f t="shared" si="208"/>
        <v>3</v>
      </c>
      <c r="J1351" s="44" t="s">
        <v>1566</v>
      </c>
      <c r="K1351" s="2">
        <v>100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1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1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1</v>
      </c>
      <c r="AL1351" s="2"/>
      <c r="AM1351" s="2" t="s">
        <v>1566</v>
      </c>
      <c r="AN1351" s="2">
        <f t="shared" si="209"/>
        <v>0</v>
      </c>
      <c r="AO1351" s="2">
        <f t="shared" si="210"/>
        <v>1</v>
      </c>
      <c r="AP1351" s="2">
        <f t="shared" si="211"/>
        <v>0</v>
      </c>
      <c r="AQ1351" s="2">
        <f t="shared" si="212"/>
        <v>2</v>
      </c>
      <c r="AR1351" s="2">
        <f t="shared" si="213"/>
        <v>0</v>
      </c>
      <c r="AS1351" s="2">
        <f t="shared" si="214"/>
        <v>0</v>
      </c>
      <c r="AT1351" s="25">
        <f t="shared" si="215"/>
        <v>0</v>
      </c>
    </row>
    <row r="1352" spans="1:46">
      <c r="A1352" s="24">
        <v>46125</v>
      </c>
      <c r="B1352" s="23">
        <f t="shared" si="207"/>
        <v>46113</v>
      </c>
      <c r="C1352" s="2" t="s">
        <v>133</v>
      </c>
      <c r="D1352" s="2" t="s">
        <v>197</v>
      </c>
      <c r="E1352" s="2">
        <v>6078</v>
      </c>
      <c r="F1352" s="2">
        <v>89</v>
      </c>
      <c r="G1352" s="2">
        <v>89</v>
      </c>
      <c r="H1352" s="2">
        <v>88</v>
      </c>
      <c r="I1352" s="2">
        <f t="shared" si="208"/>
        <v>1</v>
      </c>
      <c r="J1352" s="44" t="s">
        <v>1566</v>
      </c>
      <c r="K1352" s="2">
        <v>100</v>
      </c>
      <c r="L1352" s="2">
        <v>1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/>
      <c r="AM1352" s="2" t="s">
        <v>1566</v>
      </c>
      <c r="AN1352" s="2">
        <f t="shared" si="209"/>
        <v>1</v>
      </c>
      <c r="AO1352" s="2">
        <f t="shared" si="210"/>
        <v>0</v>
      </c>
      <c r="AP1352" s="2">
        <f t="shared" si="211"/>
        <v>0</v>
      </c>
      <c r="AQ1352" s="2">
        <f t="shared" si="212"/>
        <v>0</v>
      </c>
      <c r="AR1352" s="2">
        <f t="shared" si="213"/>
        <v>0</v>
      </c>
      <c r="AS1352" s="2">
        <f t="shared" si="214"/>
        <v>0</v>
      </c>
      <c r="AT1352" s="25">
        <f t="shared" si="215"/>
        <v>0</v>
      </c>
    </row>
    <row r="1353" spans="1:46">
      <c r="A1353" s="24">
        <v>46125</v>
      </c>
      <c r="B1353" s="23">
        <f t="shared" si="207"/>
        <v>46113</v>
      </c>
      <c r="C1353" s="2" t="s">
        <v>133</v>
      </c>
      <c r="D1353" s="2" t="s">
        <v>295</v>
      </c>
      <c r="E1353" s="2">
        <v>6270</v>
      </c>
      <c r="F1353" s="2">
        <v>63</v>
      </c>
      <c r="G1353" s="2">
        <v>63</v>
      </c>
      <c r="H1353" s="2">
        <v>62</v>
      </c>
      <c r="I1353" s="2">
        <f t="shared" si="208"/>
        <v>1</v>
      </c>
      <c r="J1353" s="44" t="s">
        <v>1566</v>
      </c>
      <c r="K1353" s="2">
        <v>100</v>
      </c>
      <c r="L1353" s="2">
        <v>1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/>
      <c r="AM1353" s="2" t="s">
        <v>1566</v>
      </c>
      <c r="AN1353" s="2">
        <f t="shared" si="209"/>
        <v>1</v>
      </c>
      <c r="AO1353" s="2">
        <f t="shared" si="210"/>
        <v>0</v>
      </c>
      <c r="AP1353" s="2">
        <f t="shared" si="211"/>
        <v>0</v>
      </c>
      <c r="AQ1353" s="2">
        <f t="shared" si="212"/>
        <v>0</v>
      </c>
      <c r="AR1353" s="2">
        <f t="shared" si="213"/>
        <v>0</v>
      </c>
      <c r="AS1353" s="2">
        <f t="shared" si="214"/>
        <v>0</v>
      </c>
      <c r="AT1353" s="25">
        <f t="shared" si="215"/>
        <v>0</v>
      </c>
    </row>
    <row r="1354" spans="1:46">
      <c r="A1354" s="24">
        <v>46125</v>
      </c>
      <c r="B1354" s="23">
        <f t="shared" si="207"/>
        <v>46113</v>
      </c>
      <c r="C1354" s="2" t="s">
        <v>55</v>
      </c>
      <c r="D1354" s="2" t="s">
        <v>1396</v>
      </c>
      <c r="E1354" s="2">
        <v>8193</v>
      </c>
      <c r="F1354" s="2">
        <v>20</v>
      </c>
      <c r="G1354" s="2">
        <v>20</v>
      </c>
      <c r="H1354" s="2">
        <v>20</v>
      </c>
      <c r="I1354" s="2">
        <f t="shared" si="208"/>
        <v>0</v>
      </c>
      <c r="J1354" s="44" t="s">
        <v>1566</v>
      </c>
      <c r="K1354" s="2">
        <v>100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/>
      <c r="AM1354" s="2" t="s">
        <v>1566</v>
      </c>
      <c r="AN1354" s="2">
        <f t="shared" si="209"/>
        <v>0</v>
      </c>
      <c r="AO1354" s="2">
        <f t="shared" si="210"/>
        <v>0</v>
      </c>
      <c r="AP1354" s="2">
        <f t="shared" si="211"/>
        <v>0</v>
      </c>
      <c r="AQ1354" s="2">
        <f t="shared" si="212"/>
        <v>0</v>
      </c>
      <c r="AR1354" s="2">
        <f t="shared" si="213"/>
        <v>0</v>
      </c>
      <c r="AS1354" s="2">
        <f t="shared" si="214"/>
        <v>0</v>
      </c>
      <c r="AT1354" s="25">
        <f t="shared" si="215"/>
        <v>0</v>
      </c>
    </row>
    <row r="1355" spans="1:46">
      <c r="A1355" s="24">
        <v>46125</v>
      </c>
      <c r="B1355" s="23">
        <f t="shared" si="207"/>
        <v>46113</v>
      </c>
      <c r="C1355" s="2" t="s">
        <v>46</v>
      </c>
      <c r="D1355" s="2" t="s">
        <v>54</v>
      </c>
      <c r="E1355" s="2">
        <v>1774</v>
      </c>
      <c r="F1355" s="2">
        <v>39</v>
      </c>
      <c r="G1355" s="2">
        <v>39</v>
      </c>
      <c r="H1355" s="2">
        <v>35</v>
      </c>
      <c r="I1355" s="2">
        <f t="shared" si="208"/>
        <v>4</v>
      </c>
      <c r="J1355" s="44" t="s">
        <v>99</v>
      </c>
      <c r="K1355" s="2">
        <v>100</v>
      </c>
      <c r="L1355" s="2">
        <v>4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/>
      <c r="AM1355" s="2" t="s">
        <v>99</v>
      </c>
      <c r="AN1355" s="2">
        <f t="shared" si="209"/>
        <v>4</v>
      </c>
      <c r="AO1355" s="2">
        <f t="shared" si="210"/>
        <v>0</v>
      </c>
      <c r="AP1355" s="2">
        <f t="shared" si="211"/>
        <v>0</v>
      </c>
      <c r="AQ1355" s="2">
        <f t="shared" si="212"/>
        <v>0</v>
      </c>
      <c r="AR1355" s="2">
        <f t="shared" si="213"/>
        <v>0</v>
      </c>
      <c r="AS1355" s="2">
        <f t="shared" si="214"/>
        <v>0</v>
      </c>
      <c r="AT1355" s="25">
        <f t="shared" si="215"/>
        <v>0</v>
      </c>
    </row>
    <row r="1356" spans="1:46">
      <c r="A1356" s="24">
        <v>46125</v>
      </c>
      <c r="B1356" s="23">
        <f t="shared" si="207"/>
        <v>46113</v>
      </c>
      <c r="C1356" s="2" t="s">
        <v>95</v>
      </c>
      <c r="D1356" s="2" t="s">
        <v>293</v>
      </c>
      <c r="E1356" s="2">
        <v>3247</v>
      </c>
      <c r="F1356" s="2">
        <v>610</v>
      </c>
      <c r="G1356" s="2">
        <v>610</v>
      </c>
      <c r="H1356" s="2">
        <v>584</v>
      </c>
      <c r="I1356" s="2">
        <f t="shared" si="208"/>
        <v>26</v>
      </c>
      <c r="J1356" s="44" t="s">
        <v>396</v>
      </c>
      <c r="K1356" s="2">
        <v>100</v>
      </c>
      <c r="L1356" s="2">
        <v>26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/>
      <c r="AM1356" s="2" t="s">
        <v>396</v>
      </c>
      <c r="AN1356" s="2">
        <f t="shared" si="209"/>
        <v>26</v>
      </c>
      <c r="AO1356" s="2">
        <f t="shared" si="210"/>
        <v>0</v>
      </c>
      <c r="AP1356" s="2">
        <f t="shared" si="211"/>
        <v>0</v>
      </c>
      <c r="AQ1356" s="2">
        <f t="shared" si="212"/>
        <v>0</v>
      </c>
      <c r="AR1356" s="2">
        <f t="shared" si="213"/>
        <v>0</v>
      </c>
      <c r="AS1356" s="2">
        <f t="shared" si="214"/>
        <v>0</v>
      </c>
      <c r="AT1356" s="25">
        <f t="shared" si="215"/>
        <v>0</v>
      </c>
    </row>
    <row r="1357" spans="1:46">
      <c r="A1357" s="24">
        <v>46125</v>
      </c>
      <c r="B1357" s="23">
        <f t="shared" si="207"/>
        <v>46113</v>
      </c>
      <c r="C1357" s="2" t="s">
        <v>95</v>
      </c>
      <c r="D1357" s="2" t="s">
        <v>301</v>
      </c>
      <c r="E1357" s="2">
        <v>8080</v>
      </c>
      <c r="F1357" s="2">
        <v>41</v>
      </c>
      <c r="G1357" s="2">
        <v>41</v>
      </c>
      <c r="H1357" s="2">
        <v>40</v>
      </c>
      <c r="I1357" s="2">
        <f t="shared" si="208"/>
        <v>1</v>
      </c>
      <c r="J1357" s="44" t="s">
        <v>396</v>
      </c>
      <c r="K1357" s="2">
        <v>100</v>
      </c>
      <c r="L1357" s="2">
        <v>1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/>
      <c r="AM1357" s="2" t="s">
        <v>396</v>
      </c>
      <c r="AN1357" s="2">
        <f t="shared" si="209"/>
        <v>1</v>
      </c>
      <c r="AO1357" s="2">
        <f t="shared" si="210"/>
        <v>0</v>
      </c>
      <c r="AP1357" s="2">
        <f t="shared" si="211"/>
        <v>0</v>
      </c>
      <c r="AQ1357" s="2">
        <f t="shared" si="212"/>
        <v>0</v>
      </c>
      <c r="AR1357" s="2">
        <f t="shared" si="213"/>
        <v>0</v>
      </c>
      <c r="AS1357" s="2">
        <f t="shared" si="214"/>
        <v>0</v>
      </c>
      <c r="AT1357" s="25">
        <f t="shared" si="215"/>
        <v>0</v>
      </c>
    </row>
    <row r="1358" spans="1:46">
      <c r="A1358" s="24">
        <v>46127</v>
      </c>
      <c r="B1358" s="23">
        <f t="shared" si="207"/>
        <v>46113</v>
      </c>
      <c r="C1358" s="2" t="s">
        <v>55</v>
      </c>
      <c r="D1358" s="2" t="s">
        <v>352</v>
      </c>
      <c r="E1358" s="2">
        <v>7078</v>
      </c>
      <c r="F1358" s="2">
        <v>431</v>
      </c>
      <c r="G1358" s="2">
        <v>431</v>
      </c>
      <c r="H1358" s="2">
        <v>365</v>
      </c>
      <c r="I1358" s="2">
        <f t="shared" si="208"/>
        <v>66</v>
      </c>
      <c r="J1358" s="44" t="s">
        <v>80</v>
      </c>
      <c r="K1358" s="2">
        <v>100</v>
      </c>
      <c r="L1358" s="2">
        <v>16</v>
      </c>
      <c r="M1358" s="2">
        <v>0</v>
      </c>
      <c r="N1358" s="2">
        <v>0</v>
      </c>
      <c r="O1358" s="2">
        <v>0</v>
      </c>
      <c r="P1358" s="2">
        <v>50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/>
      <c r="AM1358" s="2" t="s">
        <v>80</v>
      </c>
      <c r="AN1358" s="2">
        <f t="shared" si="209"/>
        <v>16</v>
      </c>
      <c r="AO1358" s="2">
        <f t="shared" si="210"/>
        <v>50</v>
      </c>
      <c r="AP1358" s="2">
        <f t="shared" si="211"/>
        <v>0</v>
      </c>
      <c r="AQ1358" s="2">
        <f t="shared" si="212"/>
        <v>0</v>
      </c>
      <c r="AR1358" s="2">
        <f t="shared" si="213"/>
        <v>0</v>
      </c>
      <c r="AS1358" s="2">
        <f t="shared" si="214"/>
        <v>0</v>
      </c>
      <c r="AT1358" s="25">
        <f t="shared" si="215"/>
        <v>0</v>
      </c>
    </row>
    <row r="1359" spans="1:46">
      <c r="A1359" s="24">
        <v>46127</v>
      </c>
      <c r="B1359" s="23">
        <f t="shared" ref="B1359:B1422" si="216">EOMONTH(A1359,-1)+1</f>
        <v>46113</v>
      </c>
      <c r="C1359" s="2" t="s">
        <v>66</v>
      </c>
      <c r="D1359" s="2" t="s">
        <v>187</v>
      </c>
      <c r="E1359" s="2">
        <v>6210</v>
      </c>
      <c r="F1359" s="2">
        <v>27</v>
      </c>
      <c r="G1359" s="2">
        <v>27</v>
      </c>
      <c r="H1359" s="2">
        <v>26</v>
      </c>
      <c r="I1359" s="2">
        <f t="shared" ref="I1359:I1422" si="217">F1359-H1359</f>
        <v>1</v>
      </c>
      <c r="J1359" s="44" t="s">
        <v>110</v>
      </c>
      <c r="K1359" s="2">
        <v>100</v>
      </c>
      <c r="L1359" s="2">
        <v>1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/>
      <c r="AM1359" s="2" t="s">
        <v>110</v>
      </c>
      <c r="AN1359" s="2">
        <f t="shared" ref="AN1359:AN1422" si="218">+L1359+AI1359</f>
        <v>1</v>
      </c>
      <c r="AO1359" s="2">
        <f t="shared" ref="AO1359:AO1422" si="219">+M1359+N1359+O1359+P1359+Q1359+R1359+S1359+T1359+U1359+V1359</f>
        <v>0</v>
      </c>
      <c r="AP1359" s="2">
        <f t="shared" ref="AP1359:AP1422" si="220">+AE1359+AF1359</f>
        <v>0</v>
      </c>
      <c r="AQ1359" s="2">
        <f t="shared" ref="AQ1359:AQ1422" si="221">+AK1359+AD1359+AC1359+AJ1359</f>
        <v>0</v>
      </c>
      <c r="AR1359" s="2">
        <f t="shared" ref="AR1359:AR1422" si="222">+W1359+X1359+Y1359+Z1359+AA1359+AB1359</f>
        <v>0</v>
      </c>
      <c r="AS1359" s="2">
        <f t="shared" ref="AS1359:AS1422" si="223">+AG1359</f>
        <v>0</v>
      </c>
      <c r="AT1359" s="25">
        <f t="shared" ref="AT1359:AT1422" si="224">+AH1359</f>
        <v>0</v>
      </c>
    </row>
    <row r="1360" spans="1:46">
      <c r="A1360" s="24">
        <v>46127</v>
      </c>
      <c r="B1360" s="23">
        <f t="shared" si="216"/>
        <v>46113</v>
      </c>
      <c r="C1360" s="2" t="s">
        <v>46</v>
      </c>
      <c r="D1360" s="2" t="s">
        <v>217</v>
      </c>
      <c r="E1360" s="2">
        <v>7152</v>
      </c>
      <c r="F1360" s="2">
        <v>36</v>
      </c>
      <c r="G1360" s="2">
        <v>36</v>
      </c>
      <c r="H1360" s="2">
        <v>35</v>
      </c>
      <c r="I1360" s="2">
        <f t="shared" si="217"/>
        <v>1</v>
      </c>
      <c r="J1360" s="44" t="s">
        <v>110</v>
      </c>
      <c r="K1360" s="2">
        <v>100</v>
      </c>
      <c r="L1360" s="2">
        <v>1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/>
      <c r="AM1360" s="2" t="s">
        <v>110</v>
      </c>
      <c r="AN1360" s="2">
        <f t="shared" si="218"/>
        <v>1</v>
      </c>
      <c r="AO1360" s="2">
        <f t="shared" si="219"/>
        <v>0</v>
      </c>
      <c r="AP1360" s="2">
        <f t="shared" si="220"/>
        <v>0</v>
      </c>
      <c r="AQ1360" s="2">
        <f t="shared" si="221"/>
        <v>0</v>
      </c>
      <c r="AR1360" s="2">
        <f t="shared" si="222"/>
        <v>0</v>
      </c>
      <c r="AS1360" s="2">
        <f t="shared" si="223"/>
        <v>0</v>
      </c>
      <c r="AT1360" s="25">
        <f t="shared" si="224"/>
        <v>0</v>
      </c>
    </row>
    <row r="1361" spans="1:46">
      <c r="A1361" s="24">
        <v>46127</v>
      </c>
      <c r="B1361" s="23">
        <f t="shared" si="216"/>
        <v>46113</v>
      </c>
      <c r="C1361" s="2" t="s">
        <v>97</v>
      </c>
      <c r="D1361" s="2" t="s">
        <v>419</v>
      </c>
      <c r="E1361" s="2">
        <v>6237</v>
      </c>
      <c r="F1361" s="2">
        <v>20</v>
      </c>
      <c r="G1361" s="2">
        <v>20</v>
      </c>
      <c r="H1361" s="2">
        <v>19</v>
      </c>
      <c r="I1361" s="2">
        <f t="shared" si="217"/>
        <v>1</v>
      </c>
      <c r="J1361" s="44" t="s">
        <v>110</v>
      </c>
      <c r="K1361" s="2">
        <v>100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1</v>
      </c>
      <c r="AL1361" s="2"/>
      <c r="AM1361" s="2" t="s">
        <v>110</v>
      </c>
      <c r="AN1361" s="2">
        <f t="shared" si="218"/>
        <v>0</v>
      </c>
      <c r="AO1361" s="2">
        <f t="shared" si="219"/>
        <v>0</v>
      </c>
      <c r="AP1361" s="2">
        <f t="shared" si="220"/>
        <v>0</v>
      </c>
      <c r="AQ1361" s="2">
        <f t="shared" si="221"/>
        <v>1</v>
      </c>
      <c r="AR1361" s="2">
        <f t="shared" si="222"/>
        <v>0</v>
      </c>
      <c r="AS1361" s="2">
        <f t="shared" si="223"/>
        <v>0</v>
      </c>
      <c r="AT1361" s="25">
        <f t="shared" si="224"/>
        <v>0</v>
      </c>
    </row>
    <row r="1362" spans="1:46">
      <c r="A1362" s="24">
        <v>46127</v>
      </c>
      <c r="B1362" s="23">
        <f t="shared" si="216"/>
        <v>46113</v>
      </c>
      <c r="C1362" s="2" t="s">
        <v>97</v>
      </c>
      <c r="D1362" s="2" t="s">
        <v>402</v>
      </c>
      <c r="E1362" s="2">
        <v>6237</v>
      </c>
      <c r="F1362" s="2">
        <v>20</v>
      </c>
      <c r="G1362" s="2">
        <v>20</v>
      </c>
      <c r="H1362" s="2">
        <v>20</v>
      </c>
      <c r="I1362" s="2">
        <f t="shared" si="217"/>
        <v>0</v>
      </c>
      <c r="J1362" s="44" t="s">
        <v>110</v>
      </c>
      <c r="K1362" s="2">
        <v>100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/>
      <c r="AM1362" s="2" t="s">
        <v>110</v>
      </c>
      <c r="AN1362" s="2">
        <f t="shared" si="218"/>
        <v>0</v>
      </c>
      <c r="AO1362" s="2">
        <f t="shared" si="219"/>
        <v>0</v>
      </c>
      <c r="AP1362" s="2">
        <f t="shared" si="220"/>
        <v>0</v>
      </c>
      <c r="AQ1362" s="2">
        <f t="shared" si="221"/>
        <v>0</v>
      </c>
      <c r="AR1362" s="2">
        <f t="shared" si="222"/>
        <v>0</v>
      </c>
      <c r="AS1362" s="2">
        <f t="shared" si="223"/>
        <v>0</v>
      </c>
      <c r="AT1362" s="25">
        <f t="shared" si="224"/>
        <v>0</v>
      </c>
    </row>
    <row r="1363" spans="1:46">
      <c r="A1363" s="24">
        <v>46127</v>
      </c>
      <c r="B1363" s="23">
        <f t="shared" si="216"/>
        <v>46113</v>
      </c>
      <c r="C1363" s="2" t="s">
        <v>97</v>
      </c>
      <c r="D1363" s="2" t="s">
        <v>100</v>
      </c>
      <c r="E1363" s="2">
        <v>6237</v>
      </c>
      <c r="F1363" s="2">
        <v>32</v>
      </c>
      <c r="G1363" s="2">
        <v>32</v>
      </c>
      <c r="H1363" s="2">
        <v>32</v>
      </c>
      <c r="I1363" s="2">
        <f t="shared" si="217"/>
        <v>0</v>
      </c>
      <c r="J1363" s="44" t="s">
        <v>110</v>
      </c>
      <c r="K1363" s="2">
        <v>100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/>
      <c r="AM1363" s="2" t="s">
        <v>110</v>
      </c>
      <c r="AN1363" s="2">
        <f t="shared" si="218"/>
        <v>0</v>
      </c>
      <c r="AO1363" s="2">
        <f t="shared" si="219"/>
        <v>0</v>
      </c>
      <c r="AP1363" s="2">
        <f t="shared" si="220"/>
        <v>0</v>
      </c>
      <c r="AQ1363" s="2">
        <f t="shared" si="221"/>
        <v>0</v>
      </c>
      <c r="AR1363" s="2">
        <f t="shared" si="222"/>
        <v>0</v>
      </c>
      <c r="AS1363" s="2">
        <f t="shared" si="223"/>
        <v>0</v>
      </c>
      <c r="AT1363" s="25">
        <f t="shared" si="224"/>
        <v>0</v>
      </c>
    </row>
    <row r="1364" spans="1:46">
      <c r="A1364" s="24">
        <v>46127</v>
      </c>
      <c r="B1364" s="23">
        <f t="shared" si="216"/>
        <v>46113</v>
      </c>
      <c r="C1364" s="2" t="s">
        <v>66</v>
      </c>
      <c r="D1364" s="2" t="s">
        <v>218</v>
      </c>
      <c r="E1364" s="2">
        <v>7140</v>
      </c>
      <c r="F1364" s="2">
        <v>40</v>
      </c>
      <c r="G1364" s="2">
        <v>40</v>
      </c>
      <c r="H1364" s="2">
        <v>40</v>
      </c>
      <c r="I1364" s="2">
        <f t="shared" si="217"/>
        <v>0</v>
      </c>
      <c r="J1364" s="44" t="s">
        <v>110</v>
      </c>
      <c r="K1364" s="2">
        <v>100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/>
      <c r="AM1364" s="2" t="s">
        <v>110</v>
      </c>
      <c r="AN1364" s="2">
        <f t="shared" si="218"/>
        <v>0</v>
      </c>
      <c r="AO1364" s="2">
        <f t="shared" si="219"/>
        <v>0</v>
      </c>
      <c r="AP1364" s="2">
        <f t="shared" si="220"/>
        <v>0</v>
      </c>
      <c r="AQ1364" s="2">
        <f t="shared" si="221"/>
        <v>0</v>
      </c>
      <c r="AR1364" s="2">
        <f t="shared" si="222"/>
        <v>0</v>
      </c>
      <c r="AS1364" s="2">
        <f t="shared" si="223"/>
        <v>0</v>
      </c>
      <c r="AT1364" s="25">
        <f t="shared" si="224"/>
        <v>0</v>
      </c>
    </row>
    <row r="1365" spans="1:46">
      <c r="A1365" s="24">
        <v>46127</v>
      </c>
      <c r="B1365" s="23">
        <f t="shared" si="216"/>
        <v>46113</v>
      </c>
      <c r="C1365" s="2" t="s">
        <v>97</v>
      </c>
      <c r="D1365" s="2" t="s">
        <v>1318</v>
      </c>
      <c r="E1365" s="2">
        <v>3327</v>
      </c>
      <c r="F1365" s="2">
        <v>43</v>
      </c>
      <c r="G1365" s="2">
        <v>43</v>
      </c>
      <c r="H1365" s="2">
        <v>41</v>
      </c>
      <c r="I1365" s="2">
        <f t="shared" si="217"/>
        <v>2</v>
      </c>
      <c r="J1365" s="44" t="s">
        <v>110</v>
      </c>
      <c r="K1365" s="2">
        <v>100</v>
      </c>
      <c r="L1365" s="2">
        <v>1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1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/>
      <c r="AM1365" s="2" t="s">
        <v>110</v>
      </c>
      <c r="AN1365" s="2">
        <f t="shared" si="218"/>
        <v>1</v>
      </c>
      <c r="AO1365" s="2">
        <f t="shared" si="219"/>
        <v>1</v>
      </c>
      <c r="AP1365" s="2">
        <f t="shared" si="220"/>
        <v>0</v>
      </c>
      <c r="AQ1365" s="2">
        <f t="shared" si="221"/>
        <v>0</v>
      </c>
      <c r="AR1365" s="2">
        <f t="shared" si="222"/>
        <v>0</v>
      </c>
      <c r="AS1365" s="2">
        <f t="shared" si="223"/>
        <v>0</v>
      </c>
      <c r="AT1365" s="25">
        <f t="shared" si="224"/>
        <v>0</v>
      </c>
    </row>
    <row r="1366" spans="1:46">
      <c r="A1366" s="24">
        <v>46127</v>
      </c>
      <c r="B1366" s="23">
        <f t="shared" si="216"/>
        <v>46113</v>
      </c>
      <c r="C1366" s="2" t="s">
        <v>55</v>
      </c>
      <c r="D1366" s="2" t="s">
        <v>357</v>
      </c>
      <c r="E1366" s="2">
        <v>7078</v>
      </c>
      <c r="F1366" s="2">
        <v>441</v>
      </c>
      <c r="G1366" s="2">
        <v>441</v>
      </c>
      <c r="H1366" s="2">
        <v>423</v>
      </c>
      <c r="I1366" s="2">
        <f t="shared" si="217"/>
        <v>18</v>
      </c>
      <c r="J1366" s="44" t="s">
        <v>1566</v>
      </c>
      <c r="K1366" s="2">
        <v>100</v>
      </c>
      <c r="L1366" s="2">
        <v>15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3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/>
      <c r="AM1366" s="2" t="s">
        <v>1566</v>
      </c>
      <c r="AN1366" s="2">
        <f t="shared" si="218"/>
        <v>15</v>
      </c>
      <c r="AO1366" s="2">
        <f t="shared" si="219"/>
        <v>3</v>
      </c>
      <c r="AP1366" s="2">
        <f t="shared" si="220"/>
        <v>0</v>
      </c>
      <c r="AQ1366" s="2">
        <f t="shared" si="221"/>
        <v>0</v>
      </c>
      <c r="AR1366" s="2">
        <f t="shared" si="222"/>
        <v>0</v>
      </c>
      <c r="AS1366" s="2">
        <f t="shared" si="223"/>
        <v>0</v>
      </c>
      <c r="AT1366" s="25">
        <f t="shared" si="224"/>
        <v>0</v>
      </c>
    </row>
    <row r="1367" spans="1:46">
      <c r="A1367" s="24">
        <v>46127</v>
      </c>
      <c r="B1367" s="23">
        <f t="shared" si="216"/>
        <v>46113</v>
      </c>
      <c r="C1367" s="2" t="s">
        <v>133</v>
      </c>
      <c r="D1367" s="2" t="s">
        <v>1583</v>
      </c>
      <c r="E1367" s="2">
        <v>3344</v>
      </c>
      <c r="F1367" s="2">
        <v>20</v>
      </c>
      <c r="G1367" s="2">
        <v>20</v>
      </c>
      <c r="H1367" s="2">
        <v>15</v>
      </c>
      <c r="I1367" s="2">
        <f t="shared" si="217"/>
        <v>5</v>
      </c>
      <c r="J1367" s="44" t="s">
        <v>1566</v>
      </c>
      <c r="K1367" s="2">
        <v>100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5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/>
      <c r="AM1367" s="2" t="s">
        <v>1566</v>
      </c>
      <c r="AN1367" s="2">
        <f t="shared" si="218"/>
        <v>0</v>
      </c>
      <c r="AO1367" s="2">
        <f t="shared" si="219"/>
        <v>0</v>
      </c>
      <c r="AP1367" s="2">
        <f t="shared" si="220"/>
        <v>0</v>
      </c>
      <c r="AQ1367" s="2">
        <f t="shared" si="221"/>
        <v>0</v>
      </c>
      <c r="AR1367" s="2">
        <f t="shared" si="222"/>
        <v>5</v>
      </c>
      <c r="AS1367" s="2">
        <f t="shared" si="223"/>
        <v>0</v>
      </c>
      <c r="AT1367" s="25">
        <f t="shared" si="224"/>
        <v>0</v>
      </c>
    </row>
    <row r="1368" spans="1:46">
      <c r="A1368" s="24">
        <v>46127</v>
      </c>
      <c r="B1368" s="23">
        <f t="shared" si="216"/>
        <v>46113</v>
      </c>
      <c r="C1368" s="2" t="s">
        <v>133</v>
      </c>
      <c r="D1368" s="2" t="s">
        <v>1583</v>
      </c>
      <c r="E1368" s="2">
        <v>3344</v>
      </c>
      <c r="F1368" s="2">
        <v>19</v>
      </c>
      <c r="G1368" s="2">
        <v>19</v>
      </c>
      <c r="H1368" s="2">
        <v>17</v>
      </c>
      <c r="I1368" s="2">
        <f t="shared" si="217"/>
        <v>2</v>
      </c>
      <c r="J1368" s="44" t="s">
        <v>1566</v>
      </c>
      <c r="K1368" s="2">
        <v>100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2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/>
      <c r="AM1368" s="2" t="s">
        <v>1566</v>
      </c>
      <c r="AN1368" s="2">
        <f t="shared" si="218"/>
        <v>0</v>
      </c>
      <c r="AO1368" s="2">
        <f t="shared" si="219"/>
        <v>0</v>
      </c>
      <c r="AP1368" s="2">
        <f t="shared" si="220"/>
        <v>0</v>
      </c>
      <c r="AQ1368" s="2">
        <f t="shared" si="221"/>
        <v>0</v>
      </c>
      <c r="AR1368" s="2">
        <f t="shared" si="222"/>
        <v>2</v>
      </c>
      <c r="AS1368" s="2">
        <f t="shared" si="223"/>
        <v>0</v>
      </c>
      <c r="AT1368" s="25">
        <f t="shared" si="224"/>
        <v>0</v>
      </c>
    </row>
    <row r="1369" spans="1:46">
      <c r="A1369" s="24">
        <v>46127</v>
      </c>
      <c r="B1369" s="23">
        <f t="shared" si="216"/>
        <v>46113</v>
      </c>
      <c r="C1369" s="2" t="s">
        <v>46</v>
      </c>
      <c r="D1369" s="2" t="s">
        <v>217</v>
      </c>
      <c r="E1369" s="2">
        <v>7152</v>
      </c>
      <c r="F1369" s="2">
        <v>28</v>
      </c>
      <c r="G1369" s="2">
        <v>28</v>
      </c>
      <c r="H1369" s="2">
        <v>26</v>
      </c>
      <c r="I1369" s="2">
        <f t="shared" si="217"/>
        <v>2</v>
      </c>
      <c r="J1369" s="44" t="s">
        <v>1566</v>
      </c>
      <c r="K1369" s="2">
        <v>100</v>
      </c>
      <c r="L1369" s="2">
        <v>2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/>
      <c r="AM1369" s="2" t="s">
        <v>1566</v>
      </c>
      <c r="AN1369" s="2">
        <f t="shared" si="218"/>
        <v>2</v>
      </c>
      <c r="AO1369" s="2">
        <f t="shared" si="219"/>
        <v>0</v>
      </c>
      <c r="AP1369" s="2">
        <f t="shared" si="220"/>
        <v>0</v>
      </c>
      <c r="AQ1369" s="2">
        <f t="shared" si="221"/>
        <v>0</v>
      </c>
      <c r="AR1369" s="2">
        <f t="shared" si="222"/>
        <v>0</v>
      </c>
      <c r="AS1369" s="2">
        <f t="shared" si="223"/>
        <v>0</v>
      </c>
      <c r="AT1369" s="25">
        <f t="shared" si="224"/>
        <v>0</v>
      </c>
    </row>
    <row r="1370" spans="1:46">
      <c r="A1370" s="24">
        <v>46127</v>
      </c>
      <c r="B1370" s="23">
        <f t="shared" si="216"/>
        <v>46113</v>
      </c>
      <c r="C1370" s="2" t="s">
        <v>133</v>
      </c>
      <c r="D1370" s="2" t="s">
        <v>1583</v>
      </c>
      <c r="E1370" s="2">
        <v>3344</v>
      </c>
      <c r="F1370" s="2">
        <v>32</v>
      </c>
      <c r="G1370" s="2">
        <v>32</v>
      </c>
      <c r="H1370" s="2">
        <v>30</v>
      </c>
      <c r="I1370" s="2">
        <f t="shared" si="217"/>
        <v>2</v>
      </c>
      <c r="J1370" s="44" t="s">
        <v>1566</v>
      </c>
      <c r="K1370" s="2">
        <v>100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1</v>
      </c>
      <c r="Y1370" s="2">
        <v>0</v>
      </c>
      <c r="Z1370" s="2">
        <v>0</v>
      </c>
      <c r="AA1370" s="2">
        <v>1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/>
      <c r="AM1370" s="2" t="s">
        <v>1566</v>
      </c>
      <c r="AN1370" s="2">
        <f t="shared" si="218"/>
        <v>0</v>
      </c>
      <c r="AO1370" s="2">
        <f t="shared" si="219"/>
        <v>0</v>
      </c>
      <c r="AP1370" s="2">
        <f t="shared" si="220"/>
        <v>0</v>
      </c>
      <c r="AQ1370" s="2">
        <f t="shared" si="221"/>
        <v>0</v>
      </c>
      <c r="AR1370" s="2">
        <f t="shared" si="222"/>
        <v>2</v>
      </c>
      <c r="AS1370" s="2">
        <f t="shared" si="223"/>
        <v>0</v>
      </c>
      <c r="AT1370" s="25">
        <f t="shared" si="224"/>
        <v>0</v>
      </c>
    </row>
    <row r="1371" spans="1:46">
      <c r="A1371" s="24">
        <v>46127</v>
      </c>
      <c r="B1371" s="23">
        <f t="shared" si="216"/>
        <v>46113</v>
      </c>
      <c r="C1371" s="2" t="s">
        <v>55</v>
      </c>
      <c r="D1371" s="2" t="s">
        <v>153</v>
      </c>
      <c r="E1371" s="2">
        <v>1730</v>
      </c>
      <c r="F1371" s="2">
        <v>50</v>
      </c>
      <c r="G1371" s="2">
        <v>50</v>
      </c>
      <c r="H1371" s="2">
        <v>47</v>
      </c>
      <c r="I1371" s="2">
        <f t="shared" si="217"/>
        <v>3</v>
      </c>
      <c r="J1371" s="44" t="s">
        <v>1566</v>
      </c>
      <c r="K1371" s="2">
        <v>100</v>
      </c>
      <c r="L1371" s="2">
        <v>3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/>
      <c r="AM1371" s="2" t="s">
        <v>1566</v>
      </c>
      <c r="AN1371" s="2">
        <f t="shared" si="218"/>
        <v>3</v>
      </c>
      <c r="AO1371" s="2">
        <f t="shared" si="219"/>
        <v>0</v>
      </c>
      <c r="AP1371" s="2">
        <f t="shared" si="220"/>
        <v>0</v>
      </c>
      <c r="AQ1371" s="2">
        <f t="shared" si="221"/>
        <v>0</v>
      </c>
      <c r="AR1371" s="2">
        <f t="shared" si="222"/>
        <v>0</v>
      </c>
      <c r="AS1371" s="2">
        <f t="shared" si="223"/>
        <v>0</v>
      </c>
      <c r="AT1371" s="25">
        <f t="shared" si="224"/>
        <v>0</v>
      </c>
    </row>
    <row r="1372" spans="1:46">
      <c r="A1372" s="24">
        <v>46127</v>
      </c>
      <c r="B1372" s="23">
        <f t="shared" si="216"/>
        <v>46113</v>
      </c>
      <c r="C1372" s="2" t="s">
        <v>72</v>
      </c>
      <c r="D1372" s="2" t="s">
        <v>385</v>
      </c>
      <c r="E1372" s="2">
        <v>3273</v>
      </c>
      <c r="F1372" s="2">
        <v>74</v>
      </c>
      <c r="G1372" s="2">
        <v>74</v>
      </c>
      <c r="H1372" s="2">
        <v>74</v>
      </c>
      <c r="I1372" s="2">
        <f t="shared" si="217"/>
        <v>0</v>
      </c>
      <c r="J1372" s="44" t="s">
        <v>103</v>
      </c>
      <c r="K1372" s="2">
        <v>100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/>
      <c r="AM1372" s="2" t="s">
        <v>103</v>
      </c>
      <c r="AN1372" s="2">
        <f t="shared" si="218"/>
        <v>0</v>
      </c>
      <c r="AO1372" s="2">
        <f t="shared" si="219"/>
        <v>0</v>
      </c>
      <c r="AP1372" s="2">
        <f t="shared" si="220"/>
        <v>0</v>
      </c>
      <c r="AQ1372" s="2">
        <f t="shared" si="221"/>
        <v>0</v>
      </c>
      <c r="AR1372" s="2">
        <f t="shared" si="222"/>
        <v>0</v>
      </c>
      <c r="AS1372" s="2">
        <f t="shared" si="223"/>
        <v>0</v>
      </c>
      <c r="AT1372" s="25">
        <f t="shared" si="224"/>
        <v>0</v>
      </c>
    </row>
    <row r="1373" spans="1:46">
      <c r="A1373" s="24">
        <v>46127</v>
      </c>
      <c r="B1373" s="23">
        <f t="shared" si="216"/>
        <v>46113</v>
      </c>
      <c r="C1373" s="2" t="s">
        <v>72</v>
      </c>
      <c r="D1373" s="2" t="s">
        <v>121</v>
      </c>
      <c r="E1373" s="2">
        <v>6303</v>
      </c>
      <c r="F1373" s="2">
        <v>48</v>
      </c>
      <c r="G1373" s="2">
        <v>48</v>
      </c>
      <c r="H1373" s="2">
        <v>48</v>
      </c>
      <c r="I1373" s="2">
        <f t="shared" si="217"/>
        <v>0</v>
      </c>
      <c r="J1373" s="44" t="s">
        <v>103</v>
      </c>
      <c r="K1373" s="2">
        <v>100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/>
      <c r="AM1373" s="2" t="s">
        <v>103</v>
      </c>
      <c r="AN1373" s="2">
        <f t="shared" si="218"/>
        <v>0</v>
      </c>
      <c r="AO1373" s="2">
        <f t="shared" si="219"/>
        <v>0</v>
      </c>
      <c r="AP1373" s="2">
        <f t="shared" si="220"/>
        <v>0</v>
      </c>
      <c r="AQ1373" s="2">
        <f t="shared" si="221"/>
        <v>0</v>
      </c>
      <c r="AR1373" s="2">
        <f t="shared" si="222"/>
        <v>0</v>
      </c>
      <c r="AS1373" s="2">
        <f t="shared" si="223"/>
        <v>0</v>
      </c>
      <c r="AT1373" s="25">
        <f t="shared" si="224"/>
        <v>0</v>
      </c>
    </row>
    <row r="1374" spans="1:46">
      <c r="A1374" s="24">
        <v>46127</v>
      </c>
      <c r="B1374" s="23">
        <f t="shared" si="216"/>
        <v>46113</v>
      </c>
      <c r="C1374" s="2" t="s">
        <v>72</v>
      </c>
      <c r="D1374" s="2" t="s">
        <v>385</v>
      </c>
      <c r="E1374" s="2">
        <v>3273</v>
      </c>
      <c r="F1374" s="2">
        <v>29</v>
      </c>
      <c r="G1374" s="2">
        <v>29</v>
      </c>
      <c r="H1374" s="2">
        <v>29</v>
      </c>
      <c r="I1374" s="2">
        <f t="shared" si="217"/>
        <v>0</v>
      </c>
      <c r="J1374" s="44" t="s">
        <v>103</v>
      </c>
      <c r="K1374" s="2">
        <v>100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/>
      <c r="AM1374" s="2" t="s">
        <v>103</v>
      </c>
      <c r="AN1374" s="2">
        <f t="shared" si="218"/>
        <v>0</v>
      </c>
      <c r="AO1374" s="2">
        <f t="shared" si="219"/>
        <v>0</v>
      </c>
      <c r="AP1374" s="2">
        <f t="shared" si="220"/>
        <v>0</v>
      </c>
      <c r="AQ1374" s="2">
        <f t="shared" si="221"/>
        <v>0</v>
      </c>
      <c r="AR1374" s="2">
        <f t="shared" si="222"/>
        <v>0</v>
      </c>
      <c r="AS1374" s="2">
        <f t="shared" si="223"/>
        <v>0</v>
      </c>
      <c r="AT1374" s="25">
        <f t="shared" si="224"/>
        <v>0</v>
      </c>
    </row>
    <row r="1375" spans="1:46">
      <c r="A1375" s="24">
        <v>46127</v>
      </c>
      <c r="B1375" s="23">
        <f t="shared" si="216"/>
        <v>46113</v>
      </c>
      <c r="C1375" s="2" t="s">
        <v>72</v>
      </c>
      <c r="D1375" s="2" t="s">
        <v>358</v>
      </c>
      <c r="E1375" s="2">
        <v>3273</v>
      </c>
      <c r="F1375" s="2">
        <v>87</v>
      </c>
      <c r="G1375" s="2">
        <v>87</v>
      </c>
      <c r="H1375" s="2">
        <v>87</v>
      </c>
      <c r="I1375" s="2">
        <f t="shared" si="217"/>
        <v>0</v>
      </c>
      <c r="J1375" s="44" t="s">
        <v>103</v>
      </c>
      <c r="K1375" s="2">
        <v>100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/>
      <c r="AM1375" s="2" t="s">
        <v>103</v>
      </c>
      <c r="AN1375" s="2">
        <f t="shared" si="218"/>
        <v>0</v>
      </c>
      <c r="AO1375" s="2">
        <f t="shared" si="219"/>
        <v>0</v>
      </c>
      <c r="AP1375" s="2">
        <f t="shared" si="220"/>
        <v>0</v>
      </c>
      <c r="AQ1375" s="2">
        <f t="shared" si="221"/>
        <v>0</v>
      </c>
      <c r="AR1375" s="2">
        <f t="shared" si="222"/>
        <v>0</v>
      </c>
      <c r="AS1375" s="2">
        <f t="shared" si="223"/>
        <v>0</v>
      </c>
      <c r="AT1375" s="25">
        <f t="shared" si="224"/>
        <v>0</v>
      </c>
    </row>
    <row r="1376" spans="1:46">
      <c r="A1376" s="24">
        <v>46127</v>
      </c>
      <c r="B1376" s="23">
        <f t="shared" si="216"/>
        <v>46113</v>
      </c>
      <c r="C1376" s="2" t="s">
        <v>114</v>
      </c>
      <c r="D1376" s="2" t="s">
        <v>248</v>
      </c>
      <c r="E1376" s="2">
        <v>6206</v>
      </c>
      <c r="F1376" s="2">
        <v>44</v>
      </c>
      <c r="G1376" s="2">
        <v>44</v>
      </c>
      <c r="H1376" s="2">
        <v>44</v>
      </c>
      <c r="I1376" s="2">
        <f t="shared" si="217"/>
        <v>0</v>
      </c>
      <c r="J1376" s="44" t="s">
        <v>103</v>
      </c>
      <c r="K1376" s="2">
        <v>100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/>
      <c r="AM1376" s="2" t="s">
        <v>103</v>
      </c>
      <c r="AN1376" s="2">
        <f t="shared" si="218"/>
        <v>0</v>
      </c>
      <c r="AO1376" s="2">
        <f t="shared" si="219"/>
        <v>0</v>
      </c>
      <c r="AP1376" s="2">
        <f t="shared" si="220"/>
        <v>0</v>
      </c>
      <c r="AQ1376" s="2">
        <f t="shared" si="221"/>
        <v>0</v>
      </c>
      <c r="AR1376" s="2">
        <f t="shared" si="222"/>
        <v>0</v>
      </c>
      <c r="AS1376" s="2">
        <f t="shared" si="223"/>
        <v>0</v>
      </c>
      <c r="AT1376" s="25">
        <f t="shared" si="224"/>
        <v>0</v>
      </c>
    </row>
    <row r="1377" spans="1:46">
      <c r="A1377" s="24">
        <v>46127</v>
      </c>
      <c r="B1377" s="23">
        <f t="shared" si="216"/>
        <v>46113</v>
      </c>
      <c r="C1377" s="2" t="s">
        <v>114</v>
      </c>
      <c r="D1377" s="2" t="s">
        <v>343</v>
      </c>
      <c r="E1377" s="2">
        <v>3287</v>
      </c>
      <c r="F1377" s="2">
        <v>38</v>
      </c>
      <c r="G1377" s="2">
        <v>38</v>
      </c>
      <c r="H1377" s="2">
        <v>37</v>
      </c>
      <c r="I1377" s="2">
        <f t="shared" si="217"/>
        <v>1</v>
      </c>
      <c r="J1377" s="44" t="s">
        <v>103</v>
      </c>
      <c r="K1377" s="2">
        <v>100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1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/>
      <c r="AM1377" s="2" t="s">
        <v>103</v>
      </c>
      <c r="AN1377" s="2">
        <f t="shared" si="218"/>
        <v>0</v>
      </c>
      <c r="AO1377" s="2">
        <f t="shared" si="219"/>
        <v>0</v>
      </c>
      <c r="AP1377" s="2">
        <f t="shared" si="220"/>
        <v>0</v>
      </c>
      <c r="AQ1377" s="2">
        <f t="shared" si="221"/>
        <v>1</v>
      </c>
      <c r="AR1377" s="2">
        <f t="shared" si="222"/>
        <v>0</v>
      </c>
      <c r="AS1377" s="2">
        <f t="shared" si="223"/>
        <v>0</v>
      </c>
      <c r="AT1377" s="25">
        <f t="shared" si="224"/>
        <v>0</v>
      </c>
    </row>
    <row r="1378" spans="1:46">
      <c r="A1378" s="24">
        <v>46127</v>
      </c>
      <c r="B1378" s="23">
        <f t="shared" si="216"/>
        <v>46113</v>
      </c>
      <c r="C1378" s="2" t="s">
        <v>114</v>
      </c>
      <c r="D1378" s="2" t="s">
        <v>376</v>
      </c>
      <c r="E1378" s="2">
        <v>6206</v>
      </c>
      <c r="F1378" s="2">
        <v>89</v>
      </c>
      <c r="G1378" s="2">
        <v>89</v>
      </c>
      <c r="H1378" s="2">
        <v>82</v>
      </c>
      <c r="I1378" s="2">
        <f t="shared" si="217"/>
        <v>7</v>
      </c>
      <c r="J1378" s="44" t="s">
        <v>103</v>
      </c>
      <c r="K1378" s="2">
        <v>100</v>
      </c>
      <c r="L1378" s="2">
        <v>3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1</v>
      </c>
      <c r="U1378" s="2">
        <v>0</v>
      </c>
      <c r="V1378" s="2">
        <v>0</v>
      </c>
      <c r="W1378" s="2">
        <v>3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/>
      <c r="AM1378" s="2" t="s">
        <v>103</v>
      </c>
      <c r="AN1378" s="2">
        <f t="shared" si="218"/>
        <v>3</v>
      </c>
      <c r="AO1378" s="2">
        <f t="shared" si="219"/>
        <v>1</v>
      </c>
      <c r="AP1378" s="2">
        <f t="shared" si="220"/>
        <v>0</v>
      </c>
      <c r="AQ1378" s="2">
        <f t="shared" si="221"/>
        <v>0</v>
      </c>
      <c r="AR1378" s="2">
        <f t="shared" si="222"/>
        <v>3</v>
      </c>
      <c r="AS1378" s="2">
        <f t="shared" si="223"/>
        <v>0</v>
      </c>
      <c r="AT1378" s="25">
        <f t="shared" si="224"/>
        <v>0</v>
      </c>
    </row>
    <row r="1379" spans="1:46">
      <c r="A1379" s="24">
        <v>46127</v>
      </c>
      <c r="B1379" s="23">
        <f t="shared" si="216"/>
        <v>46113</v>
      </c>
      <c r="C1379" s="2" t="s">
        <v>114</v>
      </c>
      <c r="D1379" s="2" t="s">
        <v>1220</v>
      </c>
      <c r="E1379" s="2">
        <v>7155</v>
      </c>
      <c r="F1379" s="2">
        <v>14</v>
      </c>
      <c r="G1379" s="2">
        <v>14</v>
      </c>
      <c r="H1379" s="2">
        <v>11</v>
      </c>
      <c r="I1379" s="2">
        <f t="shared" si="217"/>
        <v>3</v>
      </c>
      <c r="J1379" s="44" t="s">
        <v>103</v>
      </c>
      <c r="K1379" s="2">
        <v>100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2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1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/>
      <c r="AM1379" s="2" t="s">
        <v>103</v>
      </c>
      <c r="AN1379" s="2">
        <f t="shared" si="218"/>
        <v>0</v>
      </c>
      <c r="AO1379" s="2">
        <f t="shared" si="219"/>
        <v>2</v>
      </c>
      <c r="AP1379" s="2">
        <f t="shared" si="220"/>
        <v>0</v>
      </c>
      <c r="AQ1379" s="2">
        <f t="shared" si="221"/>
        <v>1</v>
      </c>
      <c r="AR1379" s="2">
        <f t="shared" si="222"/>
        <v>0</v>
      </c>
      <c r="AS1379" s="2">
        <f t="shared" si="223"/>
        <v>0</v>
      </c>
      <c r="AT1379" s="25">
        <f t="shared" si="224"/>
        <v>0</v>
      </c>
    </row>
    <row r="1380" spans="1:46">
      <c r="A1380" s="24">
        <v>46127</v>
      </c>
      <c r="B1380" s="23">
        <f t="shared" si="216"/>
        <v>46113</v>
      </c>
      <c r="C1380" s="2" t="s">
        <v>72</v>
      </c>
      <c r="D1380" s="2" t="s">
        <v>306</v>
      </c>
      <c r="E1380" s="2">
        <v>6225</v>
      </c>
      <c r="F1380" s="2">
        <v>16</v>
      </c>
      <c r="G1380" s="2">
        <v>16</v>
      </c>
      <c r="H1380" s="2">
        <v>15</v>
      </c>
      <c r="I1380" s="2">
        <f t="shared" si="217"/>
        <v>1</v>
      </c>
      <c r="J1380" s="44" t="s">
        <v>103</v>
      </c>
      <c r="K1380" s="2">
        <v>100</v>
      </c>
      <c r="L1380" s="2">
        <v>1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/>
      <c r="AM1380" s="2" t="s">
        <v>103</v>
      </c>
      <c r="AN1380" s="2">
        <f t="shared" si="218"/>
        <v>1</v>
      </c>
      <c r="AO1380" s="2">
        <f t="shared" si="219"/>
        <v>0</v>
      </c>
      <c r="AP1380" s="2">
        <f t="shared" si="220"/>
        <v>0</v>
      </c>
      <c r="AQ1380" s="2">
        <f t="shared" si="221"/>
        <v>0</v>
      </c>
      <c r="AR1380" s="2">
        <f t="shared" si="222"/>
        <v>0</v>
      </c>
      <c r="AS1380" s="2">
        <f t="shared" si="223"/>
        <v>0</v>
      </c>
      <c r="AT1380" s="25">
        <f t="shared" si="224"/>
        <v>0</v>
      </c>
    </row>
    <row r="1381" spans="1:46">
      <c r="A1381" s="24">
        <v>46127</v>
      </c>
      <c r="B1381" s="23">
        <f t="shared" si="216"/>
        <v>46113</v>
      </c>
      <c r="C1381" s="2" t="s">
        <v>72</v>
      </c>
      <c r="D1381" s="2" t="s">
        <v>88</v>
      </c>
      <c r="E1381" s="2">
        <v>1825</v>
      </c>
      <c r="F1381" s="2">
        <v>12</v>
      </c>
      <c r="G1381" s="2">
        <v>12</v>
      </c>
      <c r="H1381" s="2">
        <v>12</v>
      </c>
      <c r="I1381" s="2">
        <f t="shared" si="217"/>
        <v>0</v>
      </c>
      <c r="J1381" s="44" t="s">
        <v>103</v>
      </c>
      <c r="K1381" s="2">
        <v>100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/>
      <c r="AM1381" s="2" t="s">
        <v>103</v>
      </c>
      <c r="AN1381" s="2">
        <f t="shared" si="218"/>
        <v>0</v>
      </c>
      <c r="AO1381" s="2">
        <f t="shared" si="219"/>
        <v>0</v>
      </c>
      <c r="AP1381" s="2">
        <f t="shared" si="220"/>
        <v>0</v>
      </c>
      <c r="AQ1381" s="2">
        <f t="shared" si="221"/>
        <v>0</v>
      </c>
      <c r="AR1381" s="2">
        <f t="shared" si="222"/>
        <v>0</v>
      </c>
      <c r="AS1381" s="2">
        <f t="shared" si="223"/>
        <v>0</v>
      </c>
      <c r="AT1381" s="25">
        <f t="shared" si="224"/>
        <v>0</v>
      </c>
    </row>
    <row r="1382" spans="1:46">
      <c r="A1382" s="24">
        <v>46127</v>
      </c>
      <c r="B1382" s="23">
        <f t="shared" si="216"/>
        <v>46113</v>
      </c>
      <c r="C1382" s="2" t="s">
        <v>114</v>
      </c>
      <c r="D1382" s="2" t="s">
        <v>368</v>
      </c>
      <c r="E1382" s="2">
        <v>3287</v>
      </c>
      <c r="F1382" s="2">
        <v>19</v>
      </c>
      <c r="G1382" s="2">
        <v>19</v>
      </c>
      <c r="H1382" s="2">
        <v>19</v>
      </c>
      <c r="I1382" s="2">
        <f t="shared" si="217"/>
        <v>0</v>
      </c>
      <c r="J1382" s="44" t="s">
        <v>103</v>
      </c>
      <c r="K1382" s="2">
        <v>100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/>
      <c r="AM1382" s="2" t="s">
        <v>103</v>
      </c>
      <c r="AN1382" s="2">
        <f t="shared" si="218"/>
        <v>0</v>
      </c>
      <c r="AO1382" s="2">
        <f t="shared" si="219"/>
        <v>0</v>
      </c>
      <c r="AP1382" s="2">
        <f t="shared" si="220"/>
        <v>0</v>
      </c>
      <c r="AQ1382" s="2">
        <f t="shared" si="221"/>
        <v>0</v>
      </c>
      <c r="AR1382" s="2">
        <f t="shared" si="222"/>
        <v>0</v>
      </c>
      <c r="AS1382" s="2">
        <f t="shared" si="223"/>
        <v>0</v>
      </c>
      <c r="AT1382" s="25">
        <f t="shared" si="224"/>
        <v>0</v>
      </c>
    </row>
    <row r="1383" spans="1:46">
      <c r="A1383" s="24">
        <v>46127</v>
      </c>
      <c r="B1383" s="23">
        <f t="shared" si="216"/>
        <v>46113</v>
      </c>
      <c r="C1383" s="2" t="s">
        <v>114</v>
      </c>
      <c r="D1383" s="2" t="s">
        <v>280</v>
      </c>
      <c r="E1383" s="2">
        <v>3308</v>
      </c>
      <c r="F1383" s="2">
        <v>31</v>
      </c>
      <c r="G1383" s="2">
        <v>31</v>
      </c>
      <c r="H1383" s="2">
        <v>30</v>
      </c>
      <c r="I1383" s="2">
        <f t="shared" si="217"/>
        <v>1</v>
      </c>
      <c r="J1383" s="44" t="s">
        <v>103</v>
      </c>
      <c r="K1383" s="2">
        <v>100</v>
      </c>
      <c r="L1383" s="2">
        <v>1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/>
      <c r="AM1383" s="2" t="s">
        <v>103</v>
      </c>
      <c r="AN1383" s="2">
        <f t="shared" si="218"/>
        <v>1</v>
      </c>
      <c r="AO1383" s="2">
        <f t="shared" si="219"/>
        <v>0</v>
      </c>
      <c r="AP1383" s="2">
        <f t="shared" si="220"/>
        <v>0</v>
      </c>
      <c r="AQ1383" s="2">
        <f t="shared" si="221"/>
        <v>0</v>
      </c>
      <c r="AR1383" s="2">
        <f t="shared" si="222"/>
        <v>0</v>
      </c>
      <c r="AS1383" s="2">
        <f t="shared" si="223"/>
        <v>0</v>
      </c>
      <c r="AT1383" s="25">
        <f t="shared" si="224"/>
        <v>0</v>
      </c>
    </row>
    <row r="1384" spans="1:46">
      <c r="A1384" s="24">
        <v>46127</v>
      </c>
      <c r="B1384" s="23">
        <f t="shared" si="216"/>
        <v>46113</v>
      </c>
      <c r="C1384" s="2" t="s">
        <v>72</v>
      </c>
      <c r="D1384" s="2" t="s">
        <v>200</v>
      </c>
      <c r="E1384" s="2">
        <v>8110</v>
      </c>
      <c r="F1384" s="2">
        <v>28</v>
      </c>
      <c r="G1384" s="2">
        <v>28</v>
      </c>
      <c r="H1384" s="2">
        <v>26</v>
      </c>
      <c r="I1384" s="2">
        <f t="shared" si="217"/>
        <v>2</v>
      </c>
      <c r="J1384" s="44" t="s">
        <v>103</v>
      </c>
      <c r="K1384" s="2">
        <v>100</v>
      </c>
      <c r="L1384" s="2">
        <v>2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/>
      <c r="AM1384" s="2" t="s">
        <v>103</v>
      </c>
      <c r="AN1384" s="2">
        <f t="shared" si="218"/>
        <v>2</v>
      </c>
      <c r="AO1384" s="2">
        <f t="shared" si="219"/>
        <v>0</v>
      </c>
      <c r="AP1384" s="2">
        <f t="shared" si="220"/>
        <v>0</v>
      </c>
      <c r="AQ1384" s="2">
        <f t="shared" si="221"/>
        <v>0</v>
      </c>
      <c r="AR1384" s="2">
        <f t="shared" si="222"/>
        <v>0</v>
      </c>
      <c r="AS1384" s="2">
        <f t="shared" si="223"/>
        <v>0</v>
      </c>
      <c r="AT1384" s="25">
        <f t="shared" si="224"/>
        <v>0</v>
      </c>
    </row>
    <row r="1385" spans="1:46">
      <c r="A1385" s="24">
        <v>46127</v>
      </c>
      <c r="B1385" s="23">
        <f t="shared" si="216"/>
        <v>46113</v>
      </c>
      <c r="C1385" s="2" t="s">
        <v>63</v>
      </c>
      <c r="D1385" s="2" t="s">
        <v>206</v>
      </c>
      <c r="E1385" s="2">
        <v>8141</v>
      </c>
      <c r="F1385" s="2">
        <v>32</v>
      </c>
      <c r="G1385" s="2">
        <v>32</v>
      </c>
      <c r="H1385" s="2">
        <v>32</v>
      </c>
      <c r="I1385" s="2">
        <f t="shared" si="217"/>
        <v>0</v>
      </c>
      <c r="J1385" s="44" t="s">
        <v>1568</v>
      </c>
      <c r="K1385" s="2">
        <v>100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/>
      <c r="AM1385" s="2" t="s">
        <v>1568</v>
      </c>
      <c r="AN1385" s="2">
        <f t="shared" si="218"/>
        <v>0</v>
      </c>
      <c r="AO1385" s="2">
        <f t="shared" si="219"/>
        <v>0</v>
      </c>
      <c r="AP1385" s="2">
        <f t="shared" si="220"/>
        <v>0</v>
      </c>
      <c r="AQ1385" s="2">
        <f t="shared" si="221"/>
        <v>0</v>
      </c>
      <c r="AR1385" s="2">
        <f t="shared" si="222"/>
        <v>0</v>
      </c>
      <c r="AS1385" s="2">
        <f t="shared" si="223"/>
        <v>0</v>
      </c>
      <c r="AT1385" s="25">
        <f t="shared" si="224"/>
        <v>0</v>
      </c>
    </row>
    <row r="1386" spans="1:46">
      <c r="A1386" s="24">
        <v>46127</v>
      </c>
      <c r="B1386" s="23">
        <f t="shared" si="216"/>
        <v>46113</v>
      </c>
      <c r="C1386" s="2" t="s">
        <v>62</v>
      </c>
      <c r="D1386" s="2" t="s">
        <v>332</v>
      </c>
      <c r="E1386" s="2">
        <v>2594</v>
      </c>
      <c r="F1386" s="2">
        <v>79</v>
      </c>
      <c r="G1386" s="2">
        <v>79</v>
      </c>
      <c r="H1386" s="2">
        <v>78</v>
      </c>
      <c r="I1386" s="2">
        <f t="shared" si="217"/>
        <v>1</v>
      </c>
      <c r="J1386" s="44" t="s">
        <v>1568</v>
      </c>
      <c r="K1386" s="2">
        <v>100</v>
      </c>
      <c r="L1386" s="2">
        <v>0</v>
      </c>
      <c r="M1386" s="2">
        <v>1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/>
      <c r="AM1386" s="2" t="s">
        <v>1568</v>
      </c>
      <c r="AN1386" s="2">
        <f t="shared" si="218"/>
        <v>0</v>
      </c>
      <c r="AO1386" s="2">
        <f t="shared" si="219"/>
        <v>1</v>
      </c>
      <c r="AP1386" s="2">
        <f t="shared" si="220"/>
        <v>0</v>
      </c>
      <c r="AQ1386" s="2">
        <f t="shared" si="221"/>
        <v>0</v>
      </c>
      <c r="AR1386" s="2">
        <f t="shared" si="222"/>
        <v>0</v>
      </c>
      <c r="AS1386" s="2">
        <f t="shared" si="223"/>
        <v>0</v>
      </c>
      <c r="AT1386" s="25">
        <f t="shared" si="224"/>
        <v>0</v>
      </c>
    </row>
    <row r="1387" spans="1:46">
      <c r="A1387" s="24">
        <v>46127</v>
      </c>
      <c r="B1387" s="23">
        <f t="shared" si="216"/>
        <v>46113</v>
      </c>
      <c r="C1387" s="2" t="s">
        <v>62</v>
      </c>
      <c r="D1387" s="2" t="s">
        <v>190</v>
      </c>
      <c r="E1387" s="2">
        <v>3215</v>
      </c>
      <c r="F1387" s="2">
        <v>37</v>
      </c>
      <c r="G1387" s="2">
        <v>37</v>
      </c>
      <c r="H1387" s="2">
        <v>37</v>
      </c>
      <c r="I1387" s="2">
        <f t="shared" si="217"/>
        <v>0</v>
      </c>
      <c r="J1387" s="44" t="s">
        <v>1568</v>
      </c>
      <c r="K1387" s="2">
        <v>100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/>
      <c r="AM1387" s="2" t="s">
        <v>1568</v>
      </c>
      <c r="AN1387" s="2">
        <f t="shared" si="218"/>
        <v>0</v>
      </c>
      <c r="AO1387" s="2">
        <f t="shared" si="219"/>
        <v>0</v>
      </c>
      <c r="AP1387" s="2">
        <f t="shared" si="220"/>
        <v>0</v>
      </c>
      <c r="AQ1387" s="2">
        <f t="shared" si="221"/>
        <v>0</v>
      </c>
      <c r="AR1387" s="2">
        <f t="shared" si="222"/>
        <v>0</v>
      </c>
      <c r="AS1387" s="2">
        <f t="shared" si="223"/>
        <v>0</v>
      </c>
      <c r="AT1387" s="25">
        <f t="shared" si="224"/>
        <v>0</v>
      </c>
    </row>
    <row r="1388" spans="1:46">
      <c r="A1388" s="24">
        <v>46127</v>
      </c>
      <c r="B1388" s="23">
        <f t="shared" si="216"/>
        <v>46113</v>
      </c>
      <c r="C1388" s="2" t="s">
        <v>62</v>
      </c>
      <c r="D1388" s="2" t="s">
        <v>351</v>
      </c>
      <c r="E1388" s="2">
        <v>3247</v>
      </c>
      <c r="F1388" s="2">
        <v>69</v>
      </c>
      <c r="G1388" s="2">
        <v>69</v>
      </c>
      <c r="H1388" s="2">
        <v>69</v>
      </c>
      <c r="I1388" s="2">
        <f t="shared" si="217"/>
        <v>0</v>
      </c>
      <c r="J1388" s="44" t="s">
        <v>1568</v>
      </c>
      <c r="K1388" s="2">
        <v>100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/>
      <c r="AM1388" s="2" t="s">
        <v>1568</v>
      </c>
      <c r="AN1388" s="2">
        <f t="shared" si="218"/>
        <v>0</v>
      </c>
      <c r="AO1388" s="2">
        <f t="shared" si="219"/>
        <v>0</v>
      </c>
      <c r="AP1388" s="2">
        <f t="shared" si="220"/>
        <v>0</v>
      </c>
      <c r="AQ1388" s="2">
        <f t="shared" si="221"/>
        <v>0</v>
      </c>
      <c r="AR1388" s="2">
        <f t="shared" si="222"/>
        <v>0</v>
      </c>
      <c r="AS1388" s="2">
        <f t="shared" si="223"/>
        <v>0</v>
      </c>
      <c r="AT1388" s="25">
        <f t="shared" si="224"/>
        <v>0</v>
      </c>
    </row>
    <row r="1389" spans="1:46">
      <c r="A1389" s="24">
        <v>46127</v>
      </c>
      <c r="B1389" s="23">
        <f t="shared" si="216"/>
        <v>46113</v>
      </c>
      <c r="C1389" s="2" t="s">
        <v>63</v>
      </c>
      <c r="D1389" s="2" t="s">
        <v>143</v>
      </c>
      <c r="E1389" s="2">
        <v>3255</v>
      </c>
      <c r="F1389" s="2">
        <v>41</v>
      </c>
      <c r="G1389" s="2">
        <v>41</v>
      </c>
      <c r="H1389" s="2">
        <v>41</v>
      </c>
      <c r="I1389" s="2">
        <f t="shared" si="217"/>
        <v>0</v>
      </c>
      <c r="J1389" s="44" t="s">
        <v>1568</v>
      </c>
      <c r="K1389" s="2">
        <v>100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/>
      <c r="AM1389" s="2" t="s">
        <v>1568</v>
      </c>
      <c r="AN1389" s="2">
        <f t="shared" si="218"/>
        <v>0</v>
      </c>
      <c r="AO1389" s="2">
        <f t="shared" si="219"/>
        <v>0</v>
      </c>
      <c r="AP1389" s="2">
        <f t="shared" si="220"/>
        <v>0</v>
      </c>
      <c r="AQ1389" s="2">
        <f t="shared" si="221"/>
        <v>0</v>
      </c>
      <c r="AR1389" s="2">
        <f t="shared" si="222"/>
        <v>0</v>
      </c>
      <c r="AS1389" s="2">
        <f t="shared" si="223"/>
        <v>0</v>
      </c>
      <c r="AT1389" s="25">
        <f t="shared" si="224"/>
        <v>0</v>
      </c>
    </row>
    <row r="1390" spans="1:46">
      <c r="A1390" s="24">
        <v>46127</v>
      </c>
      <c r="B1390" s="23">
        <f t="shared" si="216"/>
        <v>46113</v>
      </c>
      <c r="C1390" s="2" t="s">
        <v>62</v>
      </c>
      <c r="D1390" s="2" t="s">
        <v>208</v>
      </c>
      <c r="E1390" s="2">
        <v>3305</v>
      </c>
      <c r="F1390" s="2">
        <v>32</v>
      </c>
      <c r="G1390" s="2">
        <v>32</v>
      </c>
      <c r="H1390" s="2">
        <v>32</v>
      </c>
      <c r="I1390" s="2">
        <f t="shared" si="217"/>
        <v>0</v>
      </c>
      <c r="J1390" s="44" t="s">
        <v>1568</v>
      </c>
      <c r="K1390" s="2">
        <v>100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/>
      <c r="AM1390" s="2" t="s">
        <v>1568</v>
      </c>
      <c r="AN1390" s="2">
        <f t="shared" si="218"/>
        <v>0</v>
      </c>
      <c r="AO1390" s="2">
        <f t="shared" si="219"/>
        <v>0</v>
      </c>
      <c r="AP1390" s="2">
        <f t="shared" si="220"/>
        <v>0</v>
      </c>
      <c r="AQ1390" s="2">
        <f t="shared" si="221"/>
        <v>0</v>
      </c>
      <c r="AR1390" s="2">
        <f t="shared" si="222"/>
        <v>0</v>
      </c>
      <c r="AS1390" s="2">
        <f t="shared" si="223"/>
        <v>0</v>
      </c>
      <c r="AT1390" s="25">
        <f t="shared" si="224"/>
        <v>0</v>
      </c>
    </row>
    <row r="1391" spans="1:46">
      <c r="A1391" s="24">
        <v>46127</v>
      </c>
      <c r="B1391" s="23">
        <f t="shared" si="216"/>
        <v>46113</v>
      </c>
      <c r="C1391" s="2" t="s">
        <v>62</v>
      </c>
      <c r="D1391" s="2" t="s">
        <v>141</v>
      </c>
      <c r="E1391" s="2">
        <v>6282</v>
      </c>
      <c r="F1391" s="2">
        <v>39</v>
      </c>
      <c r="G1391" s="2">
        <v>39</v>
      </c>
      <c r="H1391" s="2">
        <v>38</v>
      </c>
      <c r="I1391" s="2">
        <f t="shared" si="217"/>
        <v>1</v>
      </c>
      <c r="J1391" s="44" t="s">
        <v>1568</v>
      </c>
      <c r="K1391" s="2">
        <v>100</v>
      </c>
      <c r="L1391" s="2">
        <v>1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/>
      <c r="AM1391" s="2" t="s">
        <v>1568</v>
      </c>
      <c r="AN1391" s="2">
        <f t="shared" si="218"/>
        <v>1</v>
      </c>
      <c r="AO1391" s="2">
        <f t="shared" si="219"/>
        <v>0</v>
      </c>
      <c r="AP1391" s="2">
        <f t="shared" si="220"/>
        <v>0</v>
      </c>
      <c r="AQ1391" s="2">
        <f t="shared" si="221"/>
        <v>0</v>
      </c>
      <c r="AR1391" s="2">
        <f t="shared" si="222"/>
        <v>0</v>
      </c>
      <c r="AS1391" s="2">
        <f t="shared" si="223"/>
        <v>0</v>
      </c>
      <c r="AT1391" s="25">
        <f t="shared" si="224"/>
        <v>0</v>
      </c>
    </row>
    <row r="1392" spans="1:46">
      <c r="A1392" s="24">
        <v>46127</v>
      </c>
      <c r="B1392" s="23">
        <f t="shared" si="216"/>
        <v>46113</v>
      </c>
      <c r="C1392" s="2" t="s">
        <v>62</v>
      </c>
      <c r="D1392" s="2" t="s">
        <v>1205</v>
      </c>
      <c r="E1392" s="2">
        <v>3313</v>
      </c>
      <c r="F1392" s="2">
        <v>46</v>
      </c>
      <c r="G1392" s="2">
        <v>46</v>
      </c>
      <c r="H1392" s="2">
        <v>46</v>
      </c>
      <c r="I1392" s="2">
        <f t="shared" si="217"/>
        <v>0</v>
      </c>
      <c r="J1392" s="44" t="s">
        <v>1568</v>
      </c>
      <c r="K1392" s="2">
        <v>100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/>
      <c r="AM1392" s="2" t="s">
        <v>1568</v>
      </c>
      <c r="AN1392" s="2">
        <f t="shared" si="218"/>
        <v>0</v>
      </c>
      <c r="AO1392" s="2">
        <f t="shared" si="219"/>
        <v>0</v>
      </c>
      <c r="AP1392" s="2">
        <f t="shared" si="220"/>
        <v>0</v>
      </c>
      <c r="AQ1392" s="2">
        <f t="shared" si="221"/>
        <v>0</v>
      </c>
      <c r="AR1392" s="2">
        <f t="shared" si="222"/>
        <v>0</v>
      </c>
      <c r="AS1392" s="2">
        <f t="shared" si="223"/>
        <v>0</v>
      </c>
      <c r="AT1392" s="25">
        <f t="shared" si="224"/>
        <v>0</v>
      </c>
    </row>
    <row r="1393" spans="1:46">
      <c r="A1393" s="24">
        <v>46127</v>
      </c>
      <c r="B1393" s="23">
        <f t="shared" si="216"/>
        <v>46113</v>
      </c>
      <c r="C1393" s="2" t="s">
        <v>62</v>
      </c>
      <c r="D1393" s="2" t="s">
        <v>1406</v>
      </c>
      <c r="E1393" s="2">
        <v>3330</v>
      </c>
      <c r="F1393" s="2">
        <v>38</v>
      </c>
      <c r="G1393" s="2">
        <v>38</v>
      </c>
      <c r="H1393" s="2">
        <v>38</v>
      </c>
      <c r="I1393" s="2">
        <f t="shared" si="217"/>
        <v>0</v>
      </c>
      <c r="J1393" s="44" t="s">
        <v>1568</v>
      </c>
      <c r="K1393" s="2">
        <v>100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/>
      <c r="AM1393" s="2" t="s">
        <v>1568</v>
      </c>
      <c r="AN1393" s="2">
        <f t="shared" si="218"/>
        <v>0</v>
      </c>
      <c r="AO1393" s="2">
        <f t="shared" si="219"/>
        <v>0</v>
      </c>
      <c r="AP1393" s="2">
        <f t="shared" si="220"/>
        <v>0</v>
      </c>
      <c r="AQ1393" s="2">
        <f t="shared" si="221"/>
        <v>0</v>
      </c>
      <c r="AR1393" s="2">
        <f t="shared" si="222"/>
        <v>0</v>
      </c>
      <c r="AS1393" s="2">
        <f t="shared" si="223"/>
        <v>0</v>
      </c>
      <c r="AT1393" s="25">
        <f t="shared" si="224"/>
        <v>0</v>
      </c>
    </row>
    <row r="1394" spans="1:46">
      <c r="A1394" s="24">
        <v>46127</v>
      </c>
      <c r="B1394" s="23">
        <f t="shared" si="216"/>
        <v>46113</v>
      </c>
      <c r="C1394" s="2" t="s">
        <v>114</v>
      </c>
      <c r="D1394" s="2" t="s">
        <v>367</v>
      </c>
      <c r="E1394" s="2">
        <v>3287</v>
      </c>
      <c r="F1394" s="2">
        <v>137</v>
      </c>
      <c r="G1394" s="2">
        <v>137</v>
      </c>
      <c r="H1394" s="2">
        <v>135</v>
      </c>
      <c r="I1394" s="2">
        <f t="shared" si="217"/>
        <v>2</v>
      </c>
      <c r="J1394" s="44" t="s">
        <v>1569</v>
      </c>
      <c r="K1394" s="2">
        <v>100</v>
      </c>
      <c r="L1394" s="2">
        <v>0</v>
      </c>
      <c r="M1394" s="2">
        <v>0</v>
      </c>
      <c r="N1394" s="2">
        <v>0</v>
      </c>
      <c r="O1394" s="2">
        <v>0</v>
      </c>
      <c r="P1394" s="2">
        <v>1</v>
      </c>
      <c r="Q1394" s="2">
        <v>0</v>
      </c>
      <c r="R1394" s="2">
        <v>0</v>
      </c>
      <c r="S1394" s="2">
        <v>0</v>
      </c>
      <c r="T1394" s="2">
        <v>0</v>
      </c>
      <c r="U1394" s="2">
        <v>1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/>
      <c r="AM1394" s="2" t="s">
        <v>1569</v>
      </c>
      <c r="AN1394" s="2">
        <f t="shared" si="218"/>
        <v>0</v>
      </c>
      <c r="AO1394" s="2">
        <f t="shared" si="219"/>
        <v>2</v>
      </c>
      <c r="AP1394" s="2">
        <f t="shared" si="220"/>
        <v>0</v>
      </c>
      <c r="AQ1394" s="2">
        <f t="shared" si="221"/>
        <v>0</v>
      </c>
      <c r="AR1394" s="2">
        <f t="shared" si="222"/>
        <v>0</v>
      </c>
      <c r="AS1394" s="2">
        <f t="shared" si="223"/>
        <v>0</v>
      </c>
      <c r="AT1394" s="25">
        <f t="shared" si="224"/>
        <v>0</v>
      </c>
    </row>
    <row r="1395" spans="1:46">
      <c r="A1395" s="24">
        <v>46127</v>
      </c>
      <c r="B1395" s="23">
        <f t="shared" si="216"/>
        <v>46113</v>
      </c>
      <c r="C1395" s="2" t="s">
        <v>82</v>
      </c>
      <c r="D1395" s="2" t="s">
        <v>118</v>
      </c>
      <c r="E1395" s="2">
        <v>1650</v>
      </c>
      <c r="F1395" s="2">
        <v>69</v>
      </c>
      <c r="G1395" s="2">
        <v>69</v>
      </c>
      <c r="H1395" s="2">
        <v>61</v>
      </c>
      <c r="I1395" s="2">
        <f t="shared" si="217"/>
        <v>8</v>
      </c>
      <c r="J1395" s="44" t="s">
        <v>93</v>
      </c>
      <c r="K1395" s="2">
        <v>100</v>
      </c>
      <c r="L1395" s="2">
        <v>2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6</v>
      </c>
      <c r="AH1395" s="2">
        <v>0</v>
      </c>
      <c r="AI1395" s="2">
        <v>0</v>
      </c>
      <c r="AJ1395" s="2">
        <v>0</v>
      </c>
      <c r="AK1395" s="2">
        <v>0</v>
      </c>
      <c r="AL1395" s="2"/>
      <c r="AM1395" s="2" t="s">
        <v>93</v>
      </c>
      <c r="AN1395" s="2">
        <f t="shared" si="218"/>
        <v>2</v>
      </c>
      <c r="AO1395" s="2">
        <f t="shared" si="219"/>
        <v>0</v>
      </c>
      <c r="AP1395" s="2">
        <f t="shared" si="220"/>
        <v>0</v>
      </c>
      <c r="AQ1395" s="2">
        <f t="shared" si="221"/>
        <v>0</v>
      </c>
      <c r="AR1395" s="2">
        <f t="shared" si="222"/>
        <v>0</v>
      </c>
      <c r="AS1395" s="2">
        <f t="shared" si="223"/>
        <v>6</v>
      </c>
      <c r="AT1395" s="25">
        <f t="shared" si="224"/>
        <v>0</v>
      </c>
    </row>
    <row r="1396" spans="1:46">
      <c r="A1396" s="24">
        <v>46127</v>
      </c>
      <c r="B1396" s="23">
        <f t="shared" si="216"/>
        <v>46113</v>
      </c>
      <c r="C1396" s="2" t="s">
        <v>95</v>
      </c>
      <c r="D1396" s="2" t="s">
        <v>1391</v>
      </c>
      <c r="E1396" s="2">
        <v>1802</v>
      </c>
      <c r="F1396" s="2">
        <v>36</v>
      </c>
      <c r="G1396" s="2">
        <v>36</v>
      </c>
      <c r="H1396" s="2">
        <v>36</v>
      </c>
      <c r="I1396" s="2">
        <f t="shared" si="217"/>
        <v>0</v>
      </c>
      <c r="J1396" s="44" t="s">
        <v>93</v>
      </c>
      <c r="K1396" s="2">
        <v>100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/>
      <c r="AM1396" s="2" t="s">
        <v>93</v>
      </c>
      <c r="AN1396" s="2">
        <f t="shared" si="218"/>
        <v>0</v>
      </c>
      <c r="AO1396" s="2">
        <f t="shared" si="219"/>
        <v>0</v>
      </c>
      <c r="AP1396" s="2">
        <f t="shared" si="220"/>
        <v>0</v>
      </c>
      <c r="AQ1396" s="2">
        <f t="shared" si="221"/>
        <v>0</v>
      </c>
      <c r="AR1396" s="2">
        <f t="shared" si="222"/>
        <v>0</v>
      </c>
      <c r="AS1396" s="2">
        <f t="shared" si="223"/>
        <v>0</v>
      </c>
      <c r="AT1396" s="25">
        <f t="shared" si="224"/>
        <v>0</v>
      </c>
    </row>
    <row r="1397" spans="1:46">
      <c r="A1397" s="24">
        <v>46127</v>
      </c>
      <c r="B1397" s="23">
        <f t="shared" si="216"/>
        <v>46113</v>
      </c>
      <c r="C1397" s="2" t="s">
        <v>114</v>
      </c>
      <c r="D1397" s="2" t="s">
        <v>348</v>
      </c>
      <c r="E1397" s="2">
        <v>3287</v>
      </c>
      <c r="F1397" s="2">
        <v>81</v>
      </c>
      <c r="G1397" s="2">
        <v>81</v>
      </c>
      <c r="H1397" s="2">
        <v>80</v>
      </c>
      <c r="I1397" s="2">
        <f t="shared" si="217"/>
        <v>1</v>
      </c>
      <c r="J1397" s="44" t="s">
        <v>1569</v>
      </c>
      <c r="K1397" s="2">
        <v>100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1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/>
      <c r="AM1397" s="2" t="s">
        <v>1569</v>
      </c>
      <c r="AN1397" s="2">
        <f t="shared" si="218"/>
        <v>0</v>
      </c>
      <c r="AO1397" s="2">
        <f t="shared" si="219"/>
        <v>0</v>
      </c>
      <c r="AP1397" s="2">
        <f t="shared" si="220"/>
        <v>0</v>
      </c>
      <c r="AQ1397" s="2">
        <f t="shared" si="221"/>
        <v>0</v>
      </c>
      <c r="AR1397" s="2">
        <f t="shared" si="222"/>
        <v>1</v>
      </c>
      <c r="AS1397" s="2">
        <f t="shared" si="223"/>
        <v>0</v>
      </c>
      <c r="AT1397" s="25">
        <f t="shared" si="224"/>
        <v>0</v>
      </c>
    </row>
    <row r="1398" spans="1:46">
      <c r="A1398" s="24">
        <v>46127</v>
      </c>
      <c r="B1398" s="23">
        <f t="shared" si="216"/>
        <v>46113</v>
      </c>
      <c r="C1398" s="2" t="s">
        <v>46</v>
      </c>
      <c r="D1398" s="2" t="s">
        <v>1307</v>
      </c>
      <c r="E1398" s="2">
        <v>6266</v>
      </c>
      <c r="F1398" s="2">
        <v>32</v>
      </c>
      <c r="G1398" s="2">
        <v>32</v>
      </c>
      <c r="H1398" s="2">
        <v>32</v>
      </c>
      <c r="I1398" s="2">
        <f t="shared" si="217"/>
        <v>0</v>
      </c>
      <c r="J1398" s="44" t="s">
        <v>93</v>
      </c>
      <c r="K1398" s="2">
        <v>100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/>
      <c r="AM1398" s="2" t="s">
        <v>93</v>
      </c>
      <c r="AN1398" s="2">
        <f t="shared" si="218"/>
        <v>0</v>
      </c>
      <c r="AO1398" s="2">
        <f t="shared" si="219"/>
        <v>0</v>
      </c>
      <c r="AP1398" s="2">
        <f t="shared" si="220"/>
        <v>0</v>
      </c>
      <c r="AQ1398" s="2">
        <f t="shared" si="221"/>
        <v>0</v>
      </c>
      <c r="AR1398" s="2">
        <f t="shared" si="222"/>
        <v>0</v>
      </c>
      <c r="AS1398" s="2">
        <f t="shared" si="223"/>
        <v>0</v>
      </c>
      <c r="AT1398" s="25">
        <f t="shared" si="224"/>
        <v>0</v>
      </c>
    </row>
    <row r="1399" spans="1:46">
      <c r="A1399" s="24">
        <v>46127</v>
      </c>
      <c r="B1399" s="23">
        <f t="shared" si="216"/>
        <v>46113</v>
      </c>
      <c r="C1399" s="2" t="s">
        <v>62</v>
      </c>
      <c r="D1399" s="2" t="s">
        <v>293</v>
      </c>
      <c r="E1399" s="2">
        <v>3247</v>
      </c>
      <c r="F1399" s="2">
        <v>67</v>
      </c>
      <c r="G1399" s="2">
        <v>67</v>
      </c>
      <c r="H1399" s="2">
        <v>66</v>
      </c>
      <c r="I1399" s="2">
        <f t="shared" si="217"/>
        <v>1</v>
      </c>
      <c r="J1399" s="44" t="s">
        <v>77</v>
      </c>
      <c r="K1399" s="2">
        <v>100</v>
      </c>
      <c r="L1399" s="2">
        <v>1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/>
      <c r="AM1399" s="2" t="s">
        <v>77</v>
      </c>
      <c r="AN1399" s="2">
        <f t="shared" si="218"/>
        <v>1</v>
      </c>
      <c r="AO1399" s="2">
        <f t="shared" si="219"/>
        <v>0</v>
      </c>
      <c r="AP1399" s="2">
        <f t="shared" si="220"/>
        <v>0</v>
      </c>
      <c r="AQ1399" s="2">
        <f t="shared" si="221"/>
        <v>0</v>
      </c>
      <c r="AR1399" s="2">
        <f t="shared" si="222"/>
        <v>0</v>
      </c>
      <c r="AS1399" s="2">
        <f t="shared" si="223"/>
        <v>0</v>
      </c>
      <c r="AT1399" s="25">
        <f t="shared" si="224"/>
        <v>0</v>
      </c>
    </row>
    <row r="1400" spans="1:46">
      <c r="A1400" s="24">
        <v>46128</v>
      </c>
      <c r="B1400" s="23">
        <f t="shared" si="216"/>
        <v>46113</v>
      </c>
      <c r="C1400" s="2" t="s">
        <v>55</v>
      </c>
      <c r="D1400" s="2" t="s">
        <v>332</v>
      </c>
      <c r="E1400" s="2">
        <v>2594</v>
      </c>
      <c r="F1400" s="2">
        <v>420</v>
      </c>
      <c r="G1400" s="2">
        <v>420</v>
      </c>
      <c r="H1400" s="2">
        <v>387</v>
      </c>
      <c r="I1400" s="2">
        <f t="shared" si="217"/>
        <v>33</v>
      </c>
      <c r="J1400" s="44" t="s">
        <v>80</v>
      </c>
      <c r="K1400" s="2">
        <v>100</v>
      </c>
      <c r="L1400" s="2">
        <v>10</v>
      </c>
      <c r="M1400" s="2">
        <v>0</v>
      </c>
      <c r="N1400" s="2">
        <v>0</v>
      </c>
      <c r="O1400" s="2">
        <v>0</v>
      </c>
      <c r="P1400" s="2">
        <v>20</v>
      </c>
      <c r="Q1400" s="2">
        <v>0</v>
      </c>
      <c r="R1400" s="2">
        <v>0</v>
      </c>
      <c r="S1400" s="2">
        <v>0</v>
      </c>
      <c r="T1400" s="2">
        <v>2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1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/>
      <c r="AM1400" s="2" t="s">
        <v>80</v>
      </c>
      <c r="AN1400" s="2">
        <f t="shared" si="218"/>
        <v>10</v>
      </c>
      <c r="AO1400" s="2">
        <f t="shared" si="219"/>
        <v>22</v>
      </c>
      <c r="AP1400" s="2">
        <f t="shared" si="220"/>
        <v>0</v>
      </c>
      <c r="AQ1400" s="2">
        <f t="shared" si="221"/>
        <v>1</v>
      </c>
      <c r="AR1400" s="2">
        <f t="shared" si="222"/>
        <v>0</v>
      </c>
      <c r="AS1400" s="2">
        <f t="shared" si="223"/>
        <v>0</v>
      </c>
      <c r="AT1400" s="25">
        <f t="shared" si="224"/>
        <v>0</v>
      </c>
    </row>
    <row r="1401" spans="1:46">
      <c r="A1401" s="24">
        <v>46128</v>
      </c>
      <c r="B1401" s="23">
        <f t="shared" si="216"/>
        <v>46113</v>
      </c>
      <c r="C1401" s="2" t="s">
        <v>72</v>
      </c>
      <c r="D1401" s="2" t="s">
        <v>362</v>
      </c>
      <c r="E1401" s="2">
        <v>9315</v>
      </c>
      <c r="F1401" s="2">
        <v>39</v>
      </c>
      <c r="G1401" s="2">
        <v>39</v>
      </c>
      <c r="H1401" s="2">
        <v>38</v>
      </c>
      <c r="I1401" s="2">
        <f t="shared" si="217"/>
        <v>1</v>
      </c>
      <c r="J1401" s="44" t="s">
        <v>103</v>
      </c>
      <c r="K1401" s="2">
        <v>100</v>
      </c>
      <c r="L1401" s="2">
        <v>1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/>
      <c r="AM1401" s="2" t="s">
        <v>103</v>
      </c>
      <c r="AN1401" s="2">
        <f t="shared" si="218"/>
        <v>1</v>
      </c>
      <c r="AO1401" s="2">
        <f t="shared" si="219"/>
        <v>0</v>
      </c>
      <c r="AP1401" s="2">
        <f t="shared" si="220"/>
        <v>0</v>
      </c>
      <c r="AQ1401" s="2">
        <f t="shared" si="221"/>
        <v>0</v>
      </c>
      <c r="AR1401" s="2">
        <f t="shared" si="222"/>
        <v>0</v>
      </c>
      <c r="AS1401" s="2">
        <f t="shared" si="223"/>
        <v>0</v>
      </c>
      <c r="AT1401" s="25">
        <f t="shared" si="224"/>
        <v>0</v>
      </c>
    </row>
    <row r="1402" spans="1:46">
      <c r="A1402" s="24">
        <v>46128</v>
      </c>
      <c r="B1402" s="23">
        <f t="shared" si="216"/>
        <v>46113</v>
      </c>
      <c r="C1402" s="2" t="s">
        <v>72</v>
      </c>
      <c r="D1402" s="2" t="s">
        <v>363</v>
      </c>
      <c r="E1402" s="2">
        <v>9315</v>
      </c>
      <c r="F1402" s="2">
        <v>147</v>
      </c>
      <c r="G1402" s="2">
        <v>147</v>
      </c>
      <c r="H1402" s="2">
        <v>139</v>
      </c>
      <c r="I1402" s="2">
        <f t="shared" si="217"/>
        <v>8</v>
      </c>
      <c r="J1402" s="44" t="s">
        <v>103</v>
      </c>
      <c r="K1402" s="2">
        <v>100</v>
      </c>
      <c r="L1402" s="2">
        <v>8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/>
      <c r="AM1402" s="2" t="s">
        <v>103</v>
      </c>
      <c r="AN1402" s="2">
        <f t="shared" si="218"/>
        <v>8</v>
      </c>
      <c r="AO1402" s="2">
        <f t="shared" si="219"/>
        <v>0</v>
      </c>
      <c r="AP1402" s="2">
        <f t="shared" si="220"/>
        <v>0</v>
      </c>
      <c r="AQ1402" s="2">
        <f t="shared" si="221"/>
        <v>0</v>
      </c>
      <c r="AR1402" s="2">
        <f t="shared" si="222"/>
        <v>0</v>
      </c>
      <c r="AS1402" s="2">
        <f t="shared" si="223"/>
        <v>0</v>
      </c>
      <c r="AT1402" s="25">
        <f t="shared" si="224"/>
        <v>0</v>
      </c>
    </row>
    <row r="1403" spans="1:46">
      <c r="A1403" s="24">
        <v>46128</v>
      </c>
      <c r="B1403" s="23">
        <f t="shared" si="216"/>
        <v>46113</v>
      </c>
      <c r="C1403" s="2" t="s">
        <v>114</v>
      </c>
      <c r="D1403" s="2" t="s">
        <v>367</v>
      </c>
      <c r="E1403" s="2">
        <v>3287</v>
      </c>
      <c r="F1403" s="2">
        <v>48</v>
      </c>
      <c r="G1403" s="2">
        <v>48</v>
      </c>
      <c r="H1403" s="2">
        <v>48</v>
      </c>
      <c r="I1403" s="2">
        <f t="shared" si="217"/>
        <v>0</v>
      </c>
      <c r="J1403" s="44" t="s">
        <v>103</v>
      </c>
      <c r="K1403" s="2">
        <v>100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/>
      <c r="AM1403" s="2" t="s">
        <v>103</v>
      </c>
      <c r="AN1403" s="2">
        <f t="shared" si="218"/>
        <v>0</v>
      </c>
      <c r="AO1403" s="2">
        <f t="shared" si="219"/>
        <v>0</v>
      </c>
      <c r="AP1403" s="2">
        <f t="shared" si="220"/>
        <v>0</v>
      </c>
      <c r="AQ1403" s="2">
        <f t="shared" si="221"/>
        <v>0</v>
      </c>
      <c r="AR1403" s="2">
        <f t="shared" si="222"/>
        <v>0</v>
      </c>
      <c r="AS1403" s="2">
        <f t="shared" si="223"/>
        <v>0</v>
      </c>
      <c r="AT1403" s="25">
        <f t="shared" si="224"/>
        <v>0</v>
      </c>
    </row>
    <row r="1404" spans="1:46">
      <c r="A1404" s="24">
        <v>46128</v>
      </c>
      <c r="B1404" s="23">
        <f t="shared" si="216"/>
        <v>46113</v>
      </c>
      <c r="C1404" s="2" t="s">
        <v>114</v>
      </c>
      <c r="D1404" s="2" t="s">
        <v>179</v>
      </c>
      <c r="E1404" s="2">
        <v>3165</v>
      </c>
      <c r="F1404" s="2">
        <v>43</v>
      </c>
      <c r="G1404" s="2">
        <v>43</v>
      </c>
      <c r="H1404" s="2">
        <v>43</v>
      </c>
      <c r="I1404" s="2">
        <f t="shared" si="217"/>
        <v>0</v>
      </c>
      <c r="J1404" s="44" t="s">
        <v>103</v>
      </c>
      <c r="K1404" s="2">
        <v>100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/>
      <c r="AM1404" s="2" t="s">
        <v>103</v>
      </c>
      <c r="AN1404" s="2">
        <f t="shared" si="218"/>
        <v>0</v>
      </c>
      <c r="AO1404" s="2">
        <f t="shared" si="219"/>
        <v>0</v>
      </c>
      <c r="AP1404" s="2">
        <f t="shared" si="220"/>
        <v>0</v>
      </c>
      <c r="AQ1404" s="2">
        <f t="shared" si="221"/>
        <v>0</v>
      </c>
      <c r="AR1404" s="2">
        <f t="shared" si="222"/>
        <v>0</v>
      </c>
      <c r="AS1404" s="2">
        <f t="shared" si="223"/>
        <v>0</v>
      </c>
      <c r="AT1404" s="25">
        <f t="shared" si="224"/>
        <v>0</v>
      </c>
    </row>
    <row r="1405" spans="1:46">
      <c r="A1405" s="24">
        <v>46128</v>
      </c>
      <c r="B1405" s="23">
        <f t="shared" si="216"/>
        <v>46113</v>
      </c>
      <c r="C1405" s="2" t="s">
        <v>72</v>
      </c>
      <c r="D1405" s="2" t="s">
        <v>363</v>
      </c>
      <c r="E1405" s="2">
        <v>9315</v>
      </c>
      <c r="F1405" s="2">
        <v>36</v>
      </c>
      <c r="G1405" s="2">
        <v>36</v>
      </c>
      <c r="H1405" s="2">
        <v>36</v>
      </c>
      <c r="I1405" s="2">
        <f t="shared" si="217"/>
        <v>0</v>
      </c>
      <c r="J1405" s="44" t="s">
        <v>103</v>
      </c>
      <c r="K1405" s="2">
        <v>100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/>
      <c r="AM1405" s="2" t="s">
        <v>103</v>
      </c>
      <c r="AN1405" s="2">
        <f t="shared" si="218"/>
        <v>0</v>
      </c>
      <c r="AO1405" s="2">
        <f t="shared" si="219"/>
        <v>0</v>
      </c>
      <c r="AP1405" s="2">
        <f t="shared" si="220"/>
        <v>0</v>
      </c>
      <c r="AQ1405" s="2">
        <f t="shared" si="221"/>
        <v>0</v>
      </c>
      <c r="AR1405" s="2">
        <f t="shared" si="222"/>
        <v>0</v>
      </c>
      <c r="AS1405" s="2">
        <f t="shared" si="223"/>
        <v>0</v>
      </c>
      <c r="AT1405" s="25">
        <f t="shared" si="224"/>
        <v>0</v>
      </c>
    </row>
    <row r="1406" spans="1:46">
      <c r="A1406" s="24">
        <v>46128</v>
      </c>
      <c r="B1406" s="23">
        <f t="shared" si="216"/>
        <v>46113</v>
      </c>
      <c r="C1406" s="2" t="s">
        <v>72</v>
      </c>
      <c r="D1406" s="2" t="s">
        <v>358</v>
      </c>
      <c r="E1406" s="2">
        <v>3273</v>
      </c>
      <c r="F1406" s="2">
        <v>32</v>
      </c>
      <c r="G1406" s="2">
        <v>32</v>
      </c>
      <c r="H1406" s="2">
        <v>30</v>
      </c>
      <c r="I1406" s="2">
        <f t="shared" si="217"/>
        <v>2</v>
      </c>
      <c r="J1406" s="44" t="s">
        <v>103</v>
      </c>
      <c r="K1406" s="2">
        <v>100</v>
      </c>
      <c r="L1406" s="2">
        <v>1</v>
      </c>
      <c r="M1406" s="2">
        <v>1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/>
      <c r="AM1406" s="2" t="s">
        <v>103</v>
      </c>
      <c r="AN1406" s="2">
        <f t="shared" si="218"/>
        <v>1</v>
      </c>
      <c r="AO1406" s="2">
        <f t="shared" si="219"/>
        <v>1</v>
      </c>
      <c r="AP1406" s="2">
        <f t="shared" si="220"/>
        <v>0</v>
      </c>
      <c r="AQ1406" s="2">
        <f t="shared" si="221"/>
        <v>0</v>
      </c>
      <c r="AR1406" s="2">
        <f t="shared" si="222"/>
        <v>0</v>
      </c>
      <c r="AS1406" s="2">
        <f t="shared" si="223"/>
        <v>0</v>
      </c>
      <c r="AT1406" s="25">
        <f t="shared" si="224"/>
        <v>0</v>
      </c>
    </row>
    <row r="1407" spans="1:46">
      <c r="A1407" s="24">
        <v>46128</v>
      </c>
      <c r="B1407" s="23">
        <f t="shared" si="216"/>
        <v>46113</v>
      </c>
      <c r="C1407" s="2" t="s">
        <v>72</v>
      </c>
      <c r="D1407" s="2" t="s">
        <v>85</v>
      </c>
      <c r="E1407" s="2">
        <v>1580</v>
      </c>
      <c r="F1407" s="2">
        <v>45</v>
      </c>
      <c r="G1407" s="2">
        <v>45</v>
      </c>
      <c r="H1407" s="2">
        <v>42</v>
      </c>
      <c r="I1407" s="2">
        <f t="shared" si="217"/>
        <v>3</v>
      </c>
      <c r="J1407" s="44" t="s">
        <v>103</v>
      </c>
      <c r="K1407" s="2">
        <v>100</v>
      </c>
      <c r="L1407" s="2">
        <v>3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/>
      <c r="AM1407" s="2" t="s">
        <v>103</v>
      </c>
      <c r="AN1407" s="2">
        <f t="shared" si="218"/>
        <v>3</v>
      </c>
      <c r="AO1407" s="2">
        <f t="shared" si="219"/>
        <v>0</v>
      </c>
      <c r="AP1407" s="2">
        <f t="shared" si="220"/>
        <v>0</v>
      </c>
      <c r="AQ1407" s="2">
        <f t="shared" si="221"/>
        <v>0</v>
      </c>
      <c r="AR1407" s="2">
        <f t="shared" si="222"/>
        <v>0</v>
      </c>
      <c r="AS1407" s="2">
        <f t="shared" si="223"/>
        <v>0</v>
      </c>
      <c r="AT1407" s="25">
        <f t="shared" si="224"/>
        <v>0</v>
      </c>
    </row>
    <row r="1408" spans="1:46">
      <c r="A1408" s="24">
        <v>46128</v>
      </c>
      <c r="B1408" s="23">
        <f t="shared" si="216"/>
        <v>46113</v>
      </c>
      <c r="C1408" s="2" t="s">
        <v>72</v>
      </c>
      <c r="D1408" s="2" t="s">
        <v>365</v>
      </c>
      <c r="E1408" s="2">
        <v>3287</v>
      </c>
      <c r="F1408" s="2">
        <v>90</v>
      </c>
      <c r="G1408" s="2">
        <v>90</v>
      </c>
      <c r="H1408" s="2">
        <v>86</v>
      </c>
      <c r="I1408" s="2">
        <f t="shared" si="217"/>
        <v>4</v>
      </c>
      <c r="J1408" s="44" t="s">
        <v>103</v>
      </c>
      <c r="K1408" s="2">
        <v>100</v>
      </c>
      <c r="L1408" s="2">
        <v>4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/>
      <c r="AM1408" s="2" t="s">
        <v>103</v>
      </c>
      <c r="AN1408" s="2">
        <f t="shared" si="218"/>
        <v>4</v>
      </c>
      <c r="AO1408" s="2">
        <f t="shared" si="219"/>
        <v>0</v>
      </c>
      <c r="AP1408" s="2">
        <f t="shared" si="220"/>
        <v>0</v>
      </c>
      <c r="AQ1408" s="2">
        <f t="shared" si="221"/>
        <v>0</v>
      </c>
      <c r="AR1408" s="2">
        <f t="shared" si="222"/>
        <v>0</v>
      </c>
      <c r="AS1408" s="2">
        <f t="shared" si="223"/>
        <v>0</v>
      </c>
      <c r="AT1408" s="25">
        <f t="shared" si="224"/>
        <v>0</v>
      </c>
    </row>
    <row r="1409" spans="1:46">
      <c r="A1409" s="24">
        <v>46128</v>
      </c>
      <c r="B1409" s="23">
        <f t="shared" si="216"/>
        <v>46113</v>
      </c>
      <c r="C1409" s="2" t="s">
        <v>82</v>
      </c>
      <c r="D1409" s="2" t="s">
        <v>1391</v>
      </c>
      <c r="E1409" s="2">
        <v>1802</v>
      </c>
      <c r="F1409" s="2">
        <v>42</v>
      </c>
      <c r="G1409" s="2">
        <v>42</v>
      </c>
      <c r="H1409" s="2">
        <v>42</v>
      </c>
      <c r="I1409" s="2">
        <f t="shared" si="217"/>
        <v>0</v>
      </c>
      <c r="J1409" s="44" t="s">
        <v>93</v>
      </c>
      <c r="K1409" s="2">
        <v>100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/>
      <c r="AM1409" s="2" t="s">
        <v>93</v>
      </c>
      <c r="AN1409" s="2">
        <f t="shared" si="218"/>
        <v>0</v>
      </c>
      <c r="AO1409" s="2">
        <f t="shared" si="219"/>
        <v>0</v>
      </c>
      <c r="AP1409" s="2">
        <f t="shared" si="220"/>
        <v>0</v>
      </c>
      <c r="AQ1409" s="2">
        <f t="shared" si="221"/>
        <v>0</v>
      </c>
      <c r="AR1409" s="2">
        <f t="shared" si="222"/>
        <v>0</v>
      </c>
      <c r="AS1409" s="2">
        <f t="shared" si="223"/>
        <v>0</v>
      </c>
      <c r="AT1409" s="25">
        <f t="shared" si="224"/>
        <v>0</v>
      </c>
    </row>
    <row r="1410" spans="1:46">
      <c r="A1410" s="24">
        <v>46128</v>
      </c>
      <c r="B1410" s="23">
        <f t="shared" si="216"/>
        <v>46113</v>
      </c>
      <c r="C1410" s="2" t="s">
        <v>46</v>
      </c>
      <c r="D1410" s="2" t="s">
        <v>1393</v>
      </c>
      <c r="E1410" s="2">
        <v>6285</v>
      </c>
      <c r="F1410" s="2">
        <v>50</v>
      </c>
      <c r="G1410" s="2">
        <v>50</v>
      </c>
      <c r="H1410" s="2">
        <v>48</v>
      </c>
      <c r="I1410" s="2">
        <f t="shared" si="217"/>
        <v>2</v>
      </c>
      <c r="J1410" s="44" t="s">
        <v>93</v>
      </c>
      <c r="K1410" s="2">
        <v>100</v>
      </c>
      <c r="L1410" s="2">
        <v>2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/>
      <c r="AM1410" s="2" t="s">
        <v>93</v>
      </c>
      <c r="AN1410" s="2">
        <f t="shared" si="218"/>
        <v>2</v>
      </c>
      <c r="AO1410" s="2">
        <f t="shared" si="219"/>
        <v>0</v>
      </c>
      <c r="AP1410" s="2">
        <f t="shared" si="220"/>
        <v>0</v>
      </c>
      <c r="AQ1410" s="2">
        <f t="shared" si="221"/>
        <v>0</v>
      </c>
      <c r="AR1410" s="2">
        <f t="shared" si="222"/>
        <v>0</v>
      </c>
      <c r="AS1410" s="2">
        <f t="shared" si="223"/>
        <v>0</v>
      </c>
      <c r="AT1410" s="25">
        <f t="shared" si="224"/>
        <v>0</v>
      </c>
    </row>
    <row r="1411" spans="1:46">
      <c r="A1411" s="24">
        <v>46128</v>
      </c>
      <c r="B1411" s="23">
        <f t="shared" si="216"/>
        <v>46113</v>
      </c>
      <c r="C1411" s="2" t="s">
        <v>66</v>
      </c>
      <c r="D1411" s="2" t="s">
        <v>347</v>
      </c>
      <c r="E1411" s="2">
        <v>3240</v>
      </c>
      <c r="F1411" s="2">
        <v>231</v>
      </c>
      <c r="G1411" s="2">
        <v>231</v>
      </c>
      <c r="H1411" s="2">
        <v>203</v>
      </c>
      <c r="I1411" s="2">
        <f t="shared" si="217"/>
        <v>28</v>
      </c>
      <c r="J1411" s="44" t="s">
        <v>110</v>
      </c>
      <c r="K1411" s="2">
        <v>100</v>
      </c>
      <c r="L1411" s="2">
        <v>1</v>
      </c>
      <c r="M1411" s="2">
        <v>0</v>
      </c>
      <c r="N1411" s="2">
        <v>27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/>
      <c r="AM1411" s="2" t="s">
        <v>110</v>
      </c>
      <c r="AN1411" s="2">
        <f t="shared" si="218"/>
        <v>1</v>
      </c>
      <c r="AO1411" s="2">
        <f t="shared" si="219"/>
        <v>27</v>
      </c>
      <c r="AP1411" s="2">
        <f t="shared" si="220"/>
        <v>0</v>
      </c>
      <c r="AQ1411" s="2">
        <f t="shared" si="221"/>
        <v>0</v>
      </c>
      <c r="AR1411" s="2">
        <f t="shared" si="222"/>
        <v>0</v>
      </c>
      <c r="AS1411" s="2">
        <f t="shared" si="223"/>
        <v>0</v>
      </c>
      <c r="AT1411" s="25">
        <f t="shared" si="224"/>
        <v>0</v>
      </c>
    </row>
    <row r="1412" spans="1:46">
      <c r="A1412" s="24">
        <v>46128</v>
      </c>
      <c r="B1412" s="23">
        <f t="shared" si="216"/>
        <v>46113</v>
      </c>
      <c r="C1412" s="2" t="s">
        <v>97</v>
      </c>
      <c r="D1412" s="2" t="s">
        <v>353</v>
      </c>
      <c r="E1412" s="2">
        <v>9151</v>
      </c>
      <c r="F1412" s="2">
        <v>252</v>
      </c>
      <c r="G1412" s="2">
        <v>252</v>
      </c>
      <c r="H1412" s="2">
        <v>252</v>
      </c>
      <c r="I1412" s="2">
        <f t="shared" si="217"/>
        <v>0</v>
      </c>
      <c r="J1412" s="44" t="s">
        <v>110</v>
      </c>
      <c r="K1412" s="2">
        <v>100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/>
      <c r="AM1412" s="2" t="s">
        <v>110</v>
      </c>
      <c r="AN1412" s="2">
        <f t="shared" si="218"/>
        <v>0</v>
      </c>
      <c r="AO1412" s="2">
        <f t="shared" si="219"/>
        <v>0</v>
      </c>
      <c r="AP1412" s="2">
        <f t="shared" si="220"/>
        <v>0</v>
      </c>
      <c r="AQ1412" s="2">
        <f t="shared" si="221"/>
        <v>0</v>
      </c>
      <c r="AR1412" s="2">
        <f t="shared" si="222"/>
        <v>0</v>
      </c>
      <c r="AS1412" s="2">
        <f t="shared" si="223"/>
        <v>0</v>
      </c>
      <c r="AT1412" s="25">
        <f t="shared" si="224"/>
        <v>0</v>
      </c>
    </row>
    <row r="1413" spans="1:46">
      <c r="A1413" s="24">
        <v>46128</v>
      </c>
      <c r="B1413" s="23">
        <f t="shared" si="216"/>
        <v>46113</v>
      </c>
      <c r="C1413" s="2" t="s">
        <v>97</v>
      </c>
      <c r="D1413" s="2" t="s">
        <v>353</v>
      </c>
      <c r="E1413" s="2">
        <v>9151</v>
      </c>
      <c r="F1413" s="2">
        <v>30</v>
      </c>
      <c r="G1413" s="2">
        <v>30</v>
      </c>
      <c r="H1413" s="2">
        <v>29</v>
      </c>
      <c r="I1413" s="2">
        <f t="shared" si="217"/>
        <v>1</v>
      </c>
      <c r="J1413" s="44" t="s">
        <v>110</v>
      </c>
      <c r="K1413" s="2">
        <v>100</v>
      </c>
      <c r="L1413" s="2">
        <v>1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/>
      <c r="AM1413" s="2" t="s">
        <v>110</v>
      </c>
      <c r="AN1413" s="2">
        <f t="shared" si="218"/>
        <v>1</v>
      </c>
      <c r="AO1413" s="2">
        <f t="shared" si="219"/>
        <v>0</v>
      </c>
      <c r="AP1413" s="2">
        <f t="shared" si="220"/>
        <v>0</v>
      </c>
      <c r="AQ1413" s="2">
        <f t="shared" si="221"/>
        <v>0</v>
      </c>
      <c r="AR1413" s="2">
        <f t="shared" si="222"/>
        <v>0</v>
      </c>
      <c r="AS1413" s="2">
        <f t="shared" si="223"/>
        <v>0</v>
      </c>
      <c r="AT1413" s="25">
        <f t="shared" si="224"/>
        <v>0</v>
      </c>
    </row>
    <row r="1414" spans="1:46">
      <c r="A1414" s="24">
        <v>46128</v>
      </c>
      <c r="B1414" s="23">
        <f t="shared" si="216"/>
        <v>46113</v>
      </c>
      <c r="C1414" s="2" t="s">
        <v>97</v>
      </c>
      <c r="D1414" s="2" t="s">
        <v>395</v>
      </c>
      <c r="E1414" s="2">
        <v>9151</v>
      </c>
      <c r="F1414" s="2">
        <v>195</v>
      </c>
      <c r="G1414" s="2">
        <v>195</v>
      </c>
      <c r="H1414" s="2">
        <v>189</v>
      </c>
      <c r="I1414" s="2">
        <f t="shared" si="217"/>
        <v>6</v>
      </c>
      <c r="J1414" s="44" t="s">
        <v>110</v>
      </c>
      <c r="K1414" s="2">
        <v>100</v>
      </c>
      <c r="L1414" s="2">
        <v>5</v>
      </c>
      <c r="M1414" s="2">
        <v>0</v>
      </c>
      <c r="N1414" s="2">
        <v>1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/>
      <c r="AM1414" s="2" t="s">
        <v>110</v>
      </c>
      <c r="AN1414" s="2">
        <f t="shared" si="218"/>
        <v>5</v>
      </c>
      <c r="AO1414" s="2">
        <f t="shared" si="219"/>
        <v>1</v>
      </c>
      <c r="AP1414" s="2">
        <f t="shared" si="220"/>
        <v>0</v>
      </c>
      <c r="AQ1414" s="2">
        <f t="shared" si="221"/>
        <v>0</v>
      </c>
      <c r="AR1414" s="2">
        <f t="shared" si="222"/>
        <v>0</v>
      </c>
      <c r="AS1414" s="2">
        <f t="shared" si="223"/>
        <v>0</v>
      </c>
      <c r="AT1414" s="25">
        <f t="shared" si="224"/>
        <v>0</v>
      </c>
    </row>
    <row r="1415" spans="1:46">
      <c r="A1415" s="24">
        <v>46128</v>
      </c>
      <c r="B1415" s="23">
        <f t="shared" si="216"/>
        <v>46113</v>
      </c>
      <c r="C1415" s="2" t="s">
        <v>55</v>
      </c>
      <c r="D1415" s="2" t="s">
        <v>314</v>
      </c>
      <c r="E1415" s="2">
        <v>87001</v>
      </c>
      <c r="F1415" s="2">
        <v>40</v>
      </c>
      <c r="G1415" s="2">
        <v>40</v>
      </c>
      <c r="H1415" s="2">
        <v>39</v>
      </c>
      <c r="I1415" s="2">
        <f t="shared" si="217"/>
        <v>1</v>
      </c>
      <c r="J1415" s="44" t="s">
        <v>1566</v>
      </c>
      <c r="K1415" s="2">
        <v>100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1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/>
      <c r="AM1415" s="2" t="s">
        <v>1566</v>
      </c>
      <c r="AN1415" s="2">
        <f t="shared" si="218"/>
        <v>0</v>
      </c>
      <c r="AO1415" s="2">
        <f t="shared" si="219"/>
        <v>1</v>
      </c>
      <c r="AP1415" s="2">
        <f t="shared" si="220"/>
        <v>0</v>
      </c>
      <c r="AQ1415" s="2">
        <f t="shared" si="221"/>
        <v>0</v>
      </c>
      <c r="AR1415" s="2">
        <f t="shared" si="222"/>
        <v>0</v>
      </c>
      <c r="AS1415" s="2">
        <f t="shared" si="223"/>
        <v>0</v>
      </c>
      <c r="AT1415" s="25">
        <f t="shared" si="224"/>
        <v>0</v>
      </c>
    </row>
    <row r="1416" spans="1:46">
      <c r="A1416" s="24">
        <v>46128</v>
      </c>
      <c r="B1416" s="23">
        <f t="shared" si="216"/>
        <v>46113</v>
      </c>
      <c r="C1416" s="2" t="s">
        <v>55</v>
      </c>
      <c r="D1416" s="2" t="s">
        <v>60</v>
      </c>
      <c r="E1416" s="2">
        <v>2593</v>
      </c>
      <c r="F1416" s="2">
        <v>50</v>
      </c>
      <c r="G1416" s="2">
        <v>50</v>
      </c>
      <c r="H1416" s="2">
        <v>50</v>
      </c>
      <c r="I1416" s="2">
        <f t="shared" si="217"/>
        <v>0</v>
      </c>
      <c r="J1416" s="44" t="s">
        <v>1566</v>
      </c>
      <c r="K1416" s="2">
        <v>100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/>
      <c r="AM1416" s="2" t="s">
        <v>1566</v>
      </c>
      <c r="AN1416" s="2">
        <f t="shared" si="218"/>
        <v>0</v>
      </c>
      <c r="AO1416" s="2">
        <f t="shared" si="219"/>
        <v>0</v>
      </c>
      <c r="AP1416" s="2">
        <f t="shared" si="220"/>
        <v>0</v>
      </c>
      <c r="AQ1416" s="2">
        <f t="shared" si="221"/>
        <v>0</v>
      </c>
      <c r="AR1416" s="2">
        <f t="shared" si="222"/>
        <v>0</v>
      </c>
      <c r="AS1416" s="2">
        <f t="shared" si="223"/>
        <v>0</v>
      </c>
      <c r="AT1416" s="25">
        <f t="shared" si="224"/>
        <v>0</v>
      </c>
    </row>
    <row r="1417" spans="1:46">
      <c r="A1417" s="24">
        <v>46128</v>
      </c>
      <c r="B1417" s="23">
        <f t="shared" si="216"/>
        <v>46113</v>
      </c>
      <c r="C1417" s="2" t="s">
        <v>55</v>
      </c>
      <c r="D1417" s="2" t="s">
        <v>332</v>
      </c>
      <c r="E1417" s="2">
        <v>2594</v>
      </c>
      <c r="F1417" s="2">
        <v>442</v>
      </c>
      <c r="G1417" s="2">
        <v>442</v>
      </c>
      <c r="H1417" s="2">
        <v>427</v>
      </c>
      <c r="I1417" s="2">
        <f t="shared" si="217"/>
        <v>15</v>
      </c>
      <c r="J1417" s="44" t="s">
        <v>1566</v>
      </c>
      <c r="K1417" s="2">
        <v>100</v>
      </c>
      <c r="L1417" s="2">
        <v>14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1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/>
      <c r="AM1417" s="2" t="s">
        <v>1566</v>
      </c>
      <c r="AN1417" s="2">
        <f t="shared" si="218"/>
        <v>14</v>
      </c>
      <c r="AO1417" s="2">
        <f t="shared" si="219"/>
        <v>1</v>
      </c>
      <c r="AP1417" s="2">
        <f t="shared" si="220"/>
        <v>0</v>
      </c>
      <c r="AQ1417" s="2">
        <f t="shared" si="221"/>
        <v>0</v>
      </c>
      <c r="AR1417" s="2">
        <f t="shared" si="222"/>
        <v>0</v>
      </c>
      <c r="AS1417" s="2">
        <f t="shared" si="223"/>
        <v>0</v>
      </c>
      <c r="AT1417" s="25">
        <f t="shared" si="224"/>
        <v>0</v>
      </c>
    </row>
    <row r="1418" spans="1:46">
      <c r="A1418" s="24">
        <v>46128</v>
      </c>
      <c r="B1418" s="23">
        <f t="shared" si="216"/>
        <v>46113</v>
      </c>
      <c r="C1418" s="2" t="s">
        <v>95</v>
      </c>
      <c r="D1418" s="2" t="s">
        <v>227</v>
      </c>
      <c r="E1418" s="2">
        <v>2679</v>
      </c>
      <c r="F1418" s="2">
        <v>29</v>
      </c>
      <c r="G1418" s="2">
        <v>29</v>
      </c>
      <c r="H1418" s="2">
        <v>27</v>
      </c>
      <c r="I1418" s="2">
        <f t="shared" si="217"/>
        <v>2</v>
      </c>
      <c r="J1418" s="44" t="s">
        <v>1566</v>
      </c>
      <c r="K1418" s="2">
        <v>100</v>
      </c>
      <c r="L1418" s="2">
        <v>2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/>
      <c r="AM1418" s="2" t="s">
        <v>1566</v>
      </c>
      <c r="AN1418" s="2">
        <f t="shared" si="218"/>
        <v>2</v>
      </c>
      <c r="AO1418" s="2">
        <f t="shared" si="219"/>
        <v>0</v>
      </c>
      <c r="AP1418" s="2">
        <f t="shared" si="220"/>
        <v>0</v>
      </c>
      <c r="AQ1418" s="2">
        <f t="shared" si="221"/>
        <v>0</v>
      </c>
      <c r="AR1418" s="2">
        <f t="shared" si="222"/>
        <v>0</v>
      </c>
      <c r="AS1418" s="2">
        <f t="shared" si="223"/>
        <v>0</v>
      </c>
      <c r="AT1418" s="25">
        <f t="shared" si="224"/>
        <v>0</v>
      </c>
    </row>
    <row r="1419" spans="1:46">
      <c r="A1419" s="24">
        <v>46128</v>
      </c>
      <c r="B1419" s="23">
        <f t="shared" si="216"/>
        <v>46113</v>
      </c>
      <c r="C1419" s="2" t="s">
        <v>55</v>
      </c>
      <c r="D1419" s="2" t="s">
        <v>143</v>
      </c>
      <c r="E1419" s="2">
        <v>3255</v>
      </c>
      <c r="F1419" s="2">
        <v>50</v>
      </c>
      <c r="G1419" s="2">
        <v>50</v>
      </c>
      <c r="H1419" s="2">
        <v>50</v>
      </c>
      <c r="I1419" s="2">
        <f t="shared" si="217"/>
        <v>0</v>
      </c>
      <c r="J1419" s="44" t="s">
        <v>1566</v>
      </c>
      <c r="K1419" s="2">
        <v>100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/>
      <c r="AM1419" s="2" t="s">
        <v>1566</v>
      </c>
      <c r="AN1419" s="2">
        <f t="shared" si="218"/>
        <v>0</v>
      </c>
      <c r="AO1419" s="2">
        <f t="shared" si="219"/>
        <v>0</v>
      </c>
      <c r="AP1419" s="2">
        <f t="shared" si="220"/>
        <v>0</v>
      </c>
      <c r="AQ1419" s="2">
        <f t="shared" si="221"/>
        <v>0</v>
      </c>
      <c r="AR1419" s="2">
        <f t="shared" si="222"/>
        <v>0</v>
      </c>
      <c r="AS1419" s="2">
        <f t="shared" si="223"/>
        <v>0</v>
      </c>
      <c r="AT1419" s="25">
        <f t="shared" si="224"/>
        <v>0</v>
      </c>
    </row>
    <row r="1420" spans="1:46">
      <c r="A1420" s="24">
        <v>46128</v>
      </c>
      <c r="B1420" s="23">
        <f t="shared" si="216"/>
        <v>46113</v>
      </c>
      <c r="C1420" s="2" t="s">
        <v>133</v>
      </c>
      <c r="D1420" s="2" t="s">
        <v>197</v>
      </c>
      <c r="E1420" s="2">
        <v>6078</v>
      </c>
      <c r="F1420" s="2">
        <v>106</v>
      </c>
      <c r="G1420" s="2">
        <v>106</v>
      </c>
      <c r="H1420" s="2">
        <v>100</v>
      </c>
      <c r="I1420" s="2">
        <f t="shared" si="217"/>
        <v>6</v>
      </c>
      <c r="J1420" s="44" t="s">
        <v>1566</v>
      </c>
      <c r="K1420" s="2">
        <v>100</v>
      </c>
      <c r="L1420" s="2">
        <v>4</v>
      </c>
      <c r="M1420" s="2">
        <v>0</v>
      </c>
      <c r="N1420" s="2">
        <v>0</v>
      </c>
      <c r="O1420" s="2">
        <v>0</v>
      </c>
      <c r="P1420" s="2">
        <v>2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/>
      <c r="AM1420" s="2" t="s">
        <v>1566</v>
      </c>
      <c r="AN1420" s="2">
        <f t="shared" si="218"/>
        <v>4</v>
      </c>
      <c r="AO1420" s="2">
        <f t="shared" si="219"/>
        <v>2</v>
      </c>
      <c r="AP1420" s="2">
        <f t="shared" si="220"/>
        <v>0</v>
      </c>
      <c r="AQ1420" s="2">
        <f t="shared" si="221"/>
        <v>0</v>
      </c>
      <c r="AR1420" s="2">
        <f t="shared" si="222"/>
        <v>0</v>
      </c>
      <c r="AS1420" s="2">
        <f t="shared" si="223"/>
        <v>0</v>
      </c>
      <c r="AT1420" s="25">
        <f t="shared" si="224"/>
        <v>0</v>
      </c>
    </row>
    <row r="1421" spans="1:46">
      <c r="A1421" s="24">
        <v>46128</v>
      </c>
      <c r="B1421" s="23">
        <f t="shared" si="216"/>
        <v>46113</v>
      </c>
      <c r="C1421" s="2" t="s">
        <v>46</v>
      </c>
      <c r="D1421" s="2" t="s">
        <v>127</v>
      </c>
      <c r="E1421" s="2">
        <v>6296</v>
      </c>
      <c r="F1421" s="2">
        <v>39</v>
      </c>
      <c r="G1421" s="2">
        <v>39</v>
      </c>
      <c r="H1421" s="2">
        <v>37</v>
      </c>
      <c r="I1421" s="2">
        <f t="shared" si="217"/>
        <v>2</v>
      </c>
      <c r="J1421" s="44" t="s">
        <v>1566</v>
      </c>
      <c r="K1421" s="2">
        <v>100</v>
      </c>
      <c r="L1421" s="2">
        <v>2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/>
      <c r="AM1421" s="2" t="s">
        <v>1566</v>
      </c>
      <c r="AN1421" s="2">
        <f t="shared" si="218"/>
        <v>2</v>
      </c>
      <c r="AO1421" s="2">
        <f t="shared" si="219"/>
        <v>0</v>
      </c>
      <c r="AP1421" s="2">
        <f t="shared" si="220"/>
        <v>0</v>
      </c>
      <c r="AQ1421" s="2">
        <f t="shared" si="221"/>
        <v>0</v>
      </c>
      <c r="AR1421" s="2">
        <f t="shared" si="222"/>
        <v>0</v>
      </c>
      <c r="AS1421" s="2">
        <f t="shared" si="223"/>
        <v>0</v>
      </c>
      <c r="AT1421" s="25">
        <f t="shared" si="224"/>
        <v>0</v>
      </c>
    </row>
    <row r="1422" spans="1:46">
      <c r="A1422" s="24">
        <v>46128</v>
      </c>
      <c r="B1422" s="23">
        <f t="shared" si="216"/>
        <v>46113</v>
      </c>
      <c r="C1422" s="2" t="s">
        <v>46</v>
      </c>
      <c r="D1422" s="2" t="s">
        <v>242</v>
      </c>
      <c r="E1422" s="2">
        <v>6296</v>
      </c>
      <c r="F1422" s="2">
        <v>47</v>
      </c>
      <c r="G1422" s="2">
        <v>47</v>
      </c>
      <c r="H1422" s="2">
        <v>44</v>
      </c>
      <c r="I1422" s="2">
        <f t="shared" si="217"/>
        <v>3</v>
      </c>
      <c r="J1422" s="44" t="s">
        <v>1566</v>
      </c>
      <c r="K1422" s="2">
        <v>100</v>
      </c>
      <c r="L1422" s="2">
        <v>3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/>
      <c r="AM1422" s="2" t="s">
        <v>1566</v>
      </c>
      <c r="AN1422" s="2">
        <f t="shared" si="218"/>
        <v>3</v>
      </c>
      <c r="AO1422" s="2">
        <f t="shared" si="219"/>
        <v>0</v>
      </c>
      <c r="AP1422" s="2">
        <f t="shared" si="220"/>
        <v>0</v>
      </c>
      <c r="AQ1422" s="2">
        <f t="shared" si="221"/>
        <v>0</v>
      </c>
      <c r="AR1422" s="2">
        <f t="shared" si="222"/>
        <v>0</v>
      </c>
      <c r="AS1422" s="2">
        <f t="shared" si="223"/>
        <v>0</v>
      </c>
      <c r="AT1422" s="25">
        <f t="shared" si="224"/>
        <v>0</v>
      </c>
    </row>
    <row r="1423" spans="1:46">
      <c r="A1423" s="24">
        <v>46128</v>
      </c>
      <c r="B1423" s="23">
        <f t="shared" ref="B1423:B1486" si="225">EOMONTH(A1423,-1)+1</f>
        <v>46113</v>
      </c>
      <c r="C1423" s="2" t="s">
        <v>1484</v>
      </c>
      <c r="D1423" s="2" t="s">
        <v>347</v>
      </c>
      <c r="E1423" s="2">
        <v>3240</v>
      </c>
      <c r="F1423" s="2">
        <v>144</v>
      </c>
      <c r="G1423" s="2">
        <v>144</v>
      </c>
      <c r="H1423" s="2">
        <v>137</v>
      </c>
      <c r="I1423" s="2">
        <f t="shared" ref="I1423:I1486" si="226">F1423-H1423</f>
        <v>7</v>
      </c>
      <c r="J1423" s="44" t="s">
        <v>1566</v>
      </c>
      <c r="K1423" s="2">
        <v>100</v>
      </c>
      <c r="L1423" s="2">
        <v>2</v>
      </c>
      <c r="M1423" s="2">
        <v>5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/>
      <c r="AM1423" s="2" t="s">
        <v>1566</v>
      </c>
      <c r="AN1423" s="2">
        <f t="shared" ref="AN1423:AN1486" si="227">+L1423+AI1423</f>
        <v>2</v>
      </c>
      <c r="AO1423" s="2">
        <f t="shared" ref="AO1423:AO1486" si="228">+M1423+N1423+O1423+P1423+Q1423+R1423+S1423+T1423+U1423+V1423</f>
        <v>5</v>
      </c>
      <c r="AP1423" s="2">
        <f t="shared" ref="AP1423:AP1486" si="229">+AE1423+AF1423</f>
        <v>0</v>
      </c>
      <c r="AQ1423" s="2">
        <f t="shared" ref="AQ1423:AQ1486" si="230">+AK1423+AD1423+AC1423+AJ1423</f>
        <v>0</v>
      </c>
      <c r="AR1423" s="2">
        <f t="shared" ref="AR1423:AR1486" si="231">+W1423+X1423+Y1423+Z1423+AA1423+AB1423</f>
        <v>0</v>
      </c>
      <c r="AS1423" s="2">
        <f t="shared" ref="AS1423:AS1486" si="232">+AG1423</f>
        <v>0</v>
      </c>
      <c r="AT1423" s="25">
        <f t="shared" ref="AT1423:AT1486" si="233">+AH1423</f>
        <v>0</v>
      </c>
    </row>
    <row r="1424" spans="1:46">
      <c r="A1424" s="24">
        <v>46128</v>
      </c>
      <c r="B1424" s="23">
        <f t="shared" si="225"/>
        <v>46113</v>
      </c>
      <c r="C1424" s="2" t="s">
        <v>55</v>
      </c>
      <c r="D1424" s="2" t="s">
        <v>60</v>
      </c>
      <c r="E1424" s="2">
        <v>2593</v>
      </c>
      <c r="F1424" s="2">
        <v>43</v>
      </c>
      <c r="G1424" s="2">
        <v>43</v>
      </c>
      <c r="H1424" s="2">
        <v>43</v>
      </c>
      <c r="I1424" s="2">
        <f t="shared" si="226"/>
        <v>0</v>
      </c>
      <c r="J1424" s="44" t="s">
        <v>1566</v>
      </c>
      <c r="K1424" s="2">
        <v>100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/>
      <c r="AM1424" s="2" t="s">
        <v>1566</v>
      </c>
      <c r="AN1424" s="2">
        <f t="shared" si="227"/>
        <v>0</v>
      </c>
      <c r="AO1424" s="2">
        <f t="shared" si="228"/>
        <v>0</v>
      </c>
      <c r="AP1424" s="2">
        <f t="shared" si="229"/>
        <v>0</v>
      </c>
      <c r="AQ1424" s="2">
        <f t="shared" si="230"/>
        <v>0</v>
      </c>
      <c r="AR1424" s="2">
        <f t="shared" si="231"/>
        <v>0</v>
      </c>
      <c r="AS1424" s="2">
        <f t="shared" si="232"/>
        <v>0</v>
      </c>
      <c r="AT1424" s="25">
        <f t="shared" si="233"/>
        <v>0</v>
      </c>
    </row>
    <row r="1425" spans="1:46">
      <c r="A1425" s="24">
        <v>46128</v>
      </c>
      <c r="B1425" s="23">
        <f t="shared" si="225"/>
        <v>46113</v>
      </c>
      <c r="C1425" s="2" t="s">
        <v>62</v>
      </c>
      <c r="D1425" s="2" t="s">
        <v>190</v>
      </c>
      <c r="E1425" s="2">
        <v>3215</v>
      </c>
      <c r="F1425" s="2">
        <v>38</v>
      </c>
      <c r="G1425" s="2">
        <v>38</v>
      </c>
      <c r="H1425" s="2">
        <v>38</v>
      </c>
      <c r="I1425" s="2">
        <f t="shared" si="226"/>
        <v>0</v>
      </c>
      <c r="J1425" s="44" t="s">
        <v>1568</v>
      </c>
      <c r="K1425" s="2">
        <v>100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/>
      <c r="AM1425" s="2" t="s">
        <v>1568</v>
      </c>
      <c r="AN1425" s="2">
        <f t="shared" si="227"/>
        <v>0</v>
      </c>
      <c r="AO1425" s="2">
        <f t="shared" si="228"/>
        <v>0</v>
      </c>
      <c r="AP1425" s="2">
        <f t="shared" si="229"/>
        <v>0</v>
      </c>
      <c r="AQ1425" s="2">
        <f t="shared" si="230"/>
        <v>0</v>
      </c>
      <c r="AR1425" s="2">
        <f t="shared" si="231"/>
        <v>0</v>
      </c>
      <c r="AS1425" s="2">
        <f t="shared" si="232"/>
        <v>0</v>
      </c>
      <c r="AT1425" s="25">
        <f t="shared" si="233"/>
        <v>0</v>
      </c>
    </row>
    <row r="1426" spans="1:46">
      <c r="A1426" s="24">
        <v>46128</v>
      </c>
      <c r="B1426" s="23">
        <f t="shared" si="225"/>
        <v>46113</v>
      </c>
      <c r="C1426" s="2" t="s">
        <v>63</v>
      </c>
      <c r="D1426" s="2" t="s">
        <v>289</v>
      </c>
      <c r="E1426" s="2">
        <v>6147</v>
      </c>
      <c r="F1426" s="2">
        <v>47</v>
      </c>
      <c r="G1426" s="2">
        <v>47</v>
      </c>
      <c r="H1426" s="2">
        <v>47</v>
      </c>
      <c r="I1426" s="2">
        <f t="shared" si="226"/>
        <v>0</v>
      </c>
      <c r="J1426" s="44" t="s">
        <v>1568</v>
      </c>
      <c r="K1426" s="2">
        <v>100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/>
      <c r="AM1426" s="2" t="s">
        <v>1568</v>
      </c>
      <c r="AN1426" s="2">
        <f t="shared" si="227"/>
        <v>0</v>
      </c>
      <c r="AO1426" s="2">
        <f t="shared" si="228"/>
        <v>0</v>
      </c>
      <c r="AP1426" s="2">
        <f t="shared" si="229"/>
        <v>0</v>
      </c>
      <c r="AQ1426" s="2">
        <f t="shared" si="230"/>
        <v>0</v>
      </c>
      <c r="AR1426" s="2">
        <f t="shared" si="231"/>
        <v>0</v>
      </c>
      <c r="AS1426" s="2">
        <f t="shared" si="232"/>
        <v>0</v>
      </c>
      <c r="AT1426" s="25">
        <f t="shared" si="233"/>
        <v>0</v>
      </c>
    </row>
    <row r="1427" spans="1:46">
      <c r="A1427" s="24">
        <v>46128</v>
      </c>
      <c r="B1427" s="23">
        <f t="shared" si="225"/>
        <v>46113</v>
      </c>
      <c r="C1427" s="2" t="s">
        <v>62</v>
      </c>
      <c r="D1427" s="2" t="s">
        <v>334</v>
      </c>
      <c r="E1427" s="2">
        <v>3246</v>
      </c>
      <c r="F1427" s="2">
        <v>314</v>
      </c>
      <c r="G1427" s="2">
        <v>314</v>
      </c>
      <c r="H1427" s="2">
        <v>309</v>
      </c>
      <c r="I1427" s="2">
        <f t="shared" si="226"/>
        <v>5</v>
      </c>
      <c r="J1427" s="44" t="s">
        <v>1568</v>
      </c>
      <c r="K1427" s="2">
        <v>100</v>
      </c>
      <c r="L1427" s="2">
        <v>5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/>
      <c r="AM1427" s="2" t="s">
        <v>1568</v>
      </c>
      <c r="AN1427" s="2">
        <f t="shared" si="227"/>
        <v>5</v>
      </c>
      <c r="AO1427" s="2">
        <f t="shared" si="228"/>
        <v>0</v>
      </c>
      <c r="AP1427" s="2">
        <f t="shared" si="229"/>
        <v>0</v>
      </c>
      <c r="AQ1427" s="2">
        <f t="shared" si="230"/>
        <v>0</v>
      </c>
      <c r="AR1427" s="2">
        <f t="shared" si="231"/>
        <v>0</v>
      </c>
      <c r="AS1427" s="2">
        <f t="shared" si="232"/>
        <v>0</v>
      </c>
      <c r="AT1427" s="25">
        <f t="shared" si="233"/>
        <v>0</v>
      </c>
    </row>
    <row r="1428" spans="1:46">
      <c r="A1428" s="24">
        <v>46129</v>
      </c>
      <c r="B1428" s="23">
        <f t="shared" si="225"/>
        <v>46113</v>
      </c>
      <c r="C1428" s="2" t="s">
        <v>97</v>
      </c>
      <c r="D1428" s="2" t="s">
        <v>98</v>
      </c>
      <c r="E1428" s="2">
        <v>6172</v>
      </c>
      <c r="F1428" s="2">
        <v>299</v>
      </c>
      <c r="G1428" s="2">
        <v>299</v>
      </c>
      <c r="H1428" s="2">
        <v>259</v>
      </c>
      <c r="I1428" s="2">
        <f t="shared" si="226"/>
        <v>40</v>
      </c>
      <c r="J1428" s="44" t="s">
        <v>80</v>
      </c>
      <c r="K1428" s="2">
        <v>100</v>
      </c>
      <c r="L1428" s="2">
        <v>9</v>
      </c>
      <c r="M1428" s="2">
        <v>0</v>
      </c>
      <c r="N1428" s="2">
        <v>0</v>
      </c>
      <c r="O1428" s="2">
        <v>0</v>
      </c>
      <c r="P1428" s="2">
        <v>30</v>
      </c>
      <c r="Q1428" s="2">
        <v>0</v>
      </c>
      <c r="R1428" s="2">
        <v>0</v>
      </c>
      <c r="S1428" s="2">
        <v>0</v>
      </c>
      <c r="T1428" s="2">
        <v>0</v>
      </c>
      <c r="U1428" s="2">
        <v>1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/>
      <c r="AM1428" s="2" t="s">
        <v>80</v>
      </c>
      <c r="AN1428" s="2">
        <f t="shared" si="227"/>
        <v>9</v>
      </c>
      <c r="AO1428" s="2">
        <f t="shared" si="228"/>
        <v>31</v>
      </c>
      <c r="AP1428" s="2">
        <f t="shared" si="229"/>
        <v>0</v>
      </c>
      <c r="AQ1428" s="2">
        <f t="shared" si="230"/>
        <v>0</v>
      </c>
      <c r="AR1428" s="2">
        <f t="shared" si="231"/>
        <v>0</v>
      </c>
      <c r="AS1428" s="2">
        <f t="shared" si="232"/>
        <v>0</v>
      </c>
      <c r="AT1428" s="25">
        <f t="shared" si="233"/>
        <v>0</v>
      </c>
    </row>
    <row r="1429" spans="1:46">
      <c r="A1429" s="24">
        <v>46129</v>
      </c>
      <c r="B1429" s="23">
        <f t="shared" si="225"/>
        <v>46113</v>
      </c>
      <c r="C1429" s="2" t="s">
        <v>82</v>
      </c>
      <c r="D1429" s="2" t="s">
        <v>403</v>
      </c>
      <c r="E1429" s="2">
        <v>7133</v>
      </c>
      <c r="F1429" s="2">
        <v>38</v>
      </c>
      <c r="G1429" s="2">
        <v>38</v>
      </c>
      <c r="H1429" s="2">
        <v>33</v>
      </c>
      <c r="I1429" s="2">
        <f t="shared" si="226"/>
        <v>5</v>
      </c>
      <c r="J1429" s="44" t="s">
        <v>93</v>
      </c>
      <c r="K1429" s="2">
        <v>100</v>
      </c>
      <c r="L1429" s="2">
        <v>5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/>
      <c r="AM1429" s="2" t="s">
        <v>93</v>
      </c>
      <c r="AN1429" s="2">
        <f t="shared" si="227"/>
        <v>5</v>
      </c>
      <c r="AO1429" s="2">
        <f t="shared" si="228"/>
        <v>0</v>
      </c>
      <c r="AP1429" s="2">
        <f t="shared" si="229"/>
        <v>0</v>
      </c>
      <c r="AQ1429" s="2">
        <f t="shared" si="230"/>
        <v>0</v>
      </c>
      <c r="AR1429" s="2">
        <f t="shared" si="231"/>
        <v>0</v>
      </c>
      <c r="AS1429" s="2">
        <f t="shared" si="232"/>
        <v>0</v>
      </c>
      <c r="AT1429" s="25">
        <f t="shared" si="233"/>
        <v>0</v>
      </c>
    </row>
    <row r="1430" spans="1:46">
      <c r="A1430" s="24">
        <v>46129</v>
      </c>
      <c r="B1430" s="23">
        <f t="shared" si="225"/>
        <v>46113</v>
      </c>
      <c r="C1430" s="2" t="s">
        <v>160</v>
      </c>
      <c r="D1430" s="2" t="s">
        <v>388</v>
      </c>
      <c r="E1430" s="2">
        <v>3089</v>
      </c>
      <c r="F1430" s="2">
        <v>43</v>
      </c>
      <c r="G1430" s="2">
        <v>43</v>
      </c>
      <c r="H1430" s="2">
        <v>43</v>
      </c>
      <c r="I1430" s="2">
        <f t="shared" si="226"/>
        <v>0</v>
      </c>
      <c r="J1430" s="44" t="s">
        <v>93</v>
      </c>
      <c r="K1430" s="2">
        <v>100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/>
      <c r="AM1430" s="2" t="s">
        <v>93</v>
      </c>
      <c r="AN1430" s="2">
        <f t="shared" si="227"/>
        <v>0</v>
      </c>
      <c r="AO1430" s="2">
        <f t="shared" si="228"/>
        <v>0</v>
      </c>
      <c r="AP1430" s="2">
        <f t="shared" si="229"/>
        <v>0</v>
      </c>
      <c r="AQ1430" s="2">
        <f t="shared" si="230"/>
        <v>0</v>
      </c>
      <c r="AR1430" s="2">
        <f t="shared" si="231"/>
        <v>0</v>
      </c>
      <c r="AS1430" s="2">
        <f t="shared" si="232"/>
        <v>0</v>
      </c>
      <c r="AT1430" s="25">
        <f t="shared" si="233"/>
        <v>0</v>
      </c>
    </row>
    <row r="1431" spans="1:46">
      <c r="A1431" s="24">
        <v>46129</v>
      </c>
      <c r="B1431" s="23">
        <f t="shared" si="225"/>
        <v>46113</v>
      </c>
      <c r="C1431" s="2" t="s">
        <v>160</v>
      </c>
      <c r="D1431" s="2" t="s">
        <v>239</v>
      </c>
      <c r="E1431" s="2">
        <v>3089</v>
      </c>
      <c r="F1431" s="2">
        <v>59</v>
      </c>
      <c r="G1431" s="2">
        <v>59</v>
      </c>
      <c r="H1431" s="2">
        <v>57</v>
      </c>
      <c r="I1431" s="2">
        <f t="shared" si="226"/>
        <v>2</v>
      </c>
      <c r="J1431" s="44" t="s">
        <v>93</v>
      </c>
      <c r="K1431" s="2">
        <v>100</v>
      </c>
      <c r="L1431" s="2">
        <v>0</v>
      </c>
      <c r="M1431" s="2">
        <v>0</v>
      </c>
      <c r="N1431" s="2">
        <v>2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/>
      <c r="AM1431" s="2" t="s">
        <v>93</v>
      </c>
      <c r="AN1431" s="2">
        <f t="shared" si="227"/>
        <v>0</v>
      </c>
      <c r="AO1431" s="2">
        <f t="shared" si="228"/>
        <v>2</v>
      </c>
      <c r="AP1431" s="2">
        <f t="shared" si="229"/>
        <v>0</v>
      </c>
      <c r="AQ1431" s="2">
        <f t="shared" si="230"/>
        <v>0</v>
      </c>
      <c r="AR1431" s="2">
        <f t="shared" si="231"/>
        <v>0</v>
      </c>
      <c r="AS1431" s="2">
        <f t="shared" si="232"/>
        <v>0</v>
      </c>
      <c r="AT1431" s="25">
        <f t="shared" si="233"/>
        <v>0</v>
      </c>
    </row>
    <row r="1432" spans="1:46">
      <c r="A1432" s="24">
        <v>46129</v>
      </c>
      <c r="B1432" s="23">
        <f t="shared" si="225"/>
        <v>46113</v>
      </c>
      <c r="C1432" s="2" t="s">
        <v>160</v>
      </c>
      <c r="D1432" s="2" t="s">
        <v>369</v>
      </c>
      <c r="E1432" s="2">
        <v>6216</v>
      </c>
      <c r="F1432" s="2">
        <v>198</v>
      </c>
      <c r="G1432" s="2">
        <v>198</v>
      </c>
      <c r="H1432" s="2">
        <v>197</v>
      </c>
      <c r="I1432" s="2">
        <f t="shared" si="226"/>
        <v>1</v>
      </c>
      <c r="J1432" s="44" t="s">
        <v>93</v>
      </c>
      <c r="K1432" s="2">
        <v>100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1</v>
      </c>
      <c r="AL1432" s="2"/>
      <c r="AM1432" s="2" t="s">
        <v>93</v>
      </c>
      <c r="AN1432" s="2">
        <f t="shared" si="227"/>
        <v>0</v>
      </c>
      <c r="AO1432" s="2">
        <f t="shared" si="228"/>
        <v>0</v>
      </c>
      <c r="AP1432" s="2">
        <f t="shared" si="229"/>
        <v>0</v>
      </c>
      <c r="AQ1432" s="2">
        <f t="shared" si="230"/>
        <v>1</v>
      </c>
      <c r="AR1432" s="2">
        <f t="shared" si="231"/>
        <v>0</v>
      </c>
      <c r="AS1432" s="2">
        <f t="shared" si="232"/>
        <v>0</v>
      </c>
      <c r="AT1432" s="25">
        <f t="shared" si="233"/>
        <v>0</v>
      </c>
    </row>
    <row r="1433" spans="1:46">
      <c r="A1433" s="24">
        <v>46129</v>
      </c>
      <c r="B1433" s="23">
        <f t="shared" si="225"/>
        <v>46113</v>
      </c>
      <c r="C1433" s="2" t="s">
        <v>63</v>
      </c>
      <c r="D1433" s="2" t="s">
        <v>275</v>
      </c>
      <c r="E1433" s="2">
        <v>8141</v>
      </c>
      <c r="F1433" s="2">
        <v>48</v>
      </c>
      <c r="G1433" s="2">
        <v>48</v>
      </c>
      <c r="H1433" s="2">
        <v>47</v>
      </c>
      <c r="I1433" s="2">
        <f t="shared" si="226"/>
        <v>1</v>
      </c>
      <c r="J1433" s="44" t="s">
        <v>1568</v>
      </c>
      <c r="K1433" s="2">
        <v>100</v>
      </c>
      <c r="L1433" s="2">
        <v>1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/>
      <c r="AM1433" s="2" t="s">
        <v>1568</v>
      </c>
      <c r="AN1433" s="2">
        <f t="shared" si="227"/>
        <v>1</v>
      </c>
      <c r="AO1433" s="2">
        <f t="shared" si="228"/>
        <v>0</v>
      </c>
      <c r="AP1433" s="2">
        <f t="shared" si="229"/>
        <v>0</v>
      </c>
      <c r="AQ1433" s="2">
        <f t="shared" si="230"/>
        <v>0</v>
      </c>
      <c r="AR1433" s="2">
        <f t="shared" si="231"/>
        <v>0</v>
      </c>
      <c r="AS1433" s="2">
        <f t="shared" si="232"/>
        <v>0</v>
      </c>
      <c r="AT1433" s="25">
        <f t="shared" si="233"/>
        <v>0</v>
      </c>
    </row>
    <row r="1434" spans="1:46">
      <c r="A1434" s="24">
        <v>46129</v>
      </c>
      <c r="B1434" s="23">
        <f t="shared" si="225"/>
        <v>46113</v>
      </c>
      <c r="C1434" s="2" t="s">
        <v>62</v>
      </c>
      <c r="D1434" s="2" t="s">
        <v>332</v>
      </c>
      <c r="E1434" s="2">
        <v>2594</v>
      </c>
      <c r="F1434" s="2">
        <v>228</v>
      </c>
      <c r="G1434" s="2">
        <v>228</v>
      </c>
      <c r="H1434" s="2">
        <v>225</v>
      </c>
      <c r="I1434" s="2">
        <f t="shared" si="226"/>
        <v>3</v>
      </c>
      <c r="J1434" s="44" t="s">
        <v>1568</v>
      </c>
      <c r="K1434" s="2">
        <v>100</v>
      </c>
      <c r="L1434" s="2">
        <v>1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1</v>
      </c>
      <c r="S1434" s="2">
        <v>0</v>
      </c>
      <c r="T1434" s="2">
        <v>0</v>
      </c>
      <c r="U1434" s="2">
        <v>1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/>
      <c r="AM1434" s="2" t="s">
        <v>1568</v>
      </c>
      <c r="AN1434" s="2">
        <f t="shared" si="227"/>
        <v>1</v>
      </c>
      <c r="AO1434" s="2">
        <f t="shared" si="228"/>
        <v>2</v>
      </c>
      <c r="AP1434" s="2">
        <f t="shared" si="229"/>
        <v>0</v>
      </c>
      <c r="AQ1434" s="2">
        <f t="shared" si="230"/>
        <v>0</v>
      </c>
      <c r="AR1434" s="2">
        <f t="shared" si="231"/>
        <v>0</v>
      </c>
      <c r="AS1434" s="2">
        <f t="shared" si="232"/>
        <v>0</v>
      </c>
      <c r="AT1434" s="25">
        <f t="shared" si="233"/>
        <v>0</v>
      </c>
    </row>
    <row r="1435" spans="1:46">
      <c r="A1435" s="24">
        <v>46129</v>
      </c>
      <c r="B1435" s="23">
        <f t="shared" si="225"/>
        <v>46113</v>
      </c>
      <c r="C1435" s="2" t="s">
        <v>114</v>
      </c>
      <c r="D1435" s="2" t="s">
        <v>367</v>
      </c>
      <c r="E1435" s="2">
        <v>3287</v>
      </c>
      <c r="F1435" s="2">
        <v>145</v>
      </c>
      <c r="G1435" s="2">
        <v>145</v>
      </c>
      <c r="H1435" s="2">
        <v>145</v>
      </c>
      <c r="I1435" s="2">
        <f t="shared" si="226"/>
        <v>0</v>
      </c>
      <c r="J1435" s="44" t="s">
        <v>103</v>
      </c>
      <c r="K1435" s="2">
        <v>100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/>
      <c r="AM1435" s="2" t="s">
        <v>103</v>
      </c>
      <c r="AN1435" s="2">
        <f t="shared" si="227"/>
        <v>0</v>
      </c>
      <c r="AO1435" s="2">
        <f t="shared" si="228"/>
        <v>0</v>
      </c>
      <c r="AP1435" s="2">
        <f t="shared" si="229"/>
        <v>0</v>
      </c>
      <c r="AQ1435" s="2">
        <f t="shared" si="230"/>
        <v>0</v>
      </c>
      <c r="AR1435" s="2">
        <f t="shared" si="231"/>
        <v>0</v>
      </c>
      <c r="AS1435" s="2">
        <f t="shared" si="232"/>
        <v>0</v>
      </c>
      <c r="AT1435" s="25">
        <f t="shared" si="233"/>
        <v>0</v>
      </c>
    </row>
    <row r="1436" spans="1:46">
      <c r="A1436" s="24">
        <v>46129</v>
      </c>
      <c r="B1436" s="23">
        <f t="shared" si="225"/>
        <v>46113</v>
      </c>
      <c r="C1436" s="2" t="s">
        <v>114</v>
      </c>
      <c r="D1436" s="2" t="s">
        <v>354</v>
      </c>
      <c r="E1436" s="2">
        <v>3287</v>
      </c>
      <c r="F1436" s="2">
        <v>224</v>
      </c>
      <c r="G1436" s="2">
        <v>224</v>
      </c>
      <c r="H1436" s="2">
        <v>223</v>
      </c>
      <c r="I1436" s="2">
        <f t="shared" si="226"/>
        <v>1</v>
      </c>
      <c r="J1436" s="44" t="s">
        <v>103</v>
      </c>
      <c r="K1436" s="2">
        <v>100</v>
      </c>
      <c r="L1436" s="2">
        <v>1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/>
      <c r="AM1436" s="2" t="s">
        <v>103</v>
      </c>
      <c r="AN1436" s="2">
        <f t="shared" si="227"/>
        <v>1</v>
      </c>
      <c r="AO1436" s="2">
        <f t="shared" si="228"/>
        <v>0</v>
      </c>
      <c r="AP1436" s="2">
        <f t="shared" si="229"/>
        <v>0</v>
      </c>
      <c r="AQ1436" s="2">
        <f t="shared" si="230"/>
        <v>0</v>
      </c>
      <c r="AR1436" s="2">
        <f t="shared" si="231"/>
        <v>0</v>
      </c>
      <c r="AS1436" s="2">
        <f t="shared" si="232"/>
        <v>0</v>
      </c>
      <c r="AT1436" s="25">
        <f t="shared" si="233"/>
        <v>0</v>
      </c>
    </row>
    <row r="1437" spans="1:46">
      <c r="A1437" s="24">
        <v>46129</v>
      </c>
      <c r="B1437" s="23">
        <f t="shared" si="225"/>
        <v>46113</v>
      </c>
      <c r="C1437" s="2" t="s">
        <v>72</v>
      </c>
      <c r="D1437" s="2" t="s">
        <v>211</v>
      </c>
      <c r="E1437" s="2">
        <v>6265</v>
      </c>
      <c r="F1437" s="2">
        <v>20</v>
      </c>
      <c r="G1437" s="2">
        <v>20</v>
      </c>
      <c r="H1437" s="2">
        <v>20</v>
      </c>
      <c r="I1437" s="2">
        <f t="shared" si="226"/>
        <v>0</v>
      </c>
      <c r="J1437" s="44" t="s">
        <v>103</v>
      </c>
      <c r="K1437" s="2">
        <v>100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/>
      <c r="AM1437" s="2" t="s">
        <v>103</v>
      </c>
      <c r="AN1437" s="2">
        <f t="shared" si="227"/>
        <v>0</v>
      </c>
      <c r="AO1437" s="2">
        <f t="shared" si="228"/>
        <v>0</v>
      </c>
      <c r="AP1437" s="2">
        <f t="shared" si="229"/>
        <v>0</v>
      </c>
      <c r="AQ1437" s="2">
        <f t="shared" si="230"/>
        <v>0</v>
      </c>
      <c r="AR1437" s="2">
        <f t="shared" si="231"/>
        <v>0</v>
      </c>
      <c r="AS1437" s="2">
        <f t="shared" si="232"/>
        <v>0</v>
      </c>
      <c r="AT1437" s="25">
        <f t="shared" si="233"/>
        <v>0</v>
      </c>
    </row>
    <row r="1438" spans="1:46">
      <c r="A1438" s="24">
        <v>46129</v>
      </c>
      <c r="B1438" s="23">
        <f t="shared" si="225"/>
        <v>46113</v>
      </c>
      <c r="C1438" s="2" t="s">
        <v>72</v>
      </c>
      <c r="D1438" s="2" t="s">
        <v>363</v>
      </c>
      <c r="E1438" s="2">
        <v>9315</v>
      </c>
      <c r="F1438" s="2">
        <v>518</v>
      </c>
      <c r="G1438" s="2">
        <v>518</v>
      </c>
      <c r="H1438" s="2">
        <v>513</v>
      </c>
      <c r="I1438" s="2">
        <f t="shared" si="226"/>
        <v>5</v>
      </c>
      <c r="J1438" s="44" t="s">
        <v>103</v>
      </c>
      <c r="K1438" s="2">
        <v>100</v>
      </c>
      <c r="L1438" s="2">
        <v>5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/>
      <c r="AM1438" s="2" t="s">
        <v>103</v>
      </c>
      <c r="AN1438" s="2">
        <f t="shared" si="227"/>
        <v>5</v>
      </c>
      <c r="AO1438" s="2">
        <f t="shared" si="228"/>
        <v>0</v>
      </c>
      <c r="AP1438" s="2">
        <f t="shared" si="229"/>
        <v>0</v>
      </c>
      <c r="AQ1438" s="2">
        <f t="shared" si="230"/>
        <v>0</v>
      </c>
      <c r="AR1438" s="2">
        <f t="shared" si="231"/>
        <v>0</v>
      </c>
      <c r="AS1438" s="2">
        <f t="shared" si="232"/>
        <v>0</v>
      </c>
      <c r="AT1438" s="25">
        <f t="shared" si="233"/>
        <v>0</v>
      </c>
    </row>
    <row r="1439" spans="1:46">
      <c r="A1439" s="24">
        <v>46129</v>
      </c>
      <c r="B1439" s="23">
        <f t="shared" si="225"/>
        <v>46113</v>
      </c>
      <c r="C1439" s="2" t="s">
        <v>72</v>
      </c>
      <c r="D1439" s="2" t="s">
        <v>237</v>
      </c>
      <c r="E1439" s="2">
        <v>3308</v>
      </c>
      <c r="F1439" s="2">
        <v>32</v>
      </c>
      <c r="G1439" s="2">
        <v>32</v>
      </c>
      <c r="H1439" s="2">
        <v>32</v>
      </c>
      <c r="I1439" s="2">
        <f t="shared" si="226"/>
        <v>0</v>
      </c>
      <c r="J1439" s="44" t="s">
        <v>103</v>
      </c>
      <c r="K1439" s="2">
        <v>100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/>
      <c r="AM1439" s="2" t="s">
        <v>103</v>
      </c>
      <c r="AN1439" s="2">
        <f t="shared" si="227"/>
        <v>0</v>
      </c>
      <c r="AO1439" s="2">
        <f t="shared" si="228"/>
        <v>0</v>
      </c>
      <c r="AP1439" s="2">
        <f t="shared" si="229"/>
        <v>0</v>
      </c>
      <c r="AQ1439" s="2">
        <f t="shared" si="230"/>
        <v>0</v>
      </c>
      <c r="AR1439" s="2">
        <f t="shared" si="231"/>
        <v>0</v>
      </c>
      <c r="AS1439" s="2">
        <f t="shared" si="232"/>
        <v>0</v>
      </c>
      <c r="AT1439" s="25">
        <f t="shared" si="233"/>
        <v>0</v>
      </c>
    </row>
    <row r="1440" spans="1:46">
      <c r="A1440" s="24">
        <v>46129</v>
      </c>
      <c r="B1440" s="23">
        <f t="shared" si="225"/>
        <v>46113</v>
      </c>
      <c r="C1440" s="2" t="s">
        <v>72</v>
      </c>
      <c r="D1440" s="2" t="s">
        <v>280</v>
      </c>
      <c r="E1440" s="2">
        <v>3308</v>
      </c>
      <c r="F1440" s="2">
        <v>20</v>
      </c>
      <c r="G1440" s="2">
        <v>20</v>
      </c>
      <c r="H1440" s="2">
        <v>20</v>
      </c>
      <c r="I1440" s="2">
        <f t="shared" si="226"/>
        <v>0</v>
      </c>
      <c r="J1440" s="44" t="s">
        <v>103</v>
      </c>
      <c r="K1440" s="2">
        <v>100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/>
      <c r="AM1440" s="2" t="s">
        <v>103</v>
      </c>
      <c r="AN1440" s="2">
        <f t="shared" si="227"/>
        <v>0</v>
      </c>
      <c r="AO1440" s="2">
        <f t="shared" si="228"/>
        <v>0</v>
      </c>
      <c r="AP1440" s="2">
        <f t="shared" si="229"/>
        <v>0</v>
      </c>
      <c r="AQ1440" s="2">
        <f t="shared" si="230"/>
        <v>0</v>
      </c>
      <c r="AR1440" s="2">
        <f t="shared" si="231"/>
        <v>0</v>
      </c>
      <c r="AS1440" s="2">
        <f t="shared" si="232"/>
        <v>0</v>
      </c>
      <c r="AT1440" s="25">
        <f t="shared" si="233"/>
        <v>0</v>
      </c>
    </row>
    <row r="1441" spans="1:46">
      <c r="A1441" s="24">
        <v>46129</v>
      </c>
      <c r="B1441" s="23">
        <f t="shared" si="225"/>
        <v>46113</v>
      </c>
      <c r="C1441" s="2" t="s">
        <v>72</v>
      </c>
      <c r="D1441" s="2" t="s">
        <v>345</v>
      </c>
      <c r="E1441" s="2">
        <v>2724</v>
      </c>
      <c r="F1441" s="2">
        <v>360</v>
      </c>
      <c r="G1441" s="2">
        <v>360</v>
      </c>
      <c r="H1441" s="2">
        <v>358</v>
      </c>
      <c r="I1441" s="2">
        <f t="shared" si="226"/>
        <v>2</v>
      </c>
      <c r="J1441" s="44" t="s">
        <v>103</v>
      </c>
      <c r="K1441" s="2">
        <v>100</v>
      </c>
      <c r="L1441" s="2">
        <v>2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/>
      <c r="AM1441" s="2" t="s">
        <v>103</v>
      </c>
      <c r="AN1441" s="2">
        <f t="shared" si="227"/>
        <v>2</v>
      </c>
      <c r="AO1441" s="2">
        <f t="shared" si="228"/>
        <v>0</v>
      </c>
      <c r="AP1441" s="2">
        <f t="shared" si="229"/>
        <v>0</v>
      </c>
      <c r="AQ1441" s="2">
        <f t="shared" si="230"/>
        <v>0</v>
      </c>
      <c r="AR1441" s="2">
        <f t="shared" si="231"/>
        <v>0</v>
      </c>
      <c r="AS1441" s="2">
        <f t="shared" si="232"/>
        <v>0</v>
      </c>
      <c r="AT1441" s="25">
        <f t="shared" si="233"/>
        <v>0</v>
      </c>
    </row>
    <row r="1442" spans="1:46">
      <c r="A1442" s="24">
        <v>46129</v>
      </c>
      <c r="B1442" s="23">
        <f t="shared" si="225"/>
        <v>46113</v>
      </c>
      <c r="C1442" s="2" t="s">
        <v>114</v>
      </c>
      <c r="D1442" s="2" t="s">
        <v>292</v>
      </c>
      <c r="E1442" s="2">
        <v>6315</v>
      </c>
      <c r="F1442" s="2">
        <v>41</v>
      </c>
      <c r="G1442" s="2">
        <v>41</v>
      </c>
      <c r="H1442" s="2">
        <v>38</v>
      </c>
      <c r="I1442" s="2">
        <f t="shared" si="226"/>
        <v>3</v>
      </c>
      <c r="J1442" s="44" t="s">
        <v>103</v>
      </c>
      <c r="K1442" s="2">
        <v>100</v>
      </c>
      <c r="L1442" s="2">
        <v>3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/>
      <c r="AM1442" s="2" t="s">
        <v>103</v>
      </c>
      <c r="AN1442" s="2">
        <f t="shared" si="227"/>
        <v>3</v>
      </c>
      <c r="AO1442" s="2">
        <f t="shared" si="228"/>
        <v>0</v>
      </c>
      <c r="AP1442" s="2">
        <f t="shared" si="229"/>
        <v>0</v>
      </c>
      <c r="AQ1442" s="2">
        <f t="shared" si="230"/>
        <v>0</v>
      </c>
      <c r="AR1442" s="2">
        <f t="shared" si="231"/>
        <v>0</v>
      </c>
      <c r="AS1442" s="2">
        <f t="shared" si="232"/>
        <v>0</v>
      </c>
      <c r="AT1442" s="25">
        <f t="shared" si="233"/>
        <v>0</v>
      </c>
    </row>
    <row r="1443" spans="1:46">
      <c r="A1443" s="24">
        <v>46129</v>
      </c>
      <c r="B1443" s="23">
        <f t="shared" si="225"/>
        <v>46113</v>
      </c>
      <c r="C1443" s="2" t="s">
        <v>114</v>
      </c>
      <c r="D1443" s="2" t="s">
        <v>220</v>
      </c>
      <c r="E1443" s="2">
        <v>6109</v>
      </c>
      <c r="F1443" s="2">
        <v>26</v>
      </c>
      <c r="G1443" s="2">
        <v>26</v>
      </c>
      <c r="H1443" s="2">
        <v>24</v>
      </c>
      <c r="I1443" s="2">
        <f t="shared" si="226"/>
        <v>2</v>
      </c>
      <c r="J1443" s="44" t="s">
        <v>103</v>
      </c>
      <c r="K1443" s="2">
        <v>100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2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/>
      <c r="AM1443" s="2" t="s">
        <v>103</v>
      </c>
      <c r="AN1443" s="2">
        <f t="shared" si="227"/>
        <v>0</v>
      </c>
      <c r="AO1443" s="2">
        <f t="shared" si="228"/>
        <v>2</v>
      </c>
      <c r="AP1443" s="2">
        <f t="shared" si="229"/>
        <v>0</v>
      </c>
      <c r="AQ1443" s="2">
        <f t="shared" si="230"/>
        <v>0</v>
      </c>
      <c r="AR1443" s="2">
        <f t="shared" si="231"/>
        <v>0</v>
      </c>
      <c r="AS1443" s="2">
        <f t="shared" si="232"/>
        <v>0</v>
      </c>
      <c r="AT1443" s="25">
        <f t="shared" si="233"/>
        <v>0</v>
      </c>
    </row>
    <row r="1444" spans="1:46">
      <c r="A1444" s="24">
        <v>46129</v>
      </c>
      <c r="B1444" s="23">
        <f t="shared" si="225"/>
        <v>46113</v>
      </c>
      <c r="C1444" s="2" t="s">
        <v>66</v>
      </c>
      <c r="D1444" s="2" t="s">
        <v>347</v>
      </c>
      <c r="E1444" s="2">
        <v>3240</v>
      </c>
      <c r="F1444" s="2">
        <v>45</v>
      </c>
      <c r="G1444" s="2">
        <v>45</v>
      </c>
      <c r="H1444" s="2">
        <v>42</v>
      </c>
      <c r="I1444" s="2">
        <f t="shared" si="226"/>
        <v>3</v>
      </c>
      <c r="J1444" s="44" t="s">
        <v>110</v>
      </c>
      <c r="K1444" s="2">
        <v>100</v>
      </c>
      <c r="L1444" s="2">
        <v>0</v>
      </c>
      <c r="M1444" s="2">
        <v>3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/>
      <c r="AM1444" s="2" t="s">
        <v>110</v>
      </c>
      <c r="AN1444" s="2">
        <f t="shared" si="227"/>
        <v>0</v>
      </c>
      <c r="AO1444" s="2">
        <f t="shared" si="228"/>
        <v>3</v>
      </c>
      <c r="AP1444" s="2">
        <f t="shared" si="229"/>
        <v>0</v>
      </c>
      <c r="AQ1444" s="2">
        <f t="shared" si="230"/>
        <v>0</v>
      </c>
      <c r="AR1444" s="2">
        <f t="shared" si="231"/>
        <v>0</v>
      </c>
      <c r="AS1444" s="2">
        <f t="shared" si="232"/>
        <v>0</v>
      </c>
      <c r="AT1444" s="25">
        <f t="shared" si="233"/>
        <v>0</v>
      </c>
    </row>
    <row r="1445" spans="1:46">
      <c r="A1445" s="24">
        <v>46129</v>
      </c>
      <c r="B1445" s="23">
        <f t="shared" si="225"/>
        <v>46113</v>
      </c>
      <c r="C1445" s="2" t="s">
        <v>66</v>
      </c>
      <c r="D1445" s="2" t="s">
        <v>417</v>
      </c>
      <c r="E1445" s="2">
        <v>6216</v>
      </c>
      <c r="F1445" s="2">
        <v>43</v>
      </c>
      <c r="G1445" s="2">
        <v>43</v>
      </c>
      <c r="H1445" s="2">
        <v>43</v>
      </c>
      <c r="I1445" s="2">
        <f t="shared" si="226"/>
        <v>0</v>
      </c>
      <c r="J1445" s="44" t="s">
        <v>110</v>
      </c>
      <c r="K1445" s="2">
        <v>100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/>
      <c r="AM1445" s="2" t="s">
        <v>110</v>
      </c>
      <c r="AN1445" s="2">
        <f t="shared" si="227"/>
        <v>0</v>
      </c>
      <c r="AO1445" s="2">
        <f t="shared" si="228"/>
        <v>0</v>
      </c>
      <c r="AP1445" s="2">
        <f t="shared" si="229"/>
        <v>0</v>
      </c>
      <c r="AQ1445" s="2">
        <f t="shared" si="230"/>
        <v>0</v>
      </c>
      <c r="AR1445" s="2">
        <f t="shared" si="231"/>
        <v>0</v>
      </c>
      <c r="AS1445" s="2">
        <f t="shared" si="232"/>
        <v>0</v>
      </c>
      <c r="AT1445" s="25">
        <f t="shared" si="233"/>
        <v>0</v>
      </c>
    </row>
    <row r="1446" spans="1:46">
      <c r="A1446" s="24">
        <v>46129</v>
      </c>
      <c r="B1446" s="23">
        <f t="shared" si="225"/>
        <v>46113</v>
      </c>
      <c r="C1446" s="2" t="s">
        <v>97</v>
      </c>
      <c r="D1446" s="2" t="s">
        <v>395</v>
      </c>
      <c r="E1446" s="2">
        <v>9151</v>
      </c>
      <c r="F1446" s="2">
        <v>366</v>
      </c>
      <c r="G1446" s="2">
        <v>366</v>
      </c>
      <c r="H1446" s="2">
        <v>357</v>
      </c>
      <c r="I1446" s="2">
        <f t="shared" si="226"/>
        <v>9</v>
      </c>
      <c r="J1446" s="44" t="s">
        <v>110</v>
      </c>
      <c r="K1446" s="2">
        <v>100</v>
      </c>
      <c r="L1446" s="2">
        <v>9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/>
      <c r="AM1446" s="2" t="s">
        <v>110</v>
      </c>
      <c r="AN1446" s="2">
        <f t="shared" si="227"/>
        <v>9</v>
      </c>
      <c r="AO1446" s="2">
        <f t="shared" si="228"/>
        <v>0</v>
      </c>
      <c r="AP1446" s="2">
        <f t="shared" si="229"/>
        <v>0</v>
      </c>
      <c r="AQ1446" s="2">
        <f t="shared" si="230"/>
        <v>0</v>
      </c>
      <c r="AR1446" s="2">
        <f t="shared" si="231"/>
        <v>0</v>
      </c>
      <c r="AS1446" s="2">
        <f t="shared" si="232"/>
        <v>0</v>
      </c>
      <c r="AT1446" s="25">
        <f t="shared" si="233"/>
        <v>0</v>
      </c>
    </row>
    <row r="1447" spans="1:46">
      <c r="A1447" s="24">
        <v>46129</v>
      </c>
      <c r="B1447" s="23">
        <f t="shared" si="225"/>
        <v>46113</v>
      </c>
      <c r="C1447" s="2" t="s">
        <v>97</v>
      </c>
      <c r="D1447" s="2" t="s">
        <v>395</v>
      </c>
      <c r="E1447" s="2">
        <v>9151</v>
      </c>
      <c r="F1447" s="2">
        <v>47</v>
      </c>
      <c r="G1447" s="2">
        <v>47</v>
      </c>
      <c r="H1447" s="2">
        <v>47</v>
      </c>
      <c r="I1447" s="2">
        <f t="shared" si="226"/>
        <v>0</v>
      </c>
      <c r="J1447" s="44" t="s">
        <v>110</v>
      </c>
      <c r="K1447" s="2">
        <v>100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/>
      <c r="AM1447" s="2" t="s">
        <v>110</v>
      </c>
      <c r="AN1447" s="2">
        <f t="shared" si="227"/>
        <v>0</v>
      </c>
      <c r="AO1447" s="2">
        <f t="shared" si="228"/>
        <v>0</v>
      </c>
      <c r="AP1447" s="2">
        <f t="shared" si="229"/>
        <v>0</v>
      </c>
      <c r="AQ1447" s="2">
        <f t="shared" si="230"/>
        <v>0</v>
      </c>
      <c r="AR1447" s="2">
        <f t="shared" si="231"/>
        <v>0</v>
      </c>
      <c r="AS1447" s="2">
        <f t="shared" si="232"/>
        <v>0</v>
      </c>
      <c r="AT1447" s="25">
        <f t="shared" si="233"/>
        <v>0</v>
      </c>
    </row>
    <row r="1448" spans="1:46">
      <c r="A1448" s="24">
        <v>46129</v>
      </c>
      <c r="B1448" s="23">
        <f t="shared" si="225"/>
        <v>46113</v>
      </c>
      <c r="C1448" s="2" t="s">
        <v>55</v>
      </c>
      <c r="D1448" s="2" t="s">
        <v>158</v>
      </c>
      <c r="E1448" s="2">
        <v>3305</v>
      </c>
      <c r="F1448" s="2">
        <v>48</v>
      </c>
      <c r="G1448" s="2">
        <v>48</v>
      </c>
      <c r="H1448" s="2">
        <v>48</v>
      </c>
      <c r="I1448" s="2">
        <f t="shared" si="226"/>
        <v>0</v>
      </c>
      <c r="J1448" s="44" t="s">
        <v>1566</v>
      </c>
      <c r="K1448" s="2">
        <v>100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/>
      <c r="AM1448" s="2" t="s">
        <v>1566</v>
      </c>
      <c r="AN1448" s="2">
        <f t="shared" si="227"/>
        <v>0</v>
      </c>
      <c r="AO1448" s="2">
        <f t="shared" si="228"/>
        <v>0</v>
      </c>
      <c r="AP1448" s="2">
        <f t="shared" si="229"/>
        <v>0</v>
      </c>
      <c r="AQ1448" s="2">
        <f t="shared" si="230"/>
        <v>0</v>
      </c>
      <c r="AR1448" s="2">
        <f t="shared" si="231"/>
        <v>0</v>
      </c>
      <c r="AS1448" s="2">
        <f t="shared" si="232"/>
        <v>0</v>
      </c>
      <c r="AT1448" s="25">
        <f t="shared" si="233"/>
        <v>0</v>
      </c>
    </row>
    <row r="1449" spans="1:46">
      <c r="A1449" s="24">
        <v>46129</v>
      </c>
      <c r="B1449" s="23">
        <f t="shared" si="225"/>
        <v>46113</v>
      </c>
      <c r="C1449" s="2" t="s">
        <v>1484</v>
      </c>
      <c r="D1449" s="2" t="s">
        <v>347</v>
      </c>
      <c r="E1449" s="2">
        <v>3240</v>
      </c>
      <c r="F1449" s="2">
        <v>45</v>
      </c>
      <c r="G1449" s="2">
        <v>45</v>
      </c>
      <c r="H1449" s="2">
        <v>44</v>
      </c>
      <c r="I1449" s="2">
        <f t="shared" si="226"/>
        <v>1</v>
      </c>
      <c r="J1449" s="44" t="s">
        <v>1566</v>
      </c>
      <c r="K1449" s="2">
        <v>100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1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/>
      <c r="AM1449" s="2" t="s">
        <v>1566</v>
      </c>
      <c r="AN1449" s="2">
        <f t="shared" si="227"/>
        <v>0</v>
      </c>
      <c r="AO1449" s="2">
        <f t="shared" si="228"/>
        <v>1</v>
      </c>
      <c r="AP1449" s="2">
        <f t="shared" si="229"/>
        <v>0</v>
      </c>
      <c r="AQ1449" s="2">
        <f t="shared" si="230"/>
        <v>0</v>
      </c>
      <c r="AR1449" s="2">
        <f t="shared" si="231"/>
        <v>0</v>
      </c>
      <c r="AS1449" s="2">
        <f t="shared" si="232"/>
        <v>0</v>
      </c>
      <c r="AT1449" s="25">
        <f t="shared" si="233"/>
        <v>0</v>
      </c>
    </row>
    <row r="1450" spans="1:46">
      <c r="A1450" s="24">
        <v>46129</v>
      </c>
      <c r="B1450" s="23">
        <f t="shared" si="225"/>
        <v>46113</v>
      </c>
      <c r="C1450" s="2" t="s">
        <v>95</v>
      </c>
      <c r="D1450" s="2" t="s">
        <v>301</v>
      </c>
      <c r="E1450" s="2">
        <v>8080</v>
      </c>
      <c r="F1450" s="2">
        <v>43</v>
      </c>
      <c r="G1450" s="2">
        <v>43</v>
      </c>
      <c r="H1450" s="2">
        <v>41</v>
      </c>
      <c r="I1450" s="2">
        <f t="shared" si="226"/>
        <v>2</v>
      </c>
      <c r="J1450" s="44" t="s">
        <v>1566</v>
      </c>
      <c r="K1450" s="2">
        <v>100</v>
      </c>
      <c r="L1450" s="2">
        <v>2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/>
      <c r="AM1450" s="2" t="s">
        <v>1566</v>
      </c>
      <c r="AN1450" s="2">
        <f t="shared" si="227"/>
        <v>2</v>
      </c>
      <c r="AO1450" s="2">
        <f t="shared" si="228"/>
        <v>0</v>
      </c>
      <c r="AP1450" s="2">
        <f t="shared" si="229"/>
        <v>0</v>
      </c>
      <c r="AQ1450" s="2">
        <f t="shared" si="230"/>
        <v>0</v>
      </c>
      <c r="AR1450" s="2">
        <f t="shared" si="231"/>
        <v>0</v>
      </c>
      <c r="AS1450" s="2">
        <f t="shared" si="232"/>
        <v>0</v>
      </c>
      <c r="AT1450" s="25">
        <f t="shared" si="233"/>
        <v>0</v>
      </c>
    </row>
    <row r="1451" spans="1:46">
      <c r="A1451" s="24">
        <v>46129</v>
      </c>
      <c r="B1451" s="23">
        <f t="shared" si="225"/>
        <v>46113</v>
      </c>
      <c r="C1451" s="2" t="s">
        <v>133</v>
      </c>
      <c r="D1451" s="2" t="s">
        <v>398</v>
      </c>
      <c r="E1451" s="2">
        <v>3240</v>
      </c>
      <c r="F1451" s="2">
        <v>26</v>
      </c>
      <c r="G1451" s="2">
        <v>26</v>
      </c>
      <c r="H1451" s="2">
        <v>22</v>
      </c>
      <c r="I1451" s="2">
        <f t="shared" si="226"/>
        <v>4</v>
      </c>
      <c r="J1451" s="44" t="s">
        <v>1566</v>
      </c>
      <c r="K1451" s="2">
        <v>100</v>
      </c>
      <c r="L1451" s="2">
        <v>4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/>
      <c r="AM1451" s="2" t="s">
        <v>1566</v>
      </c>
      <c r="AN1451" s="2">
        <f t="shared" si="227"/>
        <v>4</v>
      </c>
      <c r="AO1451" s="2">
        <f t="shared" si="228"/>
        <v>0</v>
      </c>
      <c r="AP1451" s="2">
        <f t="shared" si="229"/>
        <v>0</v>
      </c>
      <c r="AQ1451" s="2">
        <f t="shared" si="230"/>
        <v>0</v>
      </c>
      <c r="AR1451" s="2">
        <f t="shared" si="231"/>
        <v>0</v>
      </c>
      <c r="AS1451" s="2">
        <f t="shared" si="232"/>
        <v>0</v>
      </c>
      <c r="AT1451" s="25">
        <f t="shared" si="233"/>
        <v>0</v>
      </c>
    </row>
    <row r="1452" spans="1:46">
      <c r="A1452" s="24">
        <v>46129</v>
      </c>
      <c r="B1452" s="23">
        <f t="shared" si="225"/>
        <v>46113</v>
      </c>
      <c r="C1452" s="2" t="s">
        <v>133</v>
      </c>
      <c r="D1452" s="2" t="s">
        <v>295</v>
      </c>
      <c r="E1452" s="2">
        <v>6270</v>
      </c>
      <c r="F1452" s="2">
        <v>13</v>
      </c>
      <c r="G1452" s="2">
        <v>13</v>
      </c>
      <c r="H1452" s="2">
        <v>13</v>
      </c>
      <c r="I1452" s="2">
        <f t="shared" si="226"/>
        <v>0</v>
      </c>
      <c r="J1452" s="44" t="s">
        <v>1566</v>
      </c>
      <c r="K1452" s="2">
        <v>100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/>
      <c r="AM1452" s="2" t="s">
        <v>1566</v>
      </c>
      <c r="AN1452" s="2">
        <f t="shared" si="227"/>
        <v>0</v>
      </c>
      <c r="AO1452" s="2">
        <f t="shared" si="228"/>
        <v>0</v>
      </c>
      <c r="AP1452" s="2">
        <f t="shared" si="229"/>
        <v>0</v>
      </c>
      <c r="AQ1452" s="2">
        <f t="shared" si="230"/>
        <v>0</v>
      </c>
      <c r="AR1452" s="2">
        <f t="shared" si="231"/>
        <v>0</v>
      </c>
      <c r="AS1452" s="2">
        <f t="shared" si="232"/>
        <v>0</v>
      </c>
      <c r="AT1452" s="25">
        <f t="shared" si="233"/>
        <v>0</v>
      </c>
    </row>
    <row r="1453" spans="1:46">
      <c r="A1453" s="24">
        <v>46129</v>
      </c>
      <c r="B1453" s="23">
        <f t="shared" si="225"/>
        <v>46113</v>
      </c>
      <c r="C1453" s="2" t="s">
        <v>133</v>
      </c>
      <c r="D1453" s="2" t="s">
        <v>53</v>
      </c>
      <c r="E1453" s="2">
        <v>6234</v>
      </c>
      <c r="F1453" s="2">
        <v>24</v>
      </c>
      <c r="G1453" s="2">
        <v>24</v>
      </c>
      <c r="H1453" s="2">
        <v>24</v>
      </c>
      <c r="I1453" s="2">
        <f t="shared" si="226"/>
        <v>0</v>
      </c>
      <c r="J1453" s="44" t="s">
        <v>1566</v>
      </c>
      <c r="K1453" s="2">
        <v>100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/>
      <c r="AM1453" s="2" t="s">
        <v>1566</v>
      </c>
      <c r="AN1453" s="2">
        <f t="shared" si="227"/>
        <v>0</v>
      </c>
      <c r="AO1453" s="2">
        <f t="shared" si="228"/>
        <v>0</v>
      </c>
      <c r="AP1453" s="2">
        <f t="shared" si="229"/>
        <v>0</v>
      </c>
      <c r="AQ1453" s="2">
        <f t="shared" si="230"/>
        <v>0</v>
      </c>
      <c r="AR1453" s="2">
        <f t="shared" si="231"/>
        <v>0</v>
      </c>
      <c r="AS1453" s="2">
        <f t="shared" si="232"/>
        <v>0</v>
      </c>
      <c r="AT1453" s="25">
        <f t="shared" si="233"/>
        <v>0</v>
      </c>
    </row>
    <row r="1454" spans="1:46">
      <c r="A1454" s="24">
        <v>46130</v>
      </c>
      <c r="B1454" s="23">
        <f t="shared" si="225"/>
        <v>46113</v>
      </c>
      <c r="C1454" s="2" t="s">
        <v>46</v>
      </c>
      <c r="D1454" s="2" t="s">
        <v>320</v>
      </c>
      <c r="E1454" s="2">
        <v>2781</v>
      </c>
      <c r="F1454" s="2">
        <v>39</v>
      </c>
      <c r="G1454" s="2">
        <v>39</v>
      </c>
      <c r="H1454" s="2">
        <v>36</v>
      </c>
      <c r="I1454" s="2">
        <f t="shared" si="226"/>
        <v>3</v>
      </c>
      <c r="J1454" s="44" t="s">
        <v>77</v>
      </c>
      <c r="K1454" s="2">
        <v>100</v>
      </c>
      <c r="L1454" s="2">
        <v>3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/>
      <c r="AM1454" s="2" t="s">
        <v>77</v>
      </c>
      <c r="AN1454" s="2">
        <f t="shared" si="227"/>
        <v>3</v>
      </c>
      <c r="AO1454" s="2">
        <f t="shared" si="228"/>
        <v>0</v>
      </c>
      <c r="AP1454" s="2">
        <f t="shared" si="229"/>
        <v>0</v>
      </c>
      <c r="AQ1454" s="2">
        <f t="shared" si="230"/>
        <v>0</v>
      </c>
      <c r="AR1454" s="2">
        <f t="shared" si="231"/>
        <v>0</v>
      </c>
      <c r="AS1454" s="2">
        <f t="shared" si="232"/>
        <v>0</v>
      </c>
      <c r="AT1454" s="25">
        <f t="shared" si="233"/>
        <v>0</v>
      </c>
    </row>
    <row r="1455" spans="1:46">
      <c r="A1455" s="24">
        <v>46130</v>
      </c>
      <c r="B1455" s="23">
        <f t="shared" si="225"/>
        <v>46113</v>
      </c>
      <c r="C1455" s="2" t="s">
        <v>46</v>
      </c>
      <c r="D1455" s="2" t="s">
        <v>342</v>
      </c>
      <c r="E1455" s="2">
        <v>90024</v>
      </c>
      <c r="F1455" s="2">
        <v>96</v>
      </c>
      <c r="G1455" s="2">
        <v>96</v>
      </c>
      <c r="H1455" s="2">
        <v>72</v>
      </c>
      <c r="I1455" s="2">
        <f t="shared" si="226"/>
        <v>24</v>
      </c>
      <c r="J1455" s="44" t="s">
        <v>77</v>
      </c>
      <c r="K1455" s="2">
        <v>100</v>
      </c>
      <c r="L1455" s="2">
        <v>0</v>
      </c>
      <c r="M1455" s="2">
        <v>24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/>
      <c r="AM1455" s="2" t="s">
        <v>77</v>
      </c>
      <c r="AN1455" s="2">
        <f t="shared" si="227"/>
        <v>0</v>
      </c>
      <c r="AO1455" s="2">
        <f t="shared" si="228"/>
        <v>24</v>
      </c>
      <c r="AP1455" s="2">
        <f t="shared" si="229"/>
        <v>0</v>
      </c>
      <c r="AQ1455" s="2">
        <f t="shared" si="230"/>
        <v>0</v>
      </c>
      <c r="AR1455" s="2">
        <f t="shared" si="231"/>
        <v>0</v>
      </c>
      <c r="AS1455" s="2">
        <f t="shared" si="232"/>
        <v>0</v>
      </c>
      <c r="AT1455" s="25">
        <f t="shared" si="233"/>
        <v>0</v>
      </c>
    </row>
    <row r="1456" spans="1:46">
      <c r="A1456" s="24">
        <v>46130</v>
      </c>
      <c r="B1456" s="23">
        <f t="shared" si="225"/>
        <v>46113</v>
      </c>
      <c r="C1456" s="2" t="s">
        <v>95</v>
      </c>
      <c r="D1456" s="2" t="s">
        <v>347</v>
      </c>
      <c r="E1456" s="2">
        <v>3240</v>
      </c>
      <c r="F1456" s="2">
        <v>1062</v>
      </c>
      <c r="G1456" s="2">
        <v>1062</v>
      </c>
      <c r="H1456" s="2">
        <v>1019</v>
      </c>
      <c r="I1456" s="2">
        <f t="shared" si="226"/>
        <v>43</v>
      </c>
      <c r="J1456" s="44" t="s">
        <v>77</v>
      </c>
      <c r="K1456" s="2">
        <v>100</v>
      </c>
      <c r="L1456" s="2">
        <v>40</v>
      </c>
      <c r="M1456" s="2">
        <v>3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/>
      <c r="AM1456" s="2" t="s">
        <v>77</v>
      </c>
      <c r="AN1456" s="2">
        <f t="shared" si="227"/>
        <v>40</v>
      </c>
      <c r="AO1456" s="2">
        <f t="shared" si="228"/>
        <v>3</v>
      </c>
      <c r="AP1456" s="2">
        <f t="shared" si="229"/>
        <v>0</v>
      </c>
      <c r="AQ1456" s="2">
        <f t="shared" si="230"/>
        <v>0</v>
      </c>
      <c r="AR1456" s="2">
        <f t="shared" si="231"/>
        <v>0</v>
      </c>
      <c r="AS1456" s="2">
        <f t="shared" si="232"/>
        <v>0</v>
      </c>
      <c r="AT1456" s="25">
        <f t="shared" si="233"/>
        <v>0</v>
      </c>
    </row>
    <row r="1457" spans="1:46">
      <c r="A1457" s="24">
        <v>46130</v>
      </c>
      <c r="B1457" s="23">
        <f t="shared" si="225"/>
        <v>46113</v>
      </c>
      <c r="C1457" s="2" t="s">
        <v>46</v>
      </c>
      <c r="D1457" s="2" t="s">
        <v>360</v>
      </c>
      <c r="E1457" s="2">
        <v>90024</v>
      </c>
      <c r="F1457" s="2">
        <v>109</v>
      </c>
      <c r="G1457" s="2">
        <v>109</v>
      </c>
      <c r="H1457" s="2">
        <v>101</v>
      </c>
      <c r="I1457" s="2">
        <f t="shared" si="226"/>
        <v>8</v>
      </c>
      <c r="J1457" s="44" t="s">
        <v>77</v>
      </c>
      <c r="K1457" s="2">
        <v>100</v>
      </c>
      <c r="L1457" s="2">
        <v>8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/>
      <c r="AM1457" s="2" t="s">
        <v>77</v>
      </c>
      <c r="AN1457" s="2">
        <f t="shared" si="227"/>
        <v>8</v>
      </c>
      <c r="AO1457" s="2">
        <f t="shared" si="228"/>
        <v>0</v>
      </c>
      <c r="AP1457" s="2">
        <f t="shared" si="229"/>
        <v>0</v>
      </c>
      <c r="AQ1457" s="2">
        <f t="shared" si="230"/>
        <v>0</v>
      </c>
      <c r="AR1457" s="2">
        <f t="shared" si="231"/>
        <v>0</v>
      </c>
      <c r="AS1457" s="2">
        <f t="shared" si="232"/>
        <v>0</v>
      </c>
      <c r="AT1457" s="25">
        <f t="shared" si="233"/>
        <v>0</v>
      </c>
    </row>
    <row r="1458" spans="1:46">
      <c r="A1458" s="24">
        <v>46130</v>
      </c>
      <c r="B1458" s="23">
        <f t="shared" si="225"/>
        <v>46113</v>
      </c>
      <c r="C1458" s="2" t="s">
        <v>46</v>
      </c>
      <c r="D1458" s="2" t="s">
        <v>54</v>
      </c>
      <c r="E1458" s="2">
        <v>1774</v>
      </c>
      <c r="F1458" s="2">
        <v>46</v>
      </c>
      <c r="G1458" s="2">
        <v>46</v>
      </c>
      <c r="H1458" s="2">
        <v>44</v>
      </c>
      <c r="I1458" s="2">
        <f t="shared" si="226"/>
        <v>2</v>
      </c>
      <c r="J1458" s="44" t="s">
        <v>80</v>
      </c>
      <c r="K1458" s="2">
        <v>100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2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/>
      <c r="AM1458" s="2" t="s">
        <v>80</v>
      </c>
      <c r="AN1458" s="2">
        <f t="shared" si="227"/>
        <v>0</v>
      </c>
      <c r="AO1458" s="2">
        <f t="shared" si="228"/>
        <v>2</v>
      </c>
      <c r="AP1458" s="2">
        <f t="shared" si="229"/>
        <v>0</v>
      </c>
      <c r="AQ1458" s="2">
        <f t="shared" si="230"/>
        <v>0</v>
      </c>
      <c r="AR1458" s="2">
        <f t="shared" si="231"/>
        <v>0</v>
      </c>
      <c r="AS1458" s="2">
        <f t="shared" si="232"/>
        <v>0</v>
      </c>
      <c r="AT1458" s="25">
        <f t="shared" si="233"/>
        <v>0</v>
      </c>
    </row>
    <row r="1459" spans="1:46">
      <c r="A1459" s="24">
        <v>46130</v>
      </c>
      <c r="B1459" s="23">
        <f t="shared" si="225"/>
        <v>46113</v>
      </c>
      <c r="C1459" s="2" t="s">
        <v>46</v>
      </c>
      <c r="D1459" s="2" t="s">
        <v>330</v>
      </c>
      <c r="E1459" s="2">
        <v>6285</v>
      </c>
      <c r="F1459" s="2">
        <v>55</v>
      </c>
      <c r="G1459" s="2">
        <v>55</v>
      </c>
      <c r="H1459" s="2">
        <v>51</v>
      </c>
      <c r="I1459" s="2">
        <f t="shared" si="226"/>
        <v>4</v>
      </c>
      <c r="J1459" s="44" t="s">
        <v>80</v>
      </c>
      <c r="K1459" s="2">
        <v>100</v>
      </c>
      <c r="L1459" s="2">
        <v>4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/>
      <c r="AM1459" s="2" t="s">
        <v>80</v>
      </c>
      <c r="AN1459" s="2">
        <f t="shared" si="227"/>
        <v>4</v>
      </c>
      <c r="AO1459" s="2">
        <f t="shared" si="228"/>
        <v>0</v>
      </c>
      <c r="AP1459" s="2">
        <f t="shared" si="229"/>
        <v>0</v>
      </c>
      <c r="AQ1459" s="2">
        <f t="shared" si="230"/>
        <v>0</v>
      </c>
      <c r="AR1459" s="2">
        <f t="shared" si="231"/>
        <v>0</v>
      </c>
      <c r="AS1459" s="2">
        <f t="shared" si="232"/>
        <v>0</v>
      </c>
      <c r="AT1459" s="25">
        <f t="shared" si="233"/>
        <v>0</v>
      </c>
    </row>
    <row r="1460" spans="1:46">
      <c r="A1460" s="24">
        <v>46130</v>
      </c>
      <c r="B1460" s="23">
        <f t="shared" si="225"/>
        <v>46113</v>
      </c>
      <c r="C1460" s="2" t="s">
        <v>95</v>
      </c>
      <c r="D1460" s="2" t="s">
        <v>1305</v>
      </c>
      <c r="E1460" s="2">
        <v>3322</v>
      </c>
      <c r="F1460" s="2">
        <v>35</v>
      </c>
      <c r="G1460" s="2">
        <v>35</v>
      </c>
      <c r="H1460" s="2">
        <v>35</v>
      </c>
      <c r="I1460" s="2">
        <f t="shared" si="226"/>
        <v>0</v>
      </c>
      <c r="J1460" s="44" t="s">
        <v>80</v>
      </c>
      <c r="K1460" s="2">
        <v>100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/>
      <c r="AM1460" s="2" t="s">
        <v>80</v>
      </c>
      <c r="AN1460" s="2">
        <f t="shared" si="227"/>
        <v>0</v>
      </c>
      <c r="AO1460" s="2">
        <f t="shared" si="228"/>
        <v>0</v>
      </c>
      <c r="AP1460" s="2">
        <f t="shared" si="229"/>
        <v>0</v>
      </c>
      <c r="AQ1460" s="2">
        <f t="shared" si="230"/>
        <v>0</v>
      </c>
      <c r="AR1460" s="2">
        <f t="shared" si="231"/>
        <v>0</v>
      </c>
      <c r="AS1460" s="2">
        <f t="shared" si="232"/>
        <v>0</v>
      </c>
      <c r="AT1460" s="25">
        <f t="shared" si="233"/>
        <v>0</v>
      </c>
    </row>
    <row r="1461" spans="1:46">
      <c r="A1461" s="24">
        <v>46130</v>
      </c>
      <c r="B1461" s="23">
        <f t="shared" si="225"/>
        <v>46113</v>
      </c>
      <c r="C1461" s="2" t="s">
        <v>95</v>
      </c>
      <c r="D1461" s="2" t="s">
        <v>1584</v>
      </c>
      <c r="E1461" s="2">
        <v>3301</v>
      </c>
      <c r="F1461" s="2">
        <v>45</v>
      </c>
      <c r="G1461" s="2">
        <v>45</v>
      </c>
      <c r="H1461" s="2">
        <v>44</v>
      </c>
      <c r="I1461" s="2">
        <f t="shared" si="226"/>
        <v>1</v>
      </c>
      <c r="J1461" s="44" t="s">
        <v>80</v>
      </c>
      <c r="K1461" s="2">
        <v>100</v>
      </c>
      <c r="L1461" s="2">
        <v>1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/>
      <c r="AM1461" s="2" t="s">
        <v>80</v>
      </c>
      <c r="AN1461" s="2">
        <f t="shared" si="227"/>
        <v>1</v>
      </c>
      <c r="AO1461" s="2">
        <f t="shared" si="228"/>
        <v>0</v>
      </c>
      <c r="AP1461" s="2">
        <f t="shared" si="229"/>
        <v>0</v>
      </c>
      <c r="AQ1461" s="2">
        <f t="shared" si="230"/>
        <v>0</v>
      </c>
      <c r="AR1461" s="2">
        <f t="shared" si="231"/>
        <v>0</v>
      </c>
      <c r="AS1461" s="2">
        <f t="shared" si="232"/>
        <v>0</v>
      </c>
      <c r="AT1461" s="25">
        <f t="shared" si="233"/>
        <v>0</v>
      </c>
    </row>
    <row r="1462" spans="1:46">
      <c r="A1462" s="24">
        <v>46130</v>
      </c>
      <c r="B1462" s="23">
        <f t="shared" si="225"/>
        <v>46113</v>
      </c>
      <c r="C1462" s="2" t="s">
        <v>46</v>
      </c>
      <c r="D1462" s="2" t="s">
        <v>214</v>
      </c>
      <c r="E1462" s="2">
        <v>2679</v>
      </c>
      <c r="F1462" s="2">
        <v>53</v>
      </c>
      <c r="G1462" s="2">
        <v>53</v>
      </c>
      <c r="H1462" s="2">
        <v>53</v>
      </c>
      <c r="I1462" s="2">
        <f t="shared" si="226"/>
        <v>0</v>
      </c>
      <c r="J1462" s="44" t="s">
        <v>80</v>
      </c>
      <c r="K1462" s="2">
        <v>100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/>
      <c r="AM1462" s="2" t="s">
        <v>80</v>
      </c>
      <c r="AN1462" s="2">
        <f t="shared" si="227"/>
        <v>0</v>
      </c>
      <c r="AO1462" s="2">
        <f t="shared" si="228"/>
        <v>0</v>
      </c>
      <c r="AP1462" s="2">
        <f t="shared" si="229"/>
        <v>0</v>
      </c>
      <c r="AQ1462" s="2">
        <f t="shared" si="230"/>
        <v>0</v>
      </c>
      <c r="AR1462" s="2">
        <f t="shared" si="231"/>
        <v>0</v>
      </c>
      <c r="AS1462" s="2">
        <f t="shared" si="232"/>
        <v>0</v>
      </c>
      <c r="AT1462" s="25">
        <f t="shared" si="233"/>
        <v>0</v>
      </c>
    </row>
    <row r="1463" spans="1:46">
      <c r="A1463" s="24">
        <v>46130</v>
      </c>
      <c r="B1463" s="23">
        <f t="shared" si="225"/>
        <v>46113</v>
      </c>
      <c r="C1463" s="2" t="s">
        <v>46</v>
      </c>
      <c r="D1463" s="2" t="s">
        <v>54</v>
      </c>
      <c r="E1463" s="2">
        <v>1774</v>
      </c>
      <c r="F1463" s="2">
        <v>29</v>
      </c>
      <c r="G1463" s="2">
        <v>29</v>
      </c>
      <c r="H1463" s="2">
        <v>27</v>
      </c>
      <c r="I1463" s="2">
        <f t="shared" si="226"/>
        <v>2</v>
      </c>
      <c r="J1463" s="44" t="s">
        <v>80</v>
      </c>
      <c r="K1463" s="2">
        <v>100</v>
      </c>
      <c r="L1463" s="2">
        <v>2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/>
      <c r="AM1463" s="2" t="s">
        <v>80</v>
      </c>
      <c r="AN1463" s="2">
        <f t="shared" si="227"/>
        <v>2</v>
      </c>
      <c r="AO1463" s="2">
        <f t="shared" si="228"/>
        <v>0</v>
      </c>
      <c r="AP1463" s="2">
        <f t="shared" si="229"/>
        <v>0</v>
      </c>
      <c r="AQ1463" s="2">
        <f t="shared" si="230"/>
        <v>0</v>
      </c>
      <c r="AR1463" s="2">
        <f t="shared" si="231"/>
        <v>0</v>
      </c>
      <c r="AS1463" s="2">
        <f t="shared" si="232"/>
        <v>0</v>
      </c>
      <c r="AT1463" s="25">
        <f t="shared" si="233"/>
        <v>0</v>
      </c>
    </row>
    <row r="1464" spans="1:46">
      <c r="A1464" s="24">
        <v>46130</v>
      </c>
      <c r="B1464" s="23">
        <f t="shared" si="225"/>
        <v>46113</v>
      </c>
      <c r="C1464" s="2" t="s">
        <v>72</v>
      </c>
      <c r="D1464" s="2" t="s">
        <v>362</v>
      </c>
      <c r="E1464" s="2">
        <v>9315</v>
      </c>
      <c r="F1464" s="2">
        <v>719</v>
      </c>
      <c r="G1464" s="2">
        <v>719</v>
      </c>
      <c r="H1464" s="2">
        <v>685</v>
      </c>
      <c r="I1464" s="2">
        <f t="shared" si="226"/>
        <v>34</v>
      </c>
      <c r="J1464" s="44" t="s">
        <v>103</v>
      </c>
      <c r="K1464" s="2">
        <v>100</v>
      </c>
      <c r="L1464" s="2">
        <v>4</v>
      </c>
      <c r="M1464" s="2">
        <v>0</v>
      </c>
      <c r="N1464" s="2">
        <v>0</v>
      </c>
      <c r="O1464" s="2">
        <v>0</v>
      </c>
      <c r="P1464" s="2">
        <v>30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/>
      <c r="AM1464" s="2" t="s">
        <v>103</v>
      </c>
      <c r="AN1464" s="2">
        <f t="shared" si="227"/>
        <v>4</v>
      </c>
      <c r="AO1464" s="2">
        <f t="shared" si="228"/>
        <v>30</v>
      </c>
      <c r="AP1464" s="2">
        <f t="shared" si="229"/>
        <v>0</v>
      </c>
      <c r="AQ1464" s="2">
        <f t="shared" si="230"/>
        <v>0</v>
      </c>
      <c r="AR1464" s="2">
        <f t="shared" si="231"/>
        <v>0</v>
      </c>
      <c r="AS1464" s="2">
        <f t="shared" si="232"/>
        <v>0</v>
      </c>
      <c r="AT1464" s="25">
        <f t="shared" si="233"/>
        <v>0</v>
      </c>
    </row>
    <row r="1465" spans="1:46">
      <c r="A1465" s="24">
        <v>46130</v>
      </c>
      <c r="B1465" s="23">
        <f t="shared" si="225"/>
        <v>46113</v>
      </c>
      <c r="C1465" s="2" t="s">
        <v>114</v>
      </c>
      <c r="D1465" s="2" t="s">
        <v>1448</v>
      </c>
      <c r="E1465" s="2">
        <v>3287</v>
      </c>
      <c r="F1465" s="2">
        <v>66</v>
      </c>
      <c r="G1465" s="2">
        <v>66</v>
      </c>
      <c r="H1465" s="2">
        <v>64</v>
      </c>
      <c r="I1465" s="2">
        <f t="shared" si="226"/>
        <v>2</v>
      </c>
      <c r="J1465" s="44" t="s">
        <v>103</v>
      </c>
      <c r="K1465" s="2">
        <v>100</v>
      </c>
      <c r="L1465" s="2">
        <v>2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/>
      <c r="AM1465" s="2" t="s">
        <v>103</v>
      </c>
      <c r="AN1465" s="2">
        <f t="shared" si="227"/>
        <v>2</v>
      </c>
      <c r="AO1465" s="2">
        <f t="shared" si="228"/>
        <v>0</v>
      </c>
      <c r="AP1465" s="2">
        <f t="shared" si="229"/>
        <v>0</v>
      </c>
      <c r="AQ1465" s="2">
        <f t="shared" si="230"/>
        <v>0</v>
      </c>
      <c r="AR1465" s="2">
        <f t="shared" si="231"/>
        <v>0</v>
      </c>
      <c r="AS1465" s="2">
        <f t="shared" si="232"/>
        <v>0</v>
      </c>
      <c r="AT1465" s="25">
        <f t="shared" si="233"/>
        <v>0</v>
      </c>
    </row>
    <row r="1466" spans="1:46">
      <c r="A1466" s="24">
        <v>46130</v>
      </c>
      <c r="B1466" s="23">
        <f t="shared" si="225"/>
        <v>46113</v>
      </c>
      <c r="C1466" s="2" t="s">
        <v>114</v>
      </c>
      <c r="D1466" s="2" t="s">
        <v>365</v>
      </c>
      <c r="E1466" s="2">
        <v>3287</v>
      </c>
      <c r="F1466" s="2">
        <v>154</v>
      </c>
      <c r="G1466" s="2">
        <v>154</v>
      </c>
      <c r="H1466" s="2">
        <v>152</v>
      </c>
      <c r="I1466" s="2">
        <f t="shared" si="226"/>
        <v>2</v>
      </c>
      <c r="J1466" s="44" t="s">
        <v>103</v>
      </c>
      <c r="K1466" s="2">
        <v>100</v>
      </c>
      <c r="L1466" s="2">
        <v>2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/>
      <c r="AM1466" s="2" t="s">
        <v>103</v>
      </c>
      <c r="AN1466" s="2">
        <f t="shared" si="227"/>
        <v>2</v>
      </c>
      <c r="AO1466" s="2">
        <f t="shared" si="228"/>
        <v>0</v>
      </c>
      <c r="AP1466" s="2">
        <f t="shared" si="229"/>
        <v>0</v>
      </c>
      <c r="AQ1466" s="2">
        <f t="shared" si="230"/>
        <v>0</v>
      </c>
      <c r="AR1466" s="2">
        <f t="shared" si="231"/>
        <v>0</v>
      </c>
      <c r="AS1466" s="2">
        <f t="shared" si="232"/>
        <v>0</v>
      </c>
      <c r="AT1466" s="25">
        <f t="shared" si="233"/>
        <v>0</v>
      </c>
    </row>
    <row r="1467" spans="1:46">
      <c r="A1467" s="24">
        <v>46130</v>
      </c>
      <c r="B1467" s="23">
        <f t="shared" si="225"/>
        <v>46113</v>
      </c>
      <c r="C1467" s="2" t="s">
        <v>160</v>
      </c>
      <c r="D1467" s="2" t="s">
        <v>267</v>
      </c>
      <c r="E1467" s="2">
        <v>3227</v>
      </c>
      <c r="F1467" s="2">
        <v>41</v>
      </c>
      <c r="G1467" s="2">
        <v>41</v>
      </c>
      <c r="H1467" s="2">
        <v>41</v>
      </c>
      <c r="I1467" s="2">
        <f t="shared" si="226"/>
        <v>0</v>
      </c>
      <c r="J1467" s="44" t="s">
        <v>93</v>
      </c>
      <c r="K1467" s="2">
        <v>100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/>
      <c r="AM1467" s="2" t="s">
        <v>93</v>
      </c>
      <c r="AN1467" s="2">
        <f t="shared" si="227"/>
        <v>0</v>
      </c>
      <c r="AO1467" s="2">
        <f t="shared" si="228"/>
        <v>0</v>
      </c>
      <c r="AP1467" s="2">
        <f t="shared" si="229"/>
        <v>0</v>
      </c>
      <c r="AQ1467" s="2">
        <f t="shared" si="230"/>
        <v>0</v>
      </c>
      <c r="AR1467" s="2">
        <f t="shared" si="231"/>
        <v>0</v>
      </c>
      <c r="AS1467" s="2">
        <f t="shared" si="232"/>
        <v>0</v>
      </c>
      <c r="AT1467" s="25">
        <f t="shared" si="233"/>
        <v>0</v>
      </c>
    </row>
    <row r="1468" spans="1:46">
      <c r="A1468" s="24">
        <v>46130</v>
      </c>
      <c r="B1468" s="23">
        <f t="shared" si="225"/>
        <v>46113</v>
      </c>
      <c r="C1468" s="2" t="s">
        <v>62</v>
      </c>
      <c r="D1468" s="2" t="s">
        <v>359</v>
      </c>
      <c r="E1468" s="2">
        <v>3246</v>
      </c>
      <c r="F1468" s="2">
        <v>575</v>
      </c>
      <c r="G1468" s="2">
        <v>575</v>
      </c>
      <c r="H1468" s="2">
        <v>572</v>
      </c>
      <c r="I1468" s="2">
        <f t="shared" si="226"/>
        <v>3</v>
      </c>
      <c r="J1468" s="44" t="s">
        <v>99</v>
      </c>
      <c r="K1468" s="2">
        <v>100</v>
      </c>
      <c r="L1468" s="2">
        <v>1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1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1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/>
      <c r="AM1468" s="2" t="s">
        <v>99</v>
      </c>
      <c r="AN1468" s="2">
        <f t="shared" si="227"/>
        <v>1</v>
      </c>
      <c r="AO1468" s="2">
        <f t="shared" si="228"/>
        <v>1</v>
      </c>
      <c r="AP1468" s="2">
        <f t="shared" si="229"/>
        <v>1</v>
      </c>
      <c r="AQ1468" s="2">
        <f t="shared" si="230"/>
        <v>0</v>
      </c>
      <c r="AR1468" s="2">
        <f t="shared" si="231"/>
        <v>0</v>
      </c>
      <c r="AS1468" s="2">
        <f t="shared" si="232"/>
        <v>0</v>
      </c>
      <c r="AT1468" s="25">
        <f t="shared" si="233"/>
        <v>0</v>
      </c>
    </row>
    <row r="1469" spans="1:46">
      <c r="A1469" s="24">
        <v>46130</v>
      </c>
      <c r="B1469" s="23">
        <f t="shared" si="225"/>
        <v>46113</v>
      </c>
      <c r="C1469" s="2" t="s">
        <v>97</v>
      </c>
      <c r="D1469" s="2" t="s">
        <v>370</v>
      </c>
      <c r="E1469" s="2">
        <v>6237</v>
      </c>
      <c r="F1469" s="2">
        <v>237</v>
      </c>
      <c r="G1469" s="2">
        <v>237</v>
      </c>
      <c r="H1469" s="2">
        <v>235</v>
      </c>
      <c r="I1469" s="2">
        <f t="shared" si="226"/>
        <v>2</v>
      </c>
      <c r="J1469" s="44" t="s">
        <v>110</v>
      </c>
      <c r="K1469" s="2">
        <v>100</v>
      </c>
      <c r="L1469" s="2">
        <v>1</v>
      </c>
      <c r="M1469" s="2">
        <v>0</v>
      </c>
      <c r="N1469" s="2">
        <v>0</v>
      </c>
      <c r="O1469" s="2">
        <v>1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/>
      <c r="AM1469" s="2" t="s">
        <v>110</v>
      </c>
      <c r="AN1469" s="2">
        <f t="shared" si="227"/>
        <v>1</v>
      </c>
      <c r="AO1469" s="2">
        <f t="shared" si="228"/>
        <v>1</v>
      </c>
      <c r="AP1469" s="2">
        <f t="shared" si="229"/>
        <v>0</v>
      </c>
      <c r="AQ1469" s="2">
        <f t="shared" si="230"/>
        <v>0</v>
      </c>
      <c r="AR1469" s="2">
        <f t="shared" si="231"/>
        <v>0</v>
      </c>
      <c r="AS1469" s="2">
        <f t="shared" si="232"/>
        <v>0</v>
      </c>
      <c r="AT1469" s="25">
        <f t="shared" si="233"/>
        <v>0</v>
      </c>
    </row>
    <row r="1470" spans="1:46">
      <c r="A1470" s="24">
        <v>46130</v>
      </c>
      <c r="B1470" s="23">
        <f t="shared" si="225"/>
        <v>46113</v>
      </c>
      <c r="C1470" s="2" t="s">
        <v>97</v>
      </c>
      <c r="D1470" s="2" t="s">
        <v>370</v>
      </c>
      <c r="E1470" s="2">
        <v>6237</v>
      </c>
      <c r="F1470" s="2">
        <v>16</v>
      </c>
      <c r="G1470" s="2">
        <v>16</v>
      </c>
      <c r="H1470" s="2">
        <v>16</v>
      </c>
      <c r="I1470" s="2">
        <f t="shared" si="226"/>
        <v>0</v>
      </c>
      <c r="J1470" s="44" t="s">
        <v>110</v>
      </c>
      <c r="K1470" s="2">
        <v>100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/>
      <c r="AM1470" s="2" t="s">
        <v>110</v>
      </c>
      <c r="AN1470" s="2">
        <f t="shared" si="227"/>
        <v>0</v>
      </c>
      <c r="AO1470" s="2">
        <f t="shared" si="228"/>
        <v>0</v>
      </c>
      <c r="AP1470" s="2">
        <f t="shared" si="229"/>
        <v>0</v>
      </c>
      <c r="AQ1470" s="2">
        <f t="shared" si="230"/>
        <v>0</v>
      </c>
      <c r="AR1470" s="2">
        <f t="shared" si="231"/>
        <v>0</v>
      </c>
      <c r="AS1470" s="2">
        <f t="shared" si="232"/>
        <v>0</v>
      </c>
      <c r="AT1470" s="25">
        <f t="shared" si="233"/>
        <v>0</v>
      </c>
    </row>
    <row r="1471" spans="1:46">
      <c r="A1471" s="24">
        <v>46130</v>
      </c>
      <c r="B1471" s="23">
        <f t="shared" si="225"/>
        <v>46113</v>
      </c>
      <c r="C1471" s="2" t="s">
        <v>97</v>
      </c>
      <c r="D1471" s="2" t="s">
        <v>395</v>
      </c>
      <c r="E1471" s="2">
        <v>9151</v>
      </c>
      <c r="F1471" s="2">
        <v>45</v>
      </c>
      <c r="G1471" s="2">
        <v>45</v>
      </c>
      <c r="H1471" s="2">
        <v>45</v>
      </c>
      <c r="I1471" s="2">
        <f t="shared" si="226"/>
        <v>0</v>
      </c>
      <c r="J1471" s="44" t="s">
        <v>110</v>
      </c>
      <c r="K1471" s="2">
        <v>100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/>
      <c r="AM1471" s="2" t="s">
        <v>110</v>
      </c>
      <c r="AN1471" s="2">
        <f t="shared" si="227"/>
        <v>0</v>
      </c>
      <c r="AO1471" s="2">
        <f t="shared" si="228"/>
        <v>0</v>
      </c>
      <c r="AP1471" s="2">
        <f t="shared" si="229"/>
        <v>0</v>
      </c>
      <c r="AQ1471" s="2">
        <f t="shared" si="230"/>
        <v>0</v>
      </c>
      <c r="AR1471" s="2">
        <f t="shared" si="231"/>
        <v>0</v>
      </c>
      <c r="AS1471" s="2">
        <f t="shared" si="232"/>
        <v>0</v>
      </c>
      <c r="AT1471" s="25">
        <f t="shared" si="233"/>
        <v>0</v>
      </c>
    </row>
    <row r="1472" spans="1:46">
      <c r="A1472" s="24">
        <v>46130</v>
      </c>
      <c r="B1472" s="23">
        <f t="shared" si="225"/>
        <v>46113</v>
      </c>
      <c r="C1472" s="2" t="s">
        <v>97</v>
      </c>
      <c r="D1472" s="2" t="s">
        <v>402</v>
      </c>
      <c r="E1472" s="2">
        <v>6237</v>
      </c>
      <c r="F1472" s="2">
        <v>452</v>
      </c>
      <c r="G1472" s="2">
        <v>452</v>
      </c>
      <c r="H1472" s="2">
        <v>436</v>
      </c>
      <c r="I1472" s="2">
        <f t="shared" si="226"/>
        <v>16</v>
      </c>
      <c r="J1472" s="44" t="s">
        <v>110</v>
      </c>
      <c r="K1472" s="2">
        <v>100</v>
      </c>
      <c r="L1472" s="2">
        <v>16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/>
      <c r="AM1472" s="2" t="s">
        <v>110</v>
      </c>
      <c r="AN1472" s="2">
        <f t="shared" si="227"/>
        <v>16</v>
      </c>
      <c r="AO1472" s="2">
        <f t="shared" si="228"/>
        <v>0</v>
      </c>
      <c r="AP1472" s="2">
        <f t="shared" si="229"/>
        <v>0</v>
      </c>
      <c r="AQ1472" s="2">
        <f t="shared" si="230"/>
        <v>0</v>
      </c>
      <c r="AR1472" s="2">
        <f t="shared" si="231"/>
        <v>0</v>
      </c>
      <c r="AS1472" s="2">
        <f t="shared" si="232"/>
        <v>0</v>
      </c>
      <c r="AT1472" s="25">
        <f t="shared" si="233"/>
        <v>0</v>
      </c>
    </row>
    <row r="1473" spans="1:46">
      <c r="A1473" s="24">
        <v>46130</v>
      </c>
      <c r="B1473" s="23">
        <f t="shared" si="225"/>
        <v>46113</v>
      </c>
      <c r="C1473" s="2" t="s">
        <v>46</v>
      </c>
      <c r="D1473" s="2" t="s">
        <v>51</v>
      </c>
      <c r="E1473" s="2">
        <v>6221</v>
      </c>
      <c r="F1473" s="2">
        <v>49</v>
      </c>
      <c r="G1473" s="2">
        <v>49</v>
      </c>
      <c r="H1473" s="2">
        <v>49</v>
      </c>
      <c r="I1473" s="2">
        <f t="shared" si="226"/>
        <v>0</v>
      </c>
      <c r="J1473" s="44" t="s">
        <v>1566</v>
      </c>
      <c r="K1473" s="2">
        <v>100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/>
      <c r="AM1473" s="2" t="s">
        <v>1566</v>
      </c>
      <c r="AN1473" s="2">
        <f t="shared" si="227"/>
        <v>0</v>
      </c>
      <c r="AO1473" s="2">
        <f t="shared" si="228"/>
        <v>0</v>
      </c>
      <c r="AP1473" s="2">
        <f t="shared" si="229"/>
        <v>0</v>
      </c>
      <c r="AQ1473" s="2">
        <f t="shared" si="230"/>
        <v>0</v>
      </c>
      <c r="AR1473" s="2">
        <f t="shared" si="231"/>
        <v>0</v>
      </c>
      <c r="AS1473" s="2">
        <f t="shared" si="232"/>
        <v>0</v>
      </c>
      <c r="AT1473" s="25">
        <f t="shared" si="233"/>
        <v>0</v>
      </c>
    </row>
    <row r="1474" spans="1:46">
      <c r="A1474" s="24">
        <v>46130</v>
      </c>
      <c r="B1474" s="23">
        <f t="shared" si="225"/>
        <v>46113</v>
      </c>
      <c r="C1474" s="2" t="s">
        <v>63</v>
      </c>
      <c r="D1474" s="2" t="s">
        <v>65</v>
      </c>
      <c r="E1474" s="2">
        <v>2598</v>
      </c>
      <c r="F1474" s="2">
        <v>41</v>
      </c>
      <c r="G1474" s="2">
        <v>41</v>
      </c>
      <c r="H1474" s="2">
        <v>41</v>
      </c>
      <c r="I1474" s="2">
        <f t="shared" si="226"/>
        <v>0</v>
      </c>
      <c r="J1474" s="44" t="s">
        <v>1568</v>
      </c>
      <c r="K1474" s="2">
        <v>100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/>
      <c r="AM1474" s="2" t="s">
        <v>1568</v>
      </c>
      <c r="AN1474" s="2">
        <f t="shared" si="227"/>
        <v>0</v>
      </c>
      <c r="AO1474" s="2">
        <f t="shared" si="228"/>
        <v>0</v>
      </c>
      <c r="AP1474" s="2">
        <f t="shared" si="229"/>
        <v>0</v>
      </c>
      <c r="AQ1474" s="2">
        <f t="shared" si="230"/>
        <v>0</v>
      </c>
      <c r="AR1474" s="2">
        <f t="shared" si="231"/>
        <v>0</v>
      </c>
      <c r="AS1474" s="2">
        <f t="shared" si="232"/>
        <v>0</v>
      </c>
      <c r="AT1474" s="25">
        <f t="shared" si="233"/>
        <v>0</v>
      </c>
    </row>
    <row r="1475" spans="1:46">
      <c r="A1475" s="24">
        <v>46130</v>
      </c>
      <c r="B1475" s="23">
        <f t="shared" si="225"/>
        <v>46113</v>
      </c>
      <c r="C1475" s="2" t="s">
        <v>62</v>
      </c>
      <c r="D1475" s="2" t="s">
        <v>329</v>
      </c>
      <c r="E1475" s="2">
        <v>3305</v>
      </c>
      <c r="F1475" s="2">
        <v>32</v>
      </c>
      <c r="G1475" s="2">
        <v>32</v>
      </c>
      <c r="H1475" s="2">
        <v>32</v>
      </c>
      <c r="I1475" s="2">
        <f t="shared" si="226"/>
        <v>0</v>
      </c>
      <c r="J1475" s="44" t="s">
        <v>1568</v>
      </c>
      <c r="K1475" s="2">
        <v>100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/>
      <c r="AM1475" s="2" t="s">
        <v>1568</v>
      </c>
      <c r="AN1475" s="2">
        <f t="shared" si="227"/>
        <v>0</v>
      </c>
      <c r="AO1475" s="2">
        <f t="shared" si="228"/>
        <v>0</v>
      </c>
      <c r="AP1475" s="2">
        <f t="shared" si="229"/>
        <v>0</v>
      </c>
      <c r="AQ1475" s="2">
        <f t="shared" si="230"/>
        <v>0</v>
      </c>
      <c r="AR1475" s="2">
        <f t="shared" si="231"/>
        <v>0</v>
      </c>
      <c r="AS1475" s="2">
        <f t="shared" si="232"/>
        <v>0</v>
      </c>
      <c r="AT1475" s="25">
        <f t="shared" si="233"/>
        <v>0</v>
      </c>
    </row>
    <row r="1476" spans="1:46">
      <c r="A1476" s="24">
        <v>46132</v>
      </c>
      <c r="B1476" s="23">
        <f t="shared" si="225"/>
        <v>46113</v>
      </c>
      <c r="C1476" s="2" t="s">
        <v>72</v>
      </c>
      <c r="D1476" s="2" t="s">
        <v>345</v>
      </c>
      <c r="E1476" s="2">
        <v>2724</v>
      </c>
      <c r="F1476" s="2">
        <v>157</v>
      </c>
      <c r="G1476" s="2">
        <v>157</v>
      </c>
      <c r="H1476" s="2">
        <v>142</v>
      </c>
      <c r="I1476" s="2">
        <f t="shared" si="226"/>
        <v>15</v>
      </c>
      <c r="J1476" s="44" t="s">
        <v>80</v>
      </c>
      <c r="K1476" s="2">
        <v>100</v>
      </c>
      <c r="L1476" s="2">
        <v>3</v>
      </c>
      <c r="M1476" s="2">
        <v>0</v>
      </c>
      <c r="N1476" s="2">
        <v>0</v>
      </c>
      <c r="O1476" s="2">
        <v>0</v>
      </c>
      <c r="P1476" s="2">
        <v>10</v>
      </c>
      <c r="Q1476" s="2">
        <v>0</v>
      </c>
      <c r="R1476" s="2">
        <v>2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/>
      <c r="AM1476" s="2" t="s">
        <v>80</v>
      </c>
      <c r="AN1476" s="2">
        <f t="shared" si="227"/>
        <v>3</v>
      </c>
      <c r="AO1476" s="2">
        <f t="shared" si="228"/>
        <v>12</v>
      </c>
      <c r="AP1476" s="2">
        <f t="shared" si="229"/>
        <v>0</v>
      </c>
      <c r="AQ1476" s="2">
        <f t="shared" si="230"/>
        <v>0</v>
      </c>
      <c r="AR1476" s="2">
        <f t="shared" si="231"/>
        <v>0</v>
      </c>
      <c r="AS1476" s="2">
        <f t="shared" si="232"/>
        <v>0</v>
      </c>
      <c r="AT1476" s="25">
        <f t="shared" si="233"/>
        <v>0</v>
      </c>
    </row>
    <row r="1477" spans="1:46">
      <c r="A1477" s="24">
        <v>46132</v>
      </c>
      <c r="B1477" s="23">
        <f t="shared" si="225"/>
        <v>46113</v>
      </c>
      <c r="C1477" s="2" t="s">
        <v>82</v>
      </c>
      <c r="D1477" s="2" t="s">
        <v>415</v>
      </c>
      <c r="E1477" s="2">
        <v>9264</v>
      </c>
      <c r="F1477" s="2">
        <v>49</v>
      </c>
      <c r="G1477" s="2">
        <v>49</v>
      </c>
      <c r="H1477" s="2">
        <v>48</v>
      </c>
      <c r="I1477" s="2">
        <f t="shared" si="226"/>
        <v>1</v>
      </c>
      <c r="J1477" s="44" t="s">
        <v>93</v>
      </c>
      <c r="K1477" s="2">
        <v>100</v>
      </c>
      <c r="L1477" s="2">
        <v>1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/>
      <c r="AM1477" s="2" t="s">
        <v>93</v>
      </c>
      <c r="AN1477" s="2">
        <f t="shared" si="227"/>
        <v>1</v>
      </c>
      <c r="AO1477" s="2">
        <f t="shared" si="228"/>
        <v>0</v>
      </c>
      <c r="AP1477" s="2">
        <f t="shared" si="229"/>
        <v>0</v>
      </c>
      <c r="AQ1477" s="2">
        <f t="shared" si="230"/>
        <v>0</v>
      </c>
      <c r="AR1477" s="2">
        <f t="shared" si="231"/>
        <v>0</v>
      </c>
      <c r="AS1477" s="2">
        <f t="shared" si="232"/>
        <v>0</v>
      </c>
      <c r="AT1477" s="25">
        <f t="shared" si="233"/>
        <v>0</v>
      </c>
    </row>
    <row r="1478" spans="1:46">
      <c r="A1478" s="24">
        <v>46132</v>
      </c>
      <c r="B1478" s="23">
        <f t="shared" si="225"/>
        <v>46113</v>
      </c>
      <c r="C1478" s="2" t="s">
        <v>82</v>
      </c>
      <c r="D1478" s="2" t="s">
        <v>260</v>
      </c>
      <c r="E1478" s="2">
        <v>3295</v>
      </c>
      <c r="F1478" s="2">
        <v>34</v>
      </c>
      <c r="G1478" s="2">
        <v>34</v>
      </c>
      <c r="H1478" s="2">
        <v>34</v>
      </c>
      <c r="I1478" s="2">
        <f t="shared" si="226"/>
        <v>0</v>
      </c>
      <c r="J1478" s="44" t="s">
        <v>93</v>
      </c>
      <c r="K1478" s="2">
        <v>100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/>
      <c r="AM1478" s="2" t="s">
        <v>93</v>
      </c>
      <c r="AN1478" s="2">
        <f t="shared" si="227"/>
        <v>0</v>
      </c>
      <c r="AO1478" s="2">
        <f t="shared" si="228"/>
        <v>0</v>
      </c>
      <c r="AP1478" s="2">
        <f t="shared" si="229"/>
        <v>0</v>
      </c>
      <c r="AQ1478" s="2">
        <f t="shared" si="230"/>
        <v>0</v>
      </c>
      <c r="AR1478" s="2">
        <f t="shared" si="231"/>
        <v>0</v>
      </c>
      <c r="AS1478" s="2">
        <f t="shared" si="232"/>
        <v>0</v>
      </c>
      <c r="AT1478" s="25">
        <f t="shared" si="233"/>
        <v>0</v>
      </c>
    </row>
    <row r="1479" spans="1:46">
      <c r="A1479" s="24">
        <v>46132</v>
      </c>
      <c r="B1479" s="23">
        <f t="shared" si="225"/>
        <v>46113</v>
      </c>
      <c r="C1479" s="2" t="s">
        <v>82</v>
      </c>
      <c r="D1479" s="2" t="s">
        <v>116</v>
      </c>
      <c r="E1479" s="2">
        <v>2678</v>
      </c>
      <c r="F1479" s="2">
        <v>32</v>
      </c>
      <c r="G1479" s="2">
        <v>32</v>
      </c>
      <c r="H1479" s="2">
        <v>32</v>
      </c>
      <c r="I1479" s="2">
        <f t="shared" si="226"/>
        <v>0</v>
      </c>
      <c r="J1479" s="44" t="s">
        <v>93</v>
      </c>
      <c r="K1479" s="2">
        <v>100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/>
      <c r="AM1479" s="2" t="s">
        <v>93</v>
      </c>
      <c r="AN1479" s="2">
        <f t="shared" si="227"/>
        <v>0</v>
      </c>
      <c r="AO1479" s="2">
        <f t="shared" si="228"/>
        <v>0</v>
      </c>
      <c r="AP1479" s="2">
        <f t="shared" si="229"/>
        <v>0</v>
      </c>
      <c r="AQ1479" s="2">
        <f t="shared" si="230"/>
        <v>0</v>
      </c>
      <c r="AR1479" s="2">
        <f t="shared" si="231"/>
        <v>0</v>
      </c>
      <c r="AS1479" s="2">
        <f t="shared" si="232"/>
        <v>0</v>
      </c>
      <c r="AT1479" s="25">
        <f t="shared" si="233"/>
        <v>0</v>
      </c>
    </row>
    <row r="1480" spans="1:46">
      <c r="A1480" s="24">
        <v>46132</v>
      </c>
      <c r="B1480" s="23">
        <f t="shared" si="225"/>
        <v>46113</v>
      </c>
      <c r="C1480" s="2" t="s">
        <v>160</v>
      </c>
      <c r="D1480" s="2" t="s">
        <v>381</v>
      </c>
      <c r="E1480" s="2">
        <v>3287</v>
      </c>
      <c r="F1480" s="2">
        <v>119</v>
      </c>
      <c r="G1480" s="2">
        <v>119</v>
      </c>
      <c r="H1480" s="2">
        <v>118</v>
      </c>
      <c r="I1480" s="2">
        <f t="shared" si="226"/>
        <v>1</v>
      </c>
      <c r="J1480" s="44" t="s">
        <v>93</v>
      </c>
      <c r="K1480" s="2">
        <v>100</v>
      </c>
      <c r="L1480" s="2">
        <v>1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/>
      <c r="AM1480" s="2" t="s">
        <v>93</v>
      </c>
      <c r="AN1480" s="2">
        <f t="shared" si="227"/>
        <v>1</v>
      </c>
      <c r="AO1480" s="2">
        <f t="shared" si="228"/>
        <v>0</v>
      </c>
      <c r="AP1480" s="2">
        <f t="shared" si="229"/>
        <v>0</v>
      </c>
      <c r="AQ1480" s="2">
        <f t="shared" si="230"/>
        <v>0</v>
      </c>
      <c r="AR1480" s="2">
        <f t="shared" si="231"/>
        <v>0</v>
      </c>
      <c r="AS1480" s="2">
        <f t="shared" si="232"/>
        <v>0</v>
      </c>
      <c r="AT1480" s="25">
        <f t="shared" si="233"/>
        <v>0</v>
      </c>
    </row>
    <row r="1481" spans="1:46">
      <c r="A1481" s="24">
        <v>46132</v>
      </c>
      <c r="B1481" s="23">
        <f t="shared" si="225"/>
        <v>46113</v>
      </c>
      <c r="C1481" s="2" t="s">
        <v>97</v>
      </c>
      <c r="D1481" s="2" t="s">
        <v>402</v>
      </c>
      <c r="E1481" s="2">
        <v>6237</v>
      </c>
      <c r="F1481" s="2">
        <v>337</v>
      </c>
      <c r="G1481" s="2">
        <v>337</v>
      </c>
      <c r="H1481" s="2">
        <v>327</v>
      </c>
      <c r="I1481" s="2">
        <f t="shared" si="226"/>
        <v>10</v>
      </c>
      <c r="J1481" s="44" t="s">
        <v>110</v>
      </c>
      <c r="K1481" s="2">
        <v>100</v>
      </c>
      <c r="L1481" s="2">
        <v>6</v>
      </c>
      <c r="M1481" s="2">
        <v>0</v>
      </c>
      <c r="N1481" s="2">
        <v>0</v>
      </c>
      <c r="O1481" s="2">
        <v>0</v>
      </c>
      <c r="P1481" s="2">
        <v>0</v>
      </c>
      <c r="Q1481" s="2">
        <v>2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2</v>
      </c>
      <c r="AL1481" s="2"/>
      <c r="AM1481" s="2" t="s">
        <v>110</v>
      </c>
      <c r="AN1481" s="2">
        <f t="shared" si="227"/>
        <v>6</v>
      </c>
      <c r="AO1481" s="2">
        <f t="shared" si="228"/>
        <v>2</v>
      </c>
      <c r="AP1481" s="2">
        <f t="shared" si="229"/>
        <v>0</v>
      </c>
      <c r="AQ1481" s="2">
        <f t="shared" si="230"/>
        <v>2</v>
      </c>
      <c r="AR1481" s="2">
        <f t="shared" si="231"/>
        <v>0</v>
      </c>
      <c r="AS1481" s="2">
        <f t="shared" si="232"/>
        <v>0</v>
      </c>
      <c r="AT1481" s="25">
        <f t="shared" si="233"/>
        <v>0</v>
      </c>
    </row>
    <row r="1482" spans="1:46">
      <c r="A1482" s="24">
        <v>46132</v>
      </c>
      <c r="B1482" s="23">
        <f t="shared" si="225"/>
        <v>46113</v>
      </c>
      <c r="C1482" s="2" t="s">
        <v>66</v>
      </c>
      <c r="D1482" s="2" t="s">
        <v>1403</v>
      </c>
      <c r="E1482" s="2">
        <v>10060</v>
      </c>
      <c r="F1482" s="2">
        <v>44</v>
      </c>
      <c r="G1482" s="2">
        <v>44</v>
      </c>
      <c r="H1482" s="2">
        <v>41</v>
      </c>
      <c r="I1482" s="2">
        <f t="shared" si="226"/>
        <v>3</v>
      </c>
      <c r="J1482" s="44" t="s">
        <v>110</v>
      </c>
      <c r="K1482" s="2">
        <v>100</v>
      </c>
      <c r="L1482" s="2">
        <v>3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/>
      <c r="AM1482" s="2" t="s">
        <v>110</v>
      </c>
      <c r="AN1482" s="2">
        <f t="shared" si="227"/>
        <v>3</v>
      </c>
      <c r="AO1482" s="2">
        <f t="shared" si="228"/>
        <v>0</v>
      </c>
      <c r="AP1482" s="2">
        <f t="shared" si="229"/>
        <v>0</v>
      </c>
      <c r="AQ1482" s="2">
        <f t="shared" si="230"/>
        <v>0</v>
      </c>
      <c r="AR1482" s="2">
        <f t="shared" si="231"/>
        <v>0</v>
      </c>
      <c r="AS1482" s="2">
        <f t="shared" si="232"/>
        <v>0</v>
      </c>
      <c r="AT1482" s="25">
        <f t="shared" si="233"/>
        <v>0</v>
      </c>
    </row>
    <row r="1483" spans="1:46">
      <c r="A1483" s="24">
        <v>46132</v>
      </c>
      <c r="B1483" s="23">
        <f t="shared" si="225"/>
        <v>46113</v>
      </c>
      <c r="C1483" s="2" t="s">
        <v>66</v>
      </c>
      <c r="D1483" s="2" t="s">
        <v>1301</v>
      </c>
      <c r="E1483" s="2">
        <v>3276</v>
      </c>
      <c r="F1483" s="2">
        <v>27</v>
      </c>
      <c r="G1483" s="2">
        <v>27</v>
      </c>
      <c r="H1483" s="2">
        <v>27</v>
      </c>
      <c r="I1483" s="2">
        <f t="shared" si="226"/>
        <v>0</v>
      </c>
      <c r="J1483" s="44" t="s">
        <v>110</v>
      </c>
      <c r="K1483" s="2">
        <v>100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/>
      <c r="AM1483" s="2" t="s">
        <v>110</v>
      </c>
      <c r="AN1483" s="2">
        <f t="shared" si="227"/>
        <v>0</v>
      </c>
      <c r="AO1483" s="2">
        <f t="shared" si="228"/>
        <v>0</v>
      </c>
      <c r="AP1483" s="2">
        <f t="shared" si="229"/>
        <v>0</v>
      </c>
      <c r="AQ1483" s="2">
        <f t="shared" si="230"/>
        <v>0</v>
      </c>
      <c r="AR1483" s="2">
        <f t="shared" si="231"/>
        <v>0</v>
      </c>
      <c r="AS1483" s="2">
        <f t="shared" si="232"/>
        <v>0</v>
      </c>
      <c r="AT1483" s="25">
        <f t="shared" si="233"/>
        <v>0</v>
      </c>
    </row>
    <row r="1484" spans="1:46">
      <c r="A1484" s="24">
        <v>46132</v>
      </c>
      <c r="B1484" s="23">
        <f t="shared" si="225"/>
        <v>46113</v>
      </c>
      <c r="C1484" s="2" t="s">
        <v>97</v>
      </c>
      <c r="D1484" s="2" t="s">
        <v>370</v>
      </c>
      <c r="E1484" s="2">
        <v>6237</v>
      </c>
      <c r="F1484" s="2">
        <v>17</v>
      </c>
      <c r="G1484" s="2">
        <v>17</v>
      </c>
      <c r="H1484" s="2">
        <v>17</v>
      </c>
      <c r="I1484" s="2">
        <f t="shared" si="226"/>
        <v>0</v>
      </c>
      <c r="J1484" s="44" t="s">
        <v>110</v>
      </c>
      <c r="K1484" s="2">
        <v>100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/>
      <c r="AM1484" s="2" t="s">
        <v>110</v>
      </c>
      <c r="AN1484" s="2">
        <f t="shared" si="227"/>
        <v>0</v>
      </c>
      <c r="AO1484" s="2">
        <f t="shared" si="228"/>
        <v>0</v>
      </c>
      <c r="AP1484" s="2">
        <f t="shared" si="229"/>
        <v>0</v>
      </c>
      <c r="AQ1484" s="2">
        <f t="shared" si="230"/>
        <v>0</v>
      </c>
      <c r="AR1484" s="2">
        <f t="shared" si="231"/>
        <v>0</v>
      </c>
      <c r="AS1484" s="2">
        <f t="shared" si="232"/>
        <v>0</v>
      </c>
      <c r="AT1484" s="25">
        <f t="shared" si="233"/>
        <v>0</v>
      </c>
    </row>
    <row r="1485" spans="1:46">
      <c r="A1485" s="24">
        <v>46132</v>
      </c>
      <c r="B1485" s="23">
        <f t="shared" si="225"/>
        <v>46113</v>
      </c>
      <c r="C1485" s="2" t="s">
        <v>97</v>
      </c>
      <c r="D1485" s="2" t="s">
        <v>402</v>
      </c>
      <c r="E1485" s="2">
        <v>6237</v>
      </c>
      <c r="F1485" s="2">
        <v>389</v>
      </c>
      <c r="G1485" s="2">
        <v>389</v>
      </c>
      <c r="H1485" s="2">
        <v>368</v>
      </c>
      <c r="I1485" s="2">
        <f t="shared" si="226"/>
        <v>21</v>
      </c>
      <c r="J1485" s="44" t="s">
        <v>110</v>
      </c>
      <c r="K1485" s="2">
        <v>100</v>
      </c>
      <c r="L1485" s="2">
        <v>2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19</v>
      </c>
      <c r="AL1485" s="2"/>
      <c r="AM1485" s="2" t="s">
        <v>110</v>
      </c>
      <c r="AN1485" s="2">
        <f t="shared" si="227"/>
        <v>2</v>
      </c>
      <c r="AO1485" s="2">
        <f t="shared" si="228"/>
        <v>0</v>
      </c>
      <c r="AP1485" s="2">
        <f t="shared" si="229"/>
        <v>0</v>
      </c>
      <c r="AQ1485" s="2">
        <f t="shared" si="230"/>
        <v>19</v>
      </c>
      <c r="AR1485" s="2">
        <f t="shared" si="231"/>
        <v>0</v>
      </c>
      <c r="AS1485" s="2">
        <f t="shared" si="232"/>
        <v>0</v>
      </c>
      <c r="AT1485" s="25">
        <f t="shared" si="233"/>
        <v>0</v>
      </c>
    </row>
    <row r="1486" spans="1:46">
      <c r="A1486" s="24">
        <v>46132</v>
      </c>
      <c r="B1486" s="23">
        <f t="shared" si="225"/>
        <v>46113</v>
      </c>
      <c r="C1486" s="2" t="s">
        <v>97</v>
      </c>
      <c r="D1486" s="2" t="s">
        <v>373</v>
      </c>
      <c r="E1486" s="2">
        <v>6237</v>
      </c>
      <c r="F1486" s="2">
        <v>325</v>
      </c>
      <c r="G1486" s="2">
        <v>325</v>
      </c>
      <c r="H1486" s="2">
        <v>323</v>
      </c>
      <c r="I1486" s="2">
        <f t="shared" si="226"/>
        <v>2</v>
      </c>
      <c r="J1486" s="44" t="s">
        <v>110</v>
      </c>
      <c r="K1486" s="2">
        <v>100</v>
      </c>
      <c r="L1486" s="2">
        <v>1</v>
      </c>
      <c r="M1486" s="2">
        <v>0</v>
      </c>
      <c r="N1486" s="2">
        <v>0</v>
      </c>
      <c r="O1486" s="2">
        <v>0</v>
      </c>
      <c r="P1486" s="2">
        <v>1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/>
      <c r="AM1486" s="2" t="s">
        <v>110</v>
      </c>
      <c r="AN1486" s="2">
        <f t="shared" si="227"/>
        <v>1</v>
      </c>
      <c r="AO1486" s="2">
        <f t="shared" si="228"/>
        <v>1</v>
      </c>
      <c r="AP1486" s="2">
        <f t="shared" si="229"/>
        <v>0</v>
      </c>
      <c r="AQ1486" s="2">
        <f t="shared" si="230"/>
        <v>0</v>
      </c>
      <c r="AR1486" s="2">
        <f t="shared" si="231"/>
        <v>0</v>
      </c>
      <c r="AS1486" s="2">
        <f t="shared" si="232"/>
        <v>0</v>
      </c>
      <c r="AT1486" s="25">
        <f t="shared" si="233"/>
        <v>0</v>
      </c>
    </row>
    <row r="1487" spans="1:46">
      <c r="A1487" s="24">
        <v>46132</v>
      </c>
      <c r="B1487" s="23">
        <f t="shared" ref="B1487:B1550" si="234">EOMONTH(A1487,-1)+1</f>
        <v>46113</v>
      </c>
      <c r="C1487" s="2" t="s">
        <v>55</v>
      </c>
      <c r="D1487" s="2" t="s">
        <v>132</v>
      </c>
      <c r="E1487" s="2">
        <v>1775</v>
      </c>
      <c r="F1487" s="2">
        <v>39</v>
      </c>
      <c r="G1487" s="2">
        <v>39</v>
      </c>
      <c r="H1487" s="2">
        <v>36</v>
      </c>
      <c r="I1487" s="2">
        <f t="shared" ref="I1487:I1550" si="235">F1487-H1487</f>
        <v>3</v>
      </c>
      <c r="J1487" s="44" t="s">
        <v>1566</v>
      </c>
      <c r="K1487" s="2">
        <v>100</v>
      </c>
      <c r="L1487" s="2">
        <v>3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/>
      <c r="AM1487" s="2" t="s">
        <v>1566</v>
      </c>
      <c r="AN1487" s="2">
        <f t="shared" ref="AN1487:AN1550" si="236">+L1487+AI1487</f>
        <v>3</v>
      </c>
      <c r="AO1487" s="2">
        <f t="shared" ref="AO1487:AO1550" si="237">+M1487+N1487+O1487+P1487+Q1487+R1487+S1487+T1487+U1487+V1487</f>
        <v>0</v>
      </c>
      <c r="AP1487" s="2">
        <f t="shared" ref="AP1487:AP1550" si="238">+AE1487+AF1487</f>
        <v>0</v>
      </c>
      <c r="AQ1487" s="2">
        <f t="shared" ref="AQ1487:AQ1550" si="239">+AK1487+AD1487+AC1487+AJ1487</f>
        <v>0</v>
      </c>
      <c r="AR1487" s="2">
        <f t="shared" ref="AR1487:AR1550" si="240">+W1487+X1487+Y1487+Z1487+AA1487+AB1487</f>
        <v>0</v>
      </c>
      <c r="AS1487" s="2">
        <f t="shared" ref="AS1487:AS1550" si="241">+AG1487</f>
        <v>0</v>
      </c>
      <c r="AT1487" s="25">
        <f t="shared" ref="AT1487:AT1550" si="242">+AH1487</f>
        <v>0</v>
      </c>
    </row>
    <row r="1488" spans="1:46">
      <c r="A1488" s="24">
        <v>46132</v>
      </c>
      <c r="B1488" s="23">
        <f t="shared" si="234"/>
        <v>46113</v>
      </c>
      <c r="C1488" s="2" t="s">
        <v>55</v>
      </c>
      <c r="D1488" s="2" t="s">
        <v>59</v>
      </c>
      <c r="E1488" s="2">
        <v>1775</v>
      </c>
      <c r="F1488" s="2">
        <v>35</v>
      </c>
      <c r="G1488" s="2">
        <v>35</v>
      </c>
      <c r="H1488" s="2">
        <v>34</v>
      </c>
      <c r="I1488" s="2">
        <f t="shared" si="235"/>
        <v>1</v>
      </c>
      <c r="J1488" s="44" t="s">
        <v>1566</v>
      </c>
      <c r="K1488" s="2">
        <v>100</v>
      </c>
      <c r="L1488" s="2">
        <v>1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/>
      <c r="AM1488" s="2" t="s">
        <v>1566</v>
      </c>
      <c r="AN1488" s="2">
        <f t="shared" si="236"/>
        <v>1</v>
      </c>
      <c r="AO1488" s="2">
        <f t="shared" si="237"/>
        <v>0</v>
      </c>
      <c r="AP1488" s="2">
        <f t="shared" si="238"/>
        <v>0</v>
      </c>
      <c r="AQ1488" s="2">
        <f t="shared" si="239"/>
        <v>0</v>
      </c>
      <c r="AR1488" s="2">
        <f t="shared" si="240"/>
        <v>0</v>
      </c>
      <c r="AS1488" s="2">
        <f t="shared" si="241"/>
        <v>0</v>
      </c>
      <c r="AT1488" s="25">
        <f t="shared" si="242"/>
        <v>0</v>
      </c>
    </row>
    <row r="1489" spans="1:46">
      <c r="A1489" s="24">
        <v>46132</v>
      </c>
      <c r="B1489" s="23">
        <f t="shared" si="234"/>
        <v>46113</v>
      </c>
      <c r="C1489" s="2" t="s">
        <v>133</v>
      </c>
      <c r="D1489" s="2" t="s">
        <v>295</v>
      </c>
      <c r="E1489" s="2">
        <v>6270</v>
      </c>
      <c r="F1489" s="2">
        <v>50</v>
      </c>
      <c r="G1489" s="2">
        <v>50</v>
      </c>
      <c r="H1489" s="2">
        <v>47</v>
      </c>
      <c r="I1489" s="2">
        <f t="shared" si="235"/>
        <v>3</v>
      </c>
      <c r="J1489" s="44" t="s">
        <v>1566</v>
      </c>
      <c r="K1489" s="2">
        <v>100</v>
      </c>
      <c r="L1489" s="2">
        <v>2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1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/>
      <c r="AM1489" s="2" t="s">
        <v>1566</v>
      </c>
      <c r="AN1489" s="2">
        <f t="shared" si="236"/>
        <v>2</v>
      </c>
      <c r="AO1489" s="2">
        <f t="shared" si="237"/>
        <v>1</v>
      </c>
      <c r="AP1489" s="2">
        <f t="shared" si="238"/>
        <v>0</v>
      </c>
      <c r="AQ1489" s="2">
        <f t="shared" si="239"/>
        <v>0</v>
      </c>
      <c r="AR1489" s="2">
        <f t="shared" si="240"/>
        <v>0</v>
      </c>
      <c r="AS1489" s="2">
        <f t="shared" si="241"/>
        <v>0</v>
      </c>
      <c r="AT1489" s="25">
        <f t="shared" si="242"/>
        <v>0</v>
      </c>
    </row>
    <row r="1490" spans="1:46">
      <c r="A1490" s="24">
        <v>46132</v>
      </c>
      <c r="B1490" s="23">
        <f t="shared" si="234"/>
        <v>46113</v>
      </c>
      <c r="C1490" s="2" t="s">
        <v>133</v>
      </c>
      <c r="D1490" s="2" t="s">
        <v>1583</v>
      </c>
      <c r="E1490" s="2">
        <v>3344</v>
      </c>
      <c r="F1490" s="2">
        <v>45</v>
      </c>
      <c r="G1490" s="2">
        <v>45</v>
      </c>
      <c r="H1490" s="2">
        <v>38</v>
      </c>
      <c r="I1490" s="2">
        <f t="shared" si="235"/>
        <v>7</v>
      </c>
      <c r="J1490" s="44" t="s">
        <v>1566</v>
      </c>
      <c r="K1490" s="2">
        <v>100</v>
      </c>
      <c r="L1490" s="2">
        <v>3</v>
      </c>
      <c r="M1490" s="2">
        <v>0</v>
      </c>
      <c r="N1490" s="2">
        <v>0</v>
      </c>
      <c r="O1490" s="2">
        <v>1</v>
      </c>
      <c r="P1490" s="2">
        <v>2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1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/>
      <c r="AM1490" s="2" t="s">
        <v>1566</v>
      </c>
      <c r="AN1490" s="2">
        <f t="shared" si="236"/>
        <v>3</v>
      </c>
      <c r="AO1490" s="2">
        <f t="shared" si="237"/>
        <v>4</v>
      </c>
      <c r="AP1490" s="2">
        <f t="shared" si="238"/>
        <v>0</v>
      </c>
      <c r="AQ1490" s="2">
        <f t="shared" si="239"/>
        <v>0</v>
      </c>
      <c r="AR1490" s="2">
        <f t="shared" si="240"/>
        <v>0</v>
      </c>
      <c r="AS1490" s="2">
        <f t="shared" si="241"/>
        <v>0</v>
      </c>
      <c r="AT1490" s="25">
        <f t="shared" si="242"/>
        <v>0</v>
      </c>
    </row>
    <row r="1491" spans="1:46">
      <c r="A1491" s="24">
        <v>46132</v>
      </c>
      <c r="B1491" s="23">
        <f t="shared" si="234"/>
        <v>46113</v>
      </c>
      <c r="C1491" s="2" t="s">
        <v>55</v>
      </c>
      <c r="D1491" s="2" t="s">
        <v>1210</v>
      </c>
      <c r="E1491" s="2">
        <v>3022</v>
      </c>
      <c r="F1491" s="2">
        <v>16</v>
      </c>
      <c r="G1491" s="2">
        <v>16</v>
      </c>
      <c r="H1491" s="2">
        <v>15</v>
      </c>
      <c r="I1491" s="2">
        <f t="shared" si="235"/>
        <v>1</v>
      </c>
      <c r="J1491" s="44" t="s">
        <v>1566</v>
      </c>
      <c r="K1491" s="2">
        <v>100</v>
      </c>
      <c r="L1491" s="2">
        <v>1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/>
      <c r="AM1491" s="2" t="s">
        <v>1566</v>
      </c>
      <c r="AN1491" s="2">
        <f t="shared" si="236"/>
        <v>1</v>
      </c>
      <c r="AO1491" s="2">
        <f t="shared" si="237"/>
        <v>0</v>
      </c>
      <c r="AP1491" s="2">
        <f t="shared" si="238"/>
        <v>0</v>
      </c>
      <c r="AQ1491" s="2">
        <f t="shared" si="239"/>
        <v>0</v>
      </c>
      <c r="AR1491" s="2">
        <f t="shared" si="240"/>
        <v>0</v>
      </c>
      <c r="AS1491" s="2">
        <f t="shared" si="241"/>
        <v>0</v>
      </c>
      <c r="AT1491" s="25">
        <f t="shared" si="242"/>
        <v>0</v>
      </c>
    </row>
    <row r="1492" spans="1:46">
      <c r="A1492" s="24">
        <v>46132</v>
      </c>
      <c r="B1492" s="23">
        <f t="shared" si="234"/>
        <v>46113</v>
      </c>
      <c r="C1492" s="2" t="s">
        <v>1484</v>
      </c>
      <c r="D1492" s="2" t="s">
        <v>347</v>
      </c>
      <c r="E1492" s="2">
        <v>3240</v>
      </c>
      <c r="F1492" s="2">
        <v>115</v>
      </c>
      <c r="G1492" s="2">
        <v>115</v>
      </c>
      <c r="H1492" s="2">
        <v>115</v>
      </c>
      <c r="I1492" s="2">
        <f t="shared" si="235"/>
        <v>0</v>
      </c>
      <c r="J1492" s="44" t="s">
        <v>1566</v>
      </c>
      <c r="K1492" s="2">
        <v>100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/>
      <c r="AM1492" s="2" t="s">
        <v>1566</v>
      </c>
      <c r="AN1492" s="2">
        <f t="shared" si="236"/>
        <v>0</v>
      </c>
      <c r="AO1492" s="2">
        <f t="shared" si="237"/>
        <v>0</v>
      </c>
      <c r="AP1492" s="2">
        <f t="shared" si="238"/>
        <v>0</v>
      </c>
      <c r="AQ1492" s="2">
        <f t="shared" si="239"/>
        <v>0</v>
      </c>
      <c r="AR1492" s="2">
        <f t="shared" si="240"/>
        <v>0</v>
      </c>
      <c r="AS1492" s="2">
        <f t="shared" si="241"/>
        <v>0</v>
      </c>
      <c r="AT1492" s="25">
        <f t="shared" si="242"/>
        <v>0</v>
      </c>
    </row>
    <row r="1493" spans="1:46">
      <c r="A1493" s="24">
        <v>46132</v>
      </c>
      <c r="B1493" s="23">
        <f t="shared" si="234"/>
        <v>46113</v>
      </c>
      <c r="C1493" s="2" t="s">
        <v>62</v>
      </c>
      <c r="D1493" s="2" t="s">
        <v>78</v>
      </c>
      <c r="E1493" s="2">
        <v>3305</v>
      </c>
      <c r="F1493" s="2">
        <v>27</v>
      </c>
      <c r="G1493" s="2">
        <v>27</v>
      </c>
      <c r="H1493" s="2">
        <v>24</v>
      </c>
      <c r="I1493" s="2">
        <f t="shared" si="235"/>
        <v>3</v>
      </c>
      <c r="J1493" s="44" t="s">
        <v>1568</v>
      </c>
      <c r="K1493" s="2">
        <v>100</v>
      </c>
      <c r="L1493" s="2">
        <v>3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/>
      <c r="AM1493" s="2" t="s">
        <v>1568</v>
      </c>
      <c r="AN1493" s="2">
        <f t="shared" si="236"/>
        <v>3</v>
      </c>
      <c r="AO1493" s="2">
        <f t="shared" si="237"/>
        <v>0</v>
      </c>
      <c r="AP1493" s="2">
        <f t="shared" si="238"/>
        <v>0</v>
      </c>
      <c r="AQ1493" s="2">
        <f t="shared" si="239"/>
        <v>0</v>
      </c>
      <c r="AR1493" s="2">
        <f t="shared" si="240"/>
        <v>0</v>
      </c>
      <c r="AS1493" s="2">
        <f t="shared" si="241"/>
        <v>0</v>
      </c>
      <c r="AT1493" s="25">
        <f t="shared" si="242"/>
        <v>0</v>
      </c>
    </row>
    <row r="1494" spans="1:46">
      <c r="A1494" s="24">
        <v>46132</v>
      </c>
      <c r="B1494" s="23">
        <f t="shared" si="234"/>
        <v>46113</v>
      </c>
      <c r="C1494" s="2" t="s">
        <v>62</v>
      </c>
      <c r="D1494" s="2" t="s">
        <v>109</v>
      </c>
      <c r="E1494" s="2">
        <v>7131</v>
      </c>
      <c r="F1494" s="2">
        <v>40</v>
      </c>
      <c r="G1494" s="2">
        <v>40</v>
      </c>
      <c r="H1494" s="2">
        <v>39</v>
      </c>
      <c r="I1494" s="2">
        <f t="shared" si="235"/>
        <v>1</v>
      </c>
      <c r="J1494" s="44" t="s">
        <v>1568</v>
      </c>
      <c r="K1494" s="2">
        <v>100</v>
      </c>
      <c r="L1494" s="2">
        <v>1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/>
      <c r="AM1494" s="2" t="s">
        <v>1568</v>
      </c>
      <c r="AN1494" s="2">
        <f t="shared" si="236"/>
        <v>1</v>
      </c>
      <c r="AO1494" s="2">
        <f t="shared" si="237"/>
        <v>0</v>
      </c>
      <c r="AP1494" s="2">
        <f t="shared" si="238"/>
        <v>0</v>
      </c>
      <c r="AQ1494" s="2">
        <f t="shared" si="239"/>
        <v>0</v>
      </c>
      <c r="AR1494" s="2">
        <f t="shared" si="240"/>
        <v>0</v>
      </c>
      <c r="AS1494" s="2">
        <f t="shared" si="241"/>
        <v>0</v>
      </c>
      <c r="AT1494" s="25">
        <f t="shared" si="242"/>
        <v>0</v>
      </c>
    </row>
    <row r="1495" spans="1:46">
      <c r="A1495" s="24">
        <v>46132</v>
      </c>
      <c r="B1495" s="23">
        <f t="shared" si="234"/>
        <v>46113</v>
      </c>
      <c r="C1495" s="2" t="s">
        <v>62</v>
      </c>
      <c r="D1495" s="2" t="s">
        <v>1465</v>
      </c>
      <c r="E1495" s="2">
        <v>2417</v>
      </c>
      <c r="F1495" s="2">
        <v>29</v>
      </c>
      <c r="G1495" s="2">
        <v>29</v>
      </c>
      <c r="H1495" s="2">
        <v>28</v>
      </c>
      <c r="I1495" s="2">
        <f t="shared" si="235"/>
        <v>1</v>
      </c>
      <c r="J1495" s="44" t="s">
        <v>1568</v>
      </c>
      <c r="K1495" s="2">
        <v>100</v>
      </c>
      <c r="L1495" s="2">
        <v>1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/>
      <c r="AM1495" s="2" t="s">
        <v>1568</v>
      </c>
      <c r="AN1495" s="2">
        <f t="shared" si="236"/>
        <v>1</v>
      </c>
      <c r="AO1495" s="2">
        <f t="shared" si="237"/>
        <v>0</v>
      </c>
      <c r="AP1495" s="2">
        <f t="shared" si="238"/>
        <v>0</v>
      </c>
      <c r="AQ1495" s="2">
        <f t="shared" si="239"/>
        <v>0</v>
      </c>
      <c r="AR1495" s="2">
        <f t="shared" si="240"/>
        <v>0</v>
      </c>
      <c r="AS1495" s="2">
        <f t="shared" si="241"/>
        <v>0</v>
      </c>
      <c r="AT1495" s="25">
        <f t="shared" si="242"/>
        <v>0</v>
      </c>
    </row>
    <row r="1496" spans="1:46">
      <c r="A1496" s="24">
        <v>46132</v>
      </c>
      <c r="B1496" s="23">
        <f t="shared" si="234"/>
        <v>46113</v>
      </c>
      <c r="C1496" s="2" t="s">
        <v>62</v>
      </c>
      <c r="D1496" s="2" t="s">
        <v>334</v>
      </c>
      <c r="E1496" s="2">
        <v>3246</v>
      </c>
      <c r="F1496" s="2">
        <v>167</v>
      </c>
      <c r="G1496" s="2">
        <v>167</v>
      </c>
      <c r="H1496" s="2">
        <v>157</v>
      </c>
      <c r="I1496" s="2">
        <f t="shared" si="235"/>
        <v>10</v>
      </c>
      <c r="J1496" s="44" t="s">
        <v>1568</v>
      </c>
      <c r="K1496" s="2">
        <v>100</v>
      </c>
      <c r="L1496" s="2">
        <v>10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/>
      <c r="AM1496" s="2" t="s">
        <v>1568</v>
      </c>
      <c r="AN1496" s="2">
        <f t="shared" si="236"/>
        <v>10</v>
      </c>
      <c r="AO1496" s="2">
        <f t="shared" si="237"/>
        <v>0</v>
      </c>
      <c r="AP1496" s="2">
        <f t="shared" si="238"/>
        <v>0</v>
      </c>
      <c r="AQ1496" s="2">
        <f t="shared" si="239"/>
        <v>0</v>
      </c>
      <c r="AR1496" s="2">
        <f t="shared" si="240"/>
        <v>0</v>
      </c>
      <c r="AS1496" s="2">
        <f t="shared" si="241"/>
        <v>0</v>
      </c>
      <c r="AT1496" s="25">
        <f t="shared" si="242"/>
        <v>0</v>
      </c>
    </row>
    <row r="1497" spans="1:46">
      <c r="A1497" s="24">
        <v>46133</v>
      </c>
      <c r="B1497" s="23">
        <f t="shared" si="234"/>
        <v>46113</v>
      </c>
      <c r="C1497" s="2" t="s">
        <v>63</v>
      </c>
      <c r="D1497" s="2" t="s">
        <v>143</v>
      </c>
      <c r="E1497" s="2">
        <v>3255</v>
      </c>
      <c r="F1497" s="2">
        <v>45</v>
      </c>
      <c r="G1497" s="2">
        <v>45</v>
      </c>
      <c r="H1497" s="2">
        <v>45</v>
      </c>
      <c r="I1497" s="2">
        <f t="shared" si="235"/>
        <v>0</v>
      </c>
      <c r="J1497" s="44" t="s">
        <v>1568</v>
      </c>
      <c r="K1497" s="2">
        <v>100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/>
      <c r="AM1497" s="2" t="s">
        <v>1568</v>
      </c>
      <c r="AN1497" s="2">
        <f t="shared" si="236"/>
        <v>0</v>
      </c>
      <c r="AO1497" s="2">
        <f t="shared" si="237"/>
        <v>0</v>
      </c>
      <c r="AP1497" s="2">
        <f t="shared" si="238"/>
        <v>0</v>
      </c>
      <c r="AQ1497" s="2">
        <f t="shared" si="239"/>
        <v>0</v>
      </c>
      <c r="AR1497" s="2">
        <f t="shared" si="240"/>
        <v>0</v>
      </c>
      <c r="AS1497" s="2">
        <f t="shared" si="241"/>
        <v>0</v>
      </c>
      <c r="AT1497" s="25">
        <f t="shared" si="242"/>
        <v>0</v>
      </c>
    </row>
    <row r="1498" spans="1:46">
      <c r="A1498" s="24">
        <v>46133</v>
      </c>
      <c r="B1498" s="23">
        <f t="shared" si="234"/>
        <v>46113</v>
      </c>
      <c r="C1498" s="2" t="s">
        <v>62</v>
      </c>
      <c r="D1498" s="2" t="s">
        <v>1407</v>
      </c>
      <c r="E1498" s="2">
        <v>3330</v>
      </c>
      <c r="F1498" s="2">
        <v>20</v>
      </c>
      <c r="G1498" s="2">
        <v>20</v>
      </c>
      <c r="H1498" s="2">
        <v>20</v>
      </c>
      <c r="I1498" s="2">
        <f t="shared" si="235"/>
        <v>0</v>
      </c>
      <c r="J1498" s="44" t="s">
        <v>1568</v>
      </c>
      <c r="K1498" s="2">
        <v>100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/>
      <c r="AM1498" s="2" t="s">
        <v>1568</v>
      </c>
      <c r="AN1498" s="2">
        <f t="shared" si="236"/>
        <v>0</v>
      </c>
      <c r="AO1498" s="2">
        <f t="shared" si="237"/>
        <v>0</v>
      </c>
      <c r="AP1498" s="2">
        <f t="shared" si="238"/>
        <v>0</v>
      </c>
      <c r="AQ1498" s="2">
        <f t="shared" si="239"/>
        <v>0</v>
      </c>
      <c r="AR1498" s="2">
        <f t="shared" si="240"/>
        <v>0</v>
      </c>
      <c r="AS1498" s="2">
        <f t="shared" si="241"/>
        <v>0</v>
      </c>
      <c r="AT1498" s="25">
        <f t="shared" si="242"/>
        <v>0</v>
      </c>
    </row>
    <row r="1499" spans="1:46">
      <c r="A1499" s="24">
        <v>46133</v>
      </c>
      <c r="B1499" s="23">
        <f t="shared" si="234"/>
        <v>46113</v>
      </c>
      <c r="C1499" s="2" t="s">
        <v>63</v>
      </c>
      <c r="D1499" s="2" t="s">
        <v>307</v>
      </c>
      <c r="E1499" s="2">
        <v>8164</v>
      </c>
      <c r="F1499" s="2">
        <v>34</v>
      </c>
      <c r="G1499" s="2">
        <v>34</v>
      </c>
      <c r="H1499" s="2">
        <v>34</v>
      </c>
      <c r="I1499" s="2">
        <f t="shared" si="235"/>
        <v>0</v>
      </c>
      <c r="J1499" s="44" t="s">
        <v>1568</v>
      </c>
      <c r="K1499" s="2">
        <v>100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/>
      <c r="AM1499" s="2" t="s">
        <v>1568</v>
      </c>
      <c r="AN1499" s="2">
        <f t="shared" si="236"/>
        <v>0</v>
      </c>
      <c r="AO1499" s="2">
        <f t="shared" si="237"/>
        <v>0</v>
      </c>
      <c r="AP1499" s="2">
        <f t="shared" si="238"/>
        <v>0</v>
      </c>
      <c r="AQ1499" s="2">
        <f t="shared" si="239"/>
        <v>0</v>
      </c>
      <c r="AR1499" s="2">
        <f t="shared" si="240"/>
        <v>0</v>
      </c>
      <c r="AS1499" s="2">
        <f t="shared" si="241"/>
        <v>0</v>
      </c>
      <c r="AT1499" s="25">
        <f t="shared" si="242"/>
        <v>0</v>
      </c>
    </row>
    <row r="1500" spans="1:46">
      <c r="A1500" s="24">
        <v>46133</v>
      </c>
      <c r="B1500" s="23">
        <f t="shared" si="234"/>
        <v>46113</v>
      </c>
      <c r="C1500" s="2" t="s">
        <v>63</v>
      </c>
      <c r="D1500" s="2" t="s">
        <v>1304</v>
      </c>
      <c r="E1500" s="2">
        <v>6027</v>
      </c>
      <c r="F1500" s="2">
        <v>35</v>
      </c>
      <c r="G1500" s="2">
        <v>35</v>
      </c>
      <c r="H1500" s="2">
        <v>34</v>
      </c>
      <c r="I1500" s="2">
        <f t="shared" si="235"/>
        <v>1</v>
      </c>
      <c r="J1500" s="44" t="s">
        <v>1568</v>
      </c>
      <c r="K1500" s="2">
        <v>100</v>
      </c>
      <c r="L1500" s="2">
        <v>1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/>
      <c r="AM1500" s="2" t="s">
        <v>1568</v>
      </c>
      <c r="AN1500" s="2">
        <f t="shared" si="236"/>
        <v>1</v>
      </c>
      <c r="AO1500" s="2">
        <f t="shared" si="237"/>
        <v>0</v>
      </c>
      <c r="AP1500" s="2">
        <f t="shared" si="238"/>
        <v>0</v>
      </c>
      <c r="AQ1500" s="2">
        <f t="shared" si="239"/>
        <v>0</v>
      </c>
      <c r="AR1500" s="2">
        <f t="shared" si="240"/>
        <v>0</v>
      </c>
      <c r="AS1500" s="2">
        <f t="shared" si="241"/>
        <v>0</v>
      </c>
      <c r="AT1500" s="25">
        <f t="shared" si="242"/>
        <v>0</v>
      </c>
    </row>
    <row r="1501" spans="1:46">
      <c r="A1501" s="24">
        <v>46133</v>
      </c>
      <c r="B1501" s="23">
        <f t="shared" si="234"/>
        <v>46113</v>
      </c>
      <c r="C1501" s="2" t="s">
        <v>63</v>
      </c>
      <c r="D1501" s="2" t="s">
        <v>225</v>
      </c>
      <c r="E1501" s="2">
        <v>2598</v>
      </c>
      <c r="F1501" s="2">
        <v>34</v>
      </c>
      <c r="G1501" s="2">
        <v>34</v>
      </c>
      <c r="H1501" s="2">
        <v>32</v>
      </c>
      <c r="I1501" s="2">
        <f t="shared" si="235"/>
        <v>2</v>
      </c>
      <c r="J1501" s="44" t="s">
        <v>1568</v>
      </c>
      <c r="K1501" s="2">
        <v>100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2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/>
      <c r="AM1501" s="2" t="s">
        <v>1568</v>
      </c>
      <c r="AN1501" s="2">
        <f t="shared" si="236"/>
        <v>0</v>
      </c>
      <c r="AO1501" s="2">
        <f t="shared" si="237"/>
        <v>0</v>
      </c>
      <c r="AP1501" s="2">
        <f t="shared" si="238"/>
        <v>0</v>
      </c>
      <c r="AQ1501" s="2">
        <f t="shared" si="239"/>
        <v>2</v>
      </c>
      <c r="AR1501" s="2">
        <f t="shared" si="240"/>
        <v>0</v>
      </c>
      <c r="AS1501" s="2">
        <f t="shared" si="241"/>
        <v>0</v>
      </c>
      <c r="AT1501" s="25">
        <f t="shared" si="242"/>
        <v>0</v>
      </c>
    </row>
    <row r="1502" spans="1:46">
      <c r="A1502" s="24">
        <v>46133</v>
      </c>
      <c r="B1502" s="23">
        <f t="shared" si="234"/>
        <v>46113</v>
      </c>
      <c r="C1502" s="2" t="s">
        <v>63</v>
      </c>
      <c r="D1502" s="2" t="s">
        <v>138</v>
      </c>
      <c r="E1502" s="2">
        <v>2598</v>
      </c>
      <c r="F1502" s="2">
        <v>15</v>
      </c>
      <c r="G1502" s="2">
        <v>15</v>
      </c>
      <c r="H1502" s="2">
        <v>15</v>
      </c>
      <c r="I1502" s="2">
        <f t="shared" si="235"/>
        <v>0</v>
      </c>
      <c r="J1502" s="44" t="s">
        <v>1568</v>
      </c>
      <c r="K1502" s="2">
        <v>100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/>
      <c r="AM1502" s="2" t="s">
        <v>1568</v>
      </c>
      <c r="AN1502" s="2">
        <f t="shared" si="236"/>
        <v>0</v>
      </c>
      <c r="AO1502" s="2">
        <f t="shared" si="237"/>
        <v>0</v>
      </c>
      <c r="AP1502" s="2">
        <f t="shared" si="238"/>
        <v>0</v>
      </c>
      <c r="AQ1502" s="2">
        <f t="shared" si="239"/>
        <v>0</v>
      </c>
      <c r="AR1502" s="2">
        <f t="shared" si="240"/>
        <v>0</v>
      </c>
      <c r="AS1502" s="2">
        <f t="shared" si="241"/>
        <v>0</v>
      </c>
      <c r="AT1502" s="25">
        <f t="shared" si="242"/>
        <v>0</v>
      </c>
    </row>
    <row r="1503" spans="1:46">
      <c r="A1503" s="24">
        <v>46133</v>
      </c>
      <c r="B1503" s="23">
        <f t="shared" si="234"/>
        <v>46113</v>
      </c>
      <c r="C1503" s="2" t="s">
        <v>62</v>
      </c>
      <c r="D1503" s="2" t="s">
        <v>359</v>
      </c>
      <c r="E1503" s="2">
        <v>3246</v>
      </c>
      <c r="F1503" s="2">
        <v>41</v>
      </c>
      <c r="G1503" s="2">
        <v>41</v>
      </c>
      <c r="H1503" s="2">
        <v>41</v>
      </c>
      <c r="I1503" s="2">
        <f t="shared" si="235"/>
        <v>0</v>
      </c>
      <c r="J1503" s="44" t="s">
        <v>1568</v>
      </c>
      <c r="K1503" s="2">
        <v>100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/>
      <c r="AM1503" s="2" t="s">
        <v>1568</v>
      </c>
      <c r="AN1503" s="2">
        <f t="shared" si="236"/>
        <v>0</v>
      </c>
      <c r="AO1503" s="2">
        <f t="shared" si="237"/>
        <v>0</v>
      </c>
      <c r="AP1503" s="2">
        <f t="shared" si="238"/>
        <v>0</v>
      </c>
      <c r="AQ1503" s="2">
        <f t="shared" si="239"/>
        <v>0</v>
      </c>
      <c r="AR1503" s="2">
        <f t="shared" si="240"/>
        <v>0</v>
      </c>
      <c r="AS1503" s="2">
        <f t="shared" si="241"/>
        <v>0</v>
      </c>
      <c r="AT1503" s="25">
        <f t="shared" si="242"/>
        <v>0</v>
      </c>
    </row>
    <row r="1504" spans="1:46">
      <c r="A1504" s="24">
        <v>46133</v>
      </c>
      <c r="B1504" s="23">
        <f t="shared" si="234"/>
        <v>46113</v>
      </c>
      <c r="C1504" s="2" t="s">
        <v>62</v>
      </c>
      <c r="D1504" s="2" t="s">
        <v>359</v>
      </c>
      <c r="E1504" s="2">
        <v>3246</v>
      </c>
      <c r="F1504" s="2">
        <v>84</v>
      </c>
      <c r="G1504" s="2">
        <v>84</v>
      </c>
      <c r="H1504" s="2">
        <v>83</v>
      </c>
      <c r="I1504" s="2">
        <f t="shared" si="235"/>
        <v>1</v>
      </c>
      <c r="J1504" s="44" t="s">
        <v>1568</v>
      </c>
      <c r="K1504" s="2">
        <v>100</v>
      </c>
      <c r="L1504" s="2">
        <v>1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/>
      <c r="AM1504" s="2" t="s">
        <v>1568</v>
      </c>
      <c r="AN1504" s="2">
        <f t="shared" si="236"/>
        <v>1</v>
      </c>
      <c r="AO1504" s="2">
        <f t="shared" si="237"/>
        <v>0</v>
      </c>
      <c r="AP1504" s="2">
        <f t="shared" si="238"/>
        <v>0</v>
      </c>
      <c r="AQ1504" s="2">
        <f t="shared" si="239"/>
        <v>0</v>
      </c>
      <c r="AR1504" s="2">
        <f t="shared" si="240"/>
        <v>0</v>
      </c>
      <c r="AS1504" s="2">
        <f t="shared" si="241"/>
        <v>0</v>
      </c>
      <c r="AT1504" s="25">
        <f t="shared" si="242"/>
        <v>0</v>
      </c>
    </row>
    <row r="1505" spans="1:46">
      <c r="A1505" s="24">
        <v>46133</v>
      </c>
      <c r="B1505" s="23">
        <f t="shared" si="234"/>
        <v>46113</v>
      </c>
      <c r="C1505" s="2" t="s">
        <v>62</v>
      </c>
      <c r="D1505" s="2" t="s">
        <v>124</v>
      </c>
      <c r="E1505" s="2">
        <v>3245</v>
      </c>
      <c r="F1505" s="2">
        <v>40</v>
      </c>
      <c r="G1505" s="2">
        <v>40</v>
      </c>
      <c r="H1505" s="2">
        <v>40</v>
      </c>
      <c r="I1505" s="2">
        <f t="shared" si="235"/>
        <v>0</v>
      </c>
      <c r="J1505" s="44" t="s">
        <v>1568</v>
      </c>
      <c r="K1505" s="2">
        <v>100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/>
      <c r="AM1505" s="2" t="s">
        <v>1568</v>
      </c>
      <c r="AN1505" s="2">
        <f t="shared" si="236"/>
        <v>0</v>
      </c>
      <c r="AO1505" s="2">
        <f t="shared" si="237"/>
        <v>0</v>
      </c>
      <c r="AP1505" s="2">
        <f t="shared" si="238"/>
        <v>0</v>
      </c>
      <c r="AQ1505" s="2">
        <f t="shared" si="239"/>
        <v>0</v>
      </c>
      <c r="AR1505" s="2">
        <f t="shared" si="240"/>
        <v>0</v>
      </c>
      <c r="AS1505" s="2">
        <f t="shared" si="241"/>
        <v>0</v>
      </c>
      <c r="AT1505" s="25">
        <f t="shared" si="242"/>
        <v>0</v>
      </c>
    </row>
    <row r="1506" spans="1:46">
      <c r="A1506" s="24">
        <v>46133</v>
      </c>
      <c r="B1506" s="23">
        <f t="shared" si="234"/>
        <v>46113</v>
      </c>
      <c r="C1506" s="2" t="s">
        <v>63</v>
      </c>
      <c r="D1506" s="2" t="s">
        <v>148</v>
      </c>
      <c r="E1506" s="2">
        <v>77031</v>
      </c>
      <c r="F1506" s="2">
        <v>31</v>
      </c>
      <c r="G1506" s="2">
        <v>31</v>
      </c>
      <c r="H1506" s="2">
        <v>29</v>
      </c>
      <c r="I1506" s="2">
        <f t="shared" si="235"/>
        <v>2</v>
      </c>
      <c r="J1506" s="44" t="s">
        <v>1568</v>
      </c>
      <c r="K1506" s="2">
        <v>100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2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/>
      <c r="AM1506" s="2" t="s">
        <v>1568</v>
      </c>
      <c r="AN1506" s="2">
        <f t="shared" si="236"/>
        <v>0</v>
      </c>
      <c r="AO1506" s="2">
        <f t="shared" si="237"/>
        <v>2</v>
      </c>
      <c r="AP1506" s="2">
        <f t="shared" si="238"/>
        <v>0</v>
      </c>
      <c r="AQ1506" s="2">
        <f t="shared" si="239"/>
        <v>0</v>
      </c>
      <c r="AR1506" s="2">
        <f t="shared" si="240"/>
        <v>0</v>
      </c>
      <c r="AS1506" s="2">
        <f t="shared" si="241"/>
        <v>0</v>
      </c>
      <c r="AT1506" s="25">
        <f t="shared" si="242"/>
        <v>0</v>
      </c>
    </row>
    <row r="1507" spans="1:46">
      <c r="A1507" s="24">
        <v>46133</v>
      </c>
      <c r="B1507" s="23">
        <f t="shared" si="234"/>
        <v>46113</v>
      </c>
      <c r="C1507" s="2" t="s">
        <v>63</v>
      </c>
      <c r="D1507" s="2" t="s">
        <v>371</v>
      </c>
      <c r="E1507" s="2">
        <v>2680</v>
      </c>
      <c r="F1507" s="2">
        <v>26</v>
      </c>
      <c r="G1507" s="2">
        <v>26</v>
      </c>
      <c r="H1507" s="2">
        <v>26</v>
      </c>
      <c r="I1507" s="2">
        <f t="shared" si="235"/>
        <v>0</v>
      </c>
      <c r="J1507" s="44" t="s">
        <v>1568</v>
      </c>
      <c r="K1507" s="2">
        <v>100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/>
      <c r="AM1507" s="2" t="s">
        <v>1568</v>
      </c>
      <c r="AN1507" s="2">
        <f t="shared" si="236"/>
        <v>0</v>
      </c>
      <c r="AO1507" s="2">
        <f t="shared" si="237"/>
        <v>0</v>
      </c>
      <c r="AP1507" s="2">
        <f t="shared" si="238"/>
        <v>0</v>
      </c>
      <c r="AQ1507" s="2">
        <f t="shared" si="239"/>
        <v>0</v>
      </c>
      <c r="AR1507" s="2">
        <f t="shared" si="240"/>
        <v>0</v>
      </c>
      <c r="AS1507" s="2">
        <f t="shared" si="241"/>
        <v>0</v>
      </c>
      <c r="AT1507" s="25">
        <f t="shared" si="242"/>
        <v>0</v>
      </c>
    </row>
    <row r="1508" spans="1:46">
      <c r="A1508" s="24">
        <v>46133</v>
      </c>
      <c r="B1508" s="23">
        <f t="shared" si="234"/>
        <v>46113</v>
      </c>
      <c r="C1508" s="2" t="s">
        <v>63</v>
      </c>
      <c r="D1508" s="2" t="s">
        <v>1576</v>
      </c>
      <c r="E1508" s="2">
        <v>6230</v>
      </c>
      <c r="F1508" s="2">
        <v>34</v>
      </c>
      <c r="G1508" s="2">
        <v>34</v>
      </c>
      <c r="H1508" s="2">
        <v>34</v>
      </c>
      <c r="I1508" s="2">
        <f t="shared" si="235"/>
        <v>0</v>
      </c>
      <c r="J1508" s="44" t="s">
        <v>1568</v>
      </c>
      <c r="K1508" s="2">
        <v>100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/>
      <c r="AM1508" s="2" t="s">
        <v>1568</v>
      </c>
      <c r="AN1508" s="2">
        <f t="shared" si="236"/>
        <v>0</v>
      </c>
      <c r="AO1508" s="2">
        <f t="shared" si="237"/>
        <v>0</v>
      </c>
      <c r="AP1508" s="2">
        <f t="shared" si="238"/>
        <v>0</v>
      </c>
      <c r="AQ1508" s="2">
        <f t="shared" si="239"/>
        <v>0</v>
      </c>
      <c r="AR1508" s="2">
        <f t="shared" si="240"/>
        <v>0</v>
      </c>
      <c r="AS1508" s="2">
        <f t="shared" si="241"/>
        <v>0</v>
      </c>
      <c r="AT1508" s="25">
        <f t="shared" si="242"/>
        <v>0</v>
      </c>
    </row>
    <row r="1509" spans="1:46">
      <c r="A1509" s="24">
        <v>46133</v>
      </c>
      <c r="B1509" s="23">
        <f t="shared" si="234"/>
        <v>46113</v>
      </c>
      <c r="C1509" s="2" t="s">
        <v>63</v>
      </c>
      <c r="D1509" s="2" t="s">
        <v>1317</v>
      </c>
      <c r="E1509" s="2">
        <v>1863</v>
      </c>
      <c r="F1509" s="2">
        <v>32</v>
      </c>
      <c r="G1509" s="2">
        <v>32</v>
      </c>
      <c r="H1509" s="2">
        <v>32</v>
      </c>
      <c r="I1509" s="2">
        <f t="shared" si="235"/>
        <v>0</v>
      </c>
      <c r="J1509" s="44" t="s">
        <v>1568</v>
      </c>
      <c r="K1509" s="2">
        <v>100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/>
      <c r="AM1509" s="2" t="s">
        <v>1568</v>
      </c>
      <c r="AN1509" s="2">
        <f t="shared" si="236"/>
        <v>0</v>
      </c>
      <c r="AO1509" s="2">
        <f t="shared" si="237"/>
        <v>0</v>
      </c>
      <c r="AP1509" s="2">
        <f t="shared" si="238"/>
        <v>0</v>
      </c>
      <c r="AQ1509" s="2">
        <f t="shared" si="239"/>
        <v>0</v>
      </c>
      <c r="AR1509" s="2">
        <f t="shared" si="240"/>
        <v>0</v>
      </c>
      <c r="AS1509" s="2">
        <f t="shared" si="241"/>
        <v>0</v>
      </c>
      <c r="AT1509" s="25">
        <f t="shared" si="242"/>
        <v>0</v>
      </c>
    </row>
    <row r="1510" spans="1:46">
      <c r="A1510" s="24">
        <v>46133</v>
      </c>
      <c r="B1510" s="23">
        <f t="shared" si="234"/>
        <v>46113</v>
      </c>
      <c r="C1510" s="2" t="s">
        <v>160</v>
      </c>
      <c r="D1510" s="2" t="s">
        <v>367</v>
      </c>
      <c r="E1510" s="2">
        <v>3287</v>
      </c>
      <c r="F1510" s="2">
        <v>133</v>
      </c>
      <c r="G1510" s="2">
        <v>133</v>
      </c>
      <c r="H1510" s="2">
        <v>111</v>
      </c>
      <c r="I1510" s="2">
        <f t="shared" si="235"/>
        <v>22</v>
      </c>
      <c r="J1510" s="44" t="s">
        <v>349</v>
      </c>
      <c r="K1510" s="2">
        <v>100</v>
      </c>
      <c r="L1510" s="2">
        <v>13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1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2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6</v>
      </c>
      <c r="AL1510" s="2"/>
      <c r="AM1510" s="2" t="s">
        <v>349</v>
      </c>
      <c r="AN1510" s="2">
        <f t="shared" si="236"/>
        <v>13</v>
      </c>
      <c r="AO1510" s="2">
        <f t="shared" si="237"/>
        <v>1</v>
      </c>
      <c r="AP1510" s="2">
        <f t="shared" si="238"/>
        <v>0</v>
      </c>
      <c r="AQ1510" s="2">
        <f t="shared" si="239"/>
        <v>6</v>
      </c>
      <c r="AR1510" s="2">
        <f t="shared" si="240"/>
        <v>2</v>
      </c>
      <c r="AS1510" s="2">
        <f t="shared" si="241"/>
        <v>0</v>
      </c>
      <c r="AT1510" s="25">
        <f t="shared" si="242"/>
        <v>0</v>
      </c>
    </row>
    <row r="1511" spans="1:46">
      <c r="A1511" s="24">
        <v>46133</v>
      </c>
      <c r="B1511" s="23">
        <f t="shared" si="234"/>
        <v>46113</v>
      </c>
      <c r="C1511" s="2" t="s">
        <v>133</v>
      </c>
      <c r="D1511" s="2" t="s">
        <v>1583</v>
      </c>
      <c r="E1511" s="2">
        <v>3344</v>
      </c>
      <c r="F1511" s="2">
        <v>226</v>
      </c>
      <c r="G1511" s="2">
        <v>226</v>
      </c>
      <c r="H1511" s="2">
        <v>200</v>
      </c>
      <c r="I1511" s="2">
        <f t="shared" si="235"/>
        <v>26</v>
      </c>
      <c r="J1511" s="44" t="s">
        <v>349</v>
      </c>
      <c r="K1511" s="2">
        <v>100</v>
      </c>
      <c r="L1511" s="2">
        <v>14</v>
      </c>
      <c r="M1511" s="2">
        <v>0</v>
      </c>
      <c r="N1511" s="2">
        <v>0</v>
      </c>
      <c r="O1511" s="2">
        <v>0</v>
      </c>
      <c r="P1511" s="2">
        <v>1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4</v>
      </c>
      <c r="AB1511" s="2">
        <v>0</v>
      </c>
      <c r="AC1511" s="2">
        <v>0</v>
      </c>
      <c r="AD1511" s="2">
        <v>0</v>
      </c>
      <c r="AE1511" s="2">
        <v>2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5</v>
      </c>
      <c r="AL1511" s="2"/>
      <c r="AM1511" s="2" t="s">
        <v>349</v>
      </c>
      <c r="AN1511" s="2">
        <f t="shared" si="236"/>
        <v>14</v>
      </c>
      <c r="AO1511" s="2">
        <f t="shared" si="237"/>
        <v>1</v>
      </c>
      <c r="AP1511" s="2">
        <f t="shared" si="238"/>
        <v>2</v>
      </c>
      <c r="AQ1511" s="2">
        <f t="shared" si="239"/>
        <v>5</v>
      </c>
      <c r="AR1511" s="2">
        <f t="shared" si="240"/>
        <v>4</v>
      </c>
      <c r="AS1511" s="2">
        <f t="shared" si="241"/>
        <v>0</v>
      </c>
      <c r="AT1511" s="25">
        <f t="shared" si="242"/>
        <v>0</v>
      </c>
    </row>
    <row r="1512" spans="1:46">
      <c r="A1512" s="24">
        <v>46133</v>
      </c>
      <c r="B1512" s="23">
        <f t="shared" si="234"/>
        <v>46113</v>
      </c>
      <c r="C1512" s="2" t="s">
        <v>114</v>
      </c>
      <c r="D1512" s="2" t="s">
        <v>368</v>
      </c>
      <c r="E1512" s="2">
        <v>3287</v>
      </c>
      <c r="F1512" s="2">
        <v>139</v>
      </c>
      <c r="G1512" s="2">
        <v>139</v>
      </c>
      <c r="H1512" s="2">
        <v>128</v>
      </c>
      <c r="I1512" s="2">
        <f t="shared" si="235"/>
        <v>11</v>
      </c>
      <c r="J1512" s="44" t="s">
        <v>349</v>
      </c>
      <c r="K1512" s="2">
        <v>100</v>
      </c>
      <c r="L1512" s="2">
        <v>6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5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/>
      <c r="AM1512" s="2" t="s">
        <v>349</v>
      </c>
      <c r="AN1512" s="2">
        <f t="shared" si="236"/>
        <v>6</v>
      </c>
      <c r="AO1512" s="2">
        <f t="shared" si="237"/>
        <v>0</v>
      </c>
      <c r="AP1512" s="2">
        <f t="shared" si="238"/>
        <v>5</v>
      </c>
      <c r="AQ1512" s="2">
        <f t="shared" si="239"/>
        <v>0</v>
      </c>
      <c r="AR1512" s="2">
        <f t="shared" si="240"/>
        <v>0</v>
      </c>
      <c r="AS1512" s="2">
        <f t="shared" si="241"/>
        <v>0</v>
      </c>
      <c r="AT1512" s="25">
        <f t="shared" si="242"/>
        <v>0</v>
      </c>
    </row>
    <row r="1513" spans="1:46">
      <c r="A1513" s="24">
        <v>46133</v>
      </c>
      <c r="B1513" s="23">
        <f t="shared" si="234"/>
        <v>46113</v>
      </c>
      <c r="C1513" s="2" t="s">
        <v>114</v>
      </c>
      <c r="D1513" s="2" t="s">
        <v>399</v>
      </c>
      <c r="E1513" s="2">
        <v>9151</v>
      </c>
      <c r="F1513" s="2">
        <v>272</v>
      </c>
      <c r="G1513" s="2">
        <v>272</v>
      </c>
      <c r="H1513" s="2">
        <v>212</v>
      </c>
      <c r="I1513" s="2">
        <f t="shared" si="235"/>
        <v>60</v>
      </c>
      <c r="J1513" s="44" t="s">
        <v>349</v>
      </c>
      <c r="K1513" s="2">
        <v>100</v>
      </c>
      <c r="L1513" s="2">
        <v>5</v>
      </c>
      <c r="M1513" s="2">
        <v>0</v>
      </c>
      <c r="N1513" s="2">
        <v>0</v>
      </c>
      <c r="O1513" s="2">
        <v>53</v>
      </c>
      <c r="P1513" s="2">
        <v>0</v>
      </c>
      <c r="Q1513" s="2">
        <v>2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/>
      <c r="AM1513" s="2" t="s">
        <v>349</v>
      </c>
      <c r="AN1513" s="2">
        <f t="shared" si="236"/>
        <v>5</v>
      </c>
      <c r="AO1513" s="2">
        <f t="shared" si="237"/>
        <v>55</v>
      </c>
      <c r="AP1513" s="2">
        <f t="shared" si="238"/>
        <v>0</v>
      </c>
      <c r="AQ1513" s="2">
        <f t="shared" si="239"/>
        <v>0</v>
      </c>
      <c r="AR1513" s="2">
        <f t="shared" si="240"/>
        <v>0</v>
      </c>
      <c r="AS1513" s="2">
        <f t="shared" si="241"/>
        <v>0</v>
      </c>
      <c r="AT1513" s="25">
        <f t="shared" si="242"/>
        <v>0</v>
      </c>
    </row>
    <row r="1514" spans="1:46">
      <c r="A1514" s="24">
        <v>46133</v>
      </c>
      <c r="B1514" s="23">
        <f t="shared" si="234"/>
        <v>46113</v>
      </c>
      <c r="C1514" s="2" t="s">
        <v>114</v>
      </c>
      <c r="D1514" s="2" t="s">
        <v>399</v>
      </c>
      <c r="E1514" s="2">
        <v>9151</v>
      </c>
      <c r="F1514" s="2">
        <v>256</v>
      </c>
      <c r="G1514" s="2">
        <v>256</v>
      </c>
      <c r="H1514" s="2">
        <v>248</v>
      </c>
      <c r="I1514" s="2">
        <f t="shared" si="235"/>
        <v>8</v>
      </c>
      <c r="J1514" s="44" t="s">
        <v>349</v>
      </c>
      <c r="K1514" s="2">
        <v>100</v>
      </c>
      <c r="L1514" s="2">
        <v>5</v>
      </c>
      <c r="M1514" s="2">
        <v>0</v>
      </c>
      <c r="N1514" s="2">
        <v>0</v>
      </c>
      <c r="O1514" s="2">
        <v>0</v>
      </c>
      <c r="P1514" s="2">
        <v>3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/>
      <c r="AM1514" s="2" t="s">
        <v>349</v>
      </c>
      <c r="AN1514" s="2">
        <f t="shared" si="236"/>
        <v>5</v>
      </c>
      <c r="AO1514" s="2">
        <f t="shared" si="237"/>
        <v>3</v>
      </c>
      <c r="AP1514" s="2">
        <f t="shared" si="238"/>
        <v>0</v>
      </c>
      <c r="AQ1514" s="2">
        <f t="shared" si="239"/>
        <v>0</v>
      </c>
      <c r="AR1514" s="2">
        <f t="shared" si="240"/>
        <v>0</v>
      </c>
      <c r="AS1514" s="2">
        <f t="shared" si="241"/>
        <v>0</v>
      </c>
      <c r="AT1514" s="25">
        <f t="shared" si="242"/>
        <v>0</v>
      </c>
    </row>
    <row r="1515" spans="1:46">
      <c r="A1515" s="24">
        <v>46133</v>
      </c>
      <c r="B1515" s="23">
        <f t="shared" si="234"/>
        <v>46113</v>
      </c>
      <c r="C1515" s="2" t="s">
        <v>114</v>
      </c>
      <c r="D1515" s="2" t="s">
        <v>365</v>
      </c>
      <c r="E1515" s="2">
        <v>3287</v>
      </c>
      <c r="F1515" s="2">
        <v>36</v>
      </c>
      <c r="G1515" s="2">
        <v>36</v>
      </c>
      <c r="H1515" s="2">
        <v>33</v>
      </c>
      <c r="I1515" s="2">
        <f t="shared" si="235"/>
        <v>3</v>
      </c>
      <c r="J1515" s="44" t="s">
        <v>349</v>
      </c>
      <c r="K1515" s="2">
        <v>100</v>
      </c>
      <c r="L1515" s="2">
        <v>3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/>
      <c r="AM1515" s="2" t="s">
        <v>349</v>
      </c>
      <c r="AN1515" s="2">
        <f t="shared" si="236"/>
        <v>3</v>
      </c>
      <c r="AO1515" s="2">
        <f t="shared" si="237"/>
        <v>0</v>
      </c>
      <c r="AP1515" s="2">
        <f t="shared" si="238"/>
        <v>0</v>
      </c>
      <c r="AQ1515" s="2">
        <f t="shared" si="239"/>
        <v>0</v>
      </c>
      <c r="AR1515" s="2">
        <f t="shared" si="240"/>
        <v>0</v>
      </c>
      <c r="AS1515" s="2">
        <f t="shared" si="241"/>
        <v>0</v>
      </c>
      <c r="AT1515" s="25">
        <f t="shared" si="242"/>
        <v>0</v>
      </c>
    </row>
    <row r="1516" spans="1:46">
      <c r="A1516" s="24">
        <v>46133</v>
      </c>
      <c r="B1516" s="23">
        <f t="shared" si="234"/>
        <v>46113</v>
      </c>
      <c r="C1516" s="2" t="s">
        <v>114</v>
      </c>
      <c r="D1516" s="2" t="s">
        <v>348</v>
      </c>
      <c r="E1516" s="2">
        <v>3287</v>
      </c>
      <c r="F1516" s="2">
        <v>88</v>
      </c>
      <c r="G1516" s="2">
        <v>88</v>
      </c>
      <c r="H1516" s="2">
        <v>80</v>
      </c>
      <c r="I1516" s="2">
        <f t="shared" si="235"/>
        <v>8</v>
      </c>
      <c r="J1516" s="44" t="s">
        <v>349</v>
      </c>
      <c r="K1516" s="2">
        <v>100</v>
      </c>
      <c r="L1516" s="2">
        <v>8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/>
      <c r="AM1516" s="2" t="s">
        <v>349</v>
      </c>
      <c r="AN1516" s="2">
        <f t="shared" si="236"/>
        <v>8</v>
      </c>
      <c r="AO1516" s="2">
        <f t="shared" si="237"/>
        <v>0</v>
      </c>
      <c r="AP1516" s="2">
        <f t="shared" si="238"/>
        <v>0</v>
      </c>
      <c r="AQ1516" s="2">
        <f t="shared" si="239"/>
        <v>0</v>
      </c>
      <c r="AR1516" s="2">
        <f t="shared" si="240"/>
        <v>0</v>
      </c>
      <c r="AS1516" s="2">
        <f t="shared" si="241"/>
        <v>0</v>
      </c>
      <c r="AT1516" s="25">
        <f t="shared" si="242"/>
        <v>0</v>
      </c>
    </row>
    <row r="1517" spans="1:46">
      <c r="A1517" s="24">
        <v>46133</v>
      </c>
      <c r="B1517" s="23">
        <f t="shared" si="234"/>
        <v>46113</v>
      </c>
      <c r="C1517" s="2" t="s">
        <v>46</v>
      </c>
      <c r="D1517" s="2" t="s">
        <v>126</v>
      </c>
      <c r="E1517" s="2">
        <v>6296</v>
      </c>
      <c r="F1517" s="2">
        <v>45</v>
      </c>
      <c r="G1517" s="2">
        <v>45</v>
      </c>
      <c r="H1517" s="2">
        <v>44</v>
      </c>
      <c r="I1517" s="2">
        <f t="shared" si="235"/>
        <v>1</v>
      </c>
      <c r="J1517" s="44" t="s">
        <v>77</v>
      </c>
      <c r="K1517" s="2">
        <v>100</v>
      </c>
      <c r="L1517" s="2">
        <v>1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/>
      <c r="AM1517" s="2" t="s">
        <v>77</v>
      </c>
      <c r="AN1517" s="2">
        <f t="shared" si="236"/>
        <v>1</v>
      </c>
      <c r="AO1517" s="2">
        <f t="shared" si="237"/>
        <v>0</v>
      </c>
      <c r="AP1517" s="2">
        <f t="shared" si="238"/>
        <v>0</v>
      </c>
      <c r="AQ1517" s="2">
        <f t="shared" si="239"/>
        <v>0</v>
      </c>
      <c r="AR1517" s="2">
        <f t="shared" si="240"/>
        <v>0</v>
      </c>
      <c r="AS1517" s="2">
        <f t="shared" si="241"/>
        <v>0</v>
      </c>
      <c r="AT1517" s="25">
        <f t="shared" si="242"/>
        <v>0</v>
      </c>
    </row>
    <row r="1518" spans="1:46">
      <c r="A1518" s="24">
        <v>46133</v>
      </c>
      <c r="B1518" s="23">
        <f t="shared" si="234"/>
        <v>46113</v>
      </c>
      <c r="C1518" s="2" t="s">
        <v>46</v>
      </c>
      <c r="D1518" s="2" t="s">
        <v>244</v>
      </c>
      <c r="E1518" s="2">
        <v>6296</v>
      </c>
      <c r="F1518" s="2">
        <v>46</v>
      </c>
      <c r="G1518" s="2">
        <v>46</v>
      </c>
      <c r="H1518" s="2">
        <v>42</v>
      </c>
      <c r="I1518" s="2">
        <f t="shared" si="235"/>
        <v>4</v>
      </c>
      <c r="J1518" s="44" t="s">
        <v>77</v>
      </c>
      <c r="K1518" s="2">
        <v>100</v>
      </c>
      <c r="L1518" s="2">
        <v>2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2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/>
      <c r="AM1518" s="2" t="s">
        <v>77</v>
      </c>
      <c r="AN1518" s="2">
        <f t="shared" si="236"/>
        <v>2</v>
      </c>
      <c r="AO1518" s="2">
        <f t="shared" si="237"/>
        <v>0</v>
      </c>
      <c r="AP1518" s="2">
        <f t="shared" si="238"/>
        <v>0</v>
      </c>
      <c r="AQ1518" s="2">
        <f t="shared" si="239"/>
        <v>2</v>
      </c>
      <c r="AR1518" s="2">
        <f t="shared" si="240"/>
        <v>0</v>
      </c>
      <c r="AS1518" s="2">
        <f t="shared" si="241"/>
        <v>0</v>
      </c>
      <c r="AT1518" s="25">
        <f t="shared" si="242"/>
        <v>0</v>
      </c>
    </row>
    <row r="1519" spans="1:46">
      <c r="A1519" s="24">
        <v>46133</v>
      </c>
      <c r="B1519" s="23">
        <f t="shared" si="234"/>
        <v>46113</v>
      </c>
      <c r="C1519" s="2" t="s">
        <v>95</v>
      </c>
      <c r="D1519" s="2" t="s">
        <v>227</v>
      </c>
      <c r="E1519" s="2">
        <v>2679</v>
      </c>
      <c r="F1519" s="2">
        <v>40</v>
      </c>
      <c r="G1519" s="2">
        <v>40</v>
      </c>
      <c r="H1519" s="2">
        <v>40</v>
      </c>
      <c r="I1519" s="2">
        <f t="shared" si="235"/>
        <v>0</v>
      </c>
      <c r="J1519" s="44" t="s">
        <v>77</v>
      </c>
      <c r="K1519" s="2">
        <v>100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/>
      <c r="AM1519" s="2" t="s">
        <v>77</v>
      </c>
      <c r="AN1519" s="2">
        <f t="shared" si="236"/>
        <v>0</v>
      </c>
      <c r="AO1519" s="2">
        <f t="shared" si="237"/>
        <v>0</v>
      </c>
      <c r="AP1519" s="2">
        <f t="shared" si="238"/>
        <v>0</v>
      </c>
      <c r="AQ1519" s="2">
        <f t="shared" si="239"/>
        <v>0</v>
      </c>
      <c r="AR1519" s="2">
        <f t="shared" si="240"/>
        <v>0</v>
      </c>
      <c r="AS1519" s="2">
        <f t="shared" si="241"/>
        <v>0</v>
      </c>
      <c r="AT1519" s="25">
        <f t="shared" si="242"/>
        <v>0</v>
      </c>
    </row>
    <row r="1520" spans="1:46">
      <c r="A1520" s="24">
        <v>46133</v>
      </c>
      <c r="B1520" s="23">
        <f t="shared" si="234"/>
        <v>46113</v>
      </c>
      <c r="C1520" s="2" t="s">
        <v>72</v>
      </c>
      <c r="D1520" s="2" t="s">
        <v>408</v>
      </c>
      <c r="E1520" s="2">
        <v>9315</v>
      </c>
      <c r="F1520" s="2">
        <v>36</v>
      </c>
      <c r="G1520" s="2">
        <v>36</v>
      </c>
      <c r="H1520" s="2">
        <v>36</v>
      </c>
      <c r="I1520" s="2">
        <f t="shared" si="235"/>
        <v>0</v>
      </c>
      <c r="J1520" s="44" t="s">
        <v>103</v>
      </c>
      <c r="K1520" s="2">
        <v>100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/>
      <c r="AM1520" s="2" t="s">
        <v>103</v>
      </c>
      <c r="AN1520" s="2">
        <f t="shared" si="236"/>
        <v>0</v>
      </c>
      <c r="AO1520" s="2">
        <f t="shared" si="237"/>
        <v>0</v>
      </c>
      <c r="AP1520" s="2">
        <f t="shared" si="238"/>
        <v>0</v>
      </c>
      <c r="AQ1520" s="2">
        <f t="shared" si="239"/>
        <v>0</v>
      </c>
      <c r="AR1520" s="2">
        <f t="shared" si="240"/>
        <v>0</v>
      </c>
      <c r="AS1520" s="2">
        <f t="shared" si="241"/>
        <v>0</v>
      </c>
      <c r="AT1520" s="25">
        <f t="shared" si="242"/>
        <v>0</v>
      </c>
    </row>
    <row r="1521" spans="1:46">
      <c r="A1521" s="24">
        <v>46133</v>
      </c>
      <c r="B1521" s="23">
        <f t="shared" si="234"/>
        <v>46113</v>
      </c>
      <c r="C1521" s="2" t="s">
        <v>72</v>
      </c>
      <c r="D1521" s="2" t="s">
        <v>385</v>
      </c>
      <c r="E1521" s="2">
        <v>3273</v>
      </c>
      <c r="F1521" s="2">
        <v>45</v>
      </c>
      <c r="G1521" s="2">
        <v>45</v>
      </c>
      <c r="H1521" s="2">
        <v>44</v>
      </c>
      <c r="I1521" s="2">
        <f t="shared" si="235"/>
        <v>1</v>
      </c>
      <c r="J1521" s="44" t="s">
        <v>103</v>
      </c>
      <c r="K1521" s="2">
        <v>100</v>
      </c>
      <c r="L1521" s="2">
        <v>1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/>
      <c r="AM1521" s="2" t="s">
        <v>103</v>
      </c>
      <c r="AN1521" s="2">
        <f t="shared" si="236"/>
        <v>1</v>
      </c>
      <c r="AO1521" s="2">
        <f t="shared" si="237"/>
        <v>0</v>
      </c>
      <c r="AP1521" s="2">
        <f t="shared" si="238"/>
        <v>0</v>
      </c>
      <c r="AQ1521" s="2">
        <f t="shared" si="239"/>
        <v>0</v>
      </c>
      <c r="AR1521" s="2">
        <f t="shared" si="240"/>
        <v>0</v>
      </c>
      <c r="AS1521" s="2">
        <f t="shared" si="241"/>
        <v>0</v>
      </c>
      <c r="AT1521" s="25">
        <f t="shared" si="242"/>
        <v>0</v>
      </c>
    </row>
    <row r="1522" spans="1:46">
      <c r="A1522" s="24">
        <v>46133</v>
      </c>
      <c r="B1522" s="23">
        <f t="shared" si="234"/>
        <v>46113</v>
      </c>
      <c r="C1522" s="2" t="s">
        <v>114</v>
      </c>
      <c r="D1522" s="2" t="s">
        <v>1448</v>
      </c>
      <c r="E1522" s="2">
        <v>3287</v>
      </c>
      <c r="F1522" s="2">
        <v>50</v>
      </c>
      <c r="G1522" s="2">
        <v>50</v>
      </c>
      <c r="H1522" s="2">
        <v>47</v>
      </c>
      <c r="I1522" s="2">
        <f t="shared" si="235"/>
        <v>3</v>
      </c>
      <c r="J1522" s="44" t="s">
        <v>103</v>
      </c>
      <c r="K1522" s="2">
        <v>100</v>
      </c>
      <c r="L1522" s="2">
        <v>3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/>
      <c r="AM1522" s="2" t="s">
        <v>103</v>
      </c>
      <c r="AN1522" s="2">
        <f t="shared" si="236"/>
        <v>3</v>
      </c>
      <c r="AO1522" s="2">
        <f t="shared" si="237"/>
        <v>0</v>
      </c>
      <c r="AP1522" s="2">
        <f t="shared" si="238"/>
        <v>0</v>
      </c>
      <c r="AQ1522" s="2">
        <f t="shared" si="239"/>
        <v>0</v>
      </c>
      <c r="AR1522" s="2">
        <f t="shared" si="240"/>
        <v>0</v>
      </c>
      <c r="AS1522" s="2">
        <f t="shared" si="241"/>
        <v>0</v>
      </c>
      <c r="AT1522" s="25">
        <f t="shared" si="242"/>
        <v>0</v>
      </c>
    </row>
    <row r="1523" spans="1:46">
      <c r="A1523" s="24">
        <v>46133</v>
      </c>
      <c r="B1523" s="23">
        <f t="shared" si="234"/>
        <v>46113</v>
      </c>
      <c r="C1523" s="2" t="s">
        <v>114</v>
      </c>
      <c r="D1523" s="2" t="s">
        <v>101</v>
      </c>
      <c r="E1523" s="2">
        <v>3084</v>
      </c>
      <c r="F1523" s="2">
        <v>46</v>
      </c>
      <c r="G1523" s="2">
        <v>46</v>
      </c>
      <c r="H1523" s="2">
        <v>46</v>
      </c>
      <c r="I1523" s="2">
        <f t="shared" si="235"/>
        <v>0</v>
      </c>
      <c r="J1523" s="44" t="s">
        <v>103</v>
      </c>
      <c r="K1523" s="2">
        <v>100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/>
      <c r="AM1523" s="2" t="s">
        <v>103</v>
      </c>
      <c r="AN1523" s="2">
        <f t="shared" si="236"/>
        <v>0</v>
      </c>
      <c r="AO1523" s="2">
        <f t="shared" si="237"/>
        <v>0</v>
      </c>
      <c r="AP1523" s="2">
        <f t="shared" si="238"/>
        <v>0</v>
      </c>
      <c r="AQ1523" s="2">
        <f t="shared" si="239"/>
        <v>0</v>
      </c>
      <c r="AR1523" s="2">
        <f t="shared" si="240"/>
        <v>0</v>
      </c>
      <c r="AS1523" s="2">
        <f t="shared" si="241"/>
        <v>0</v>
      </c>
      <c r="AT1523" s="25">
        <f t="shared" si="242"/>
        <v>0</v>
      </c>
    </row>
    <row r="1524" spans="1:46">
      <c r="A1524" s="24">
        <v>46133</v>
      </c>
      <c r="B1524" s="23">
        <f t="shared" si="234"/>
        <v>46113</v>
      </c>
      <c r="C1524" s="2" t="s">
        <v>72</v>
      </c>
      <c r="D1524" s="2" t="s">
        <v>221</v>
      </c>
      <c r="E1524" s="2">
        <v>6258</v>
      </c>
      <c r="F1524" s="2">
        <v>36</v>
      </c>
      <c r="G1524" s="2">
        <v>36</v>
      </c>
      <c r="H1524" s="2">
        <v>36</v>
      </c>
      <c r="I1524" s="2">
        <f t="shared" si="235"/>
        <v>0</v>
      </c>
      <c r="J1524" s="44" t="s">
        <v>103</v>
      </c>
      <c r="K1524" s="2">
        <v>100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/>
      <c r="AM1524" s="2" t="s">
        <v>103</v>
      </c>
      <c r="AN1524" s="2">
        <f t="shared" si="236"/>
        <v>0</v>
      </c>
      <c r="AO1524" s="2">
        <f t="shared" si="237"/>
        <v>0</v>
      </c>
      <c r="AP1524" s="2">
        <f t="shared" si="238"/>
        <v>0</v>
      </c>
      <c r="AQ1524" s="2">
        <f t="shared" si="239"/>
        <v>0</v>
      </c>
      <c r="AR1524" s="2">
        <f t="shared" si="240"/>
        <v>0</v>
      </c>
      <c r="AS1524" s="2">
        <f t="shared" si="241"/>
        <v>0</v>
      </c>
      <c r="AT1524" s="25">
        <f t="shared" si="242"/>
        <v>0</v>
      </c>
    </row>
    <row r="1525" spans="1:46">
      <c r="A1525" s="24">
        <v>46133</v>
      </c>
      <c r="B1525" s="23">
        <f t="shared" si="234"/>
        <v>46113</v>
      </c>
      <c r="C1525" s="2" t="s">
        <v>72</v>
      </c>
      <c r="D1525" s="2" t="s">
        <v>125</v>
      </c>
      <c r="E1525" s="2">
        <v>2602</v>
      </c>
      <c r="F1525" s="2">
        <v>33</v>
      </c>
      <c r="G1525" s="2">
        <v>33</v>
      </c>
      <c r="H1525" s="2">
        <v>32</v>
      </c>
      <c r="I1525" s="2">
        <f t="shared" si="235"/>
        <v>1</v>
      </c>
      <c r="J1525" s="44" t="s">
        <v>103</v>
      </c>
      <c r="K1525" s="2">
        <v>100</v>
      </c>
      <c r="L1525" s="2">
        <v>1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/>
      <c r="AM1525" s="2" t="s">
        <v>103</v>
      </c>
      <c r="AN1525" s="2">
        <f t="shared" si="236"/>
        <v>1</v>
      </c>
      <c r="AO1525" s="2">
        <f t="shared" si="237"/>
        <v>0</v>
      </c>
      <c r="AP1525" s="2">
        <f t="shared" si="238"/>
        <v>0</v>
      </c>
      <c r="AQ1525" s="2">
        <f t="shared" si="239"/>
        <v>0</v>
      </c>
      <c r="AR1525" s="2">
        <f t="shared" si="240"/>
        <v>0</v>
      </c>
      <c r="AS1525" s="2">
        <f t="shared" si="241"/>
        <v>0</v>
      </c>
      <c r="AT1525" s="25">
        <f t="shared" si="242"/>
        <v>0</v>
      </c>
    </row>
    <row r="1526" spans="1:46">
      <c r="A1526" s="24">
        <v>46133</v>
      </c>
      <c r="B1526" s="23">
        <f t="shared" si="234"/>
        <v>46113</v>
      </c>
      <c r="C1526" s="2" t="s">
        <v>72</v>
      </c>
      <c r="D1526" s="2" t="s">
        <v>1516</v>
      </c>
      <c r="E1526" s="2">
        <v>3341</v>
      </c>
      <c r="F1526" s="2">
        <v>39</v>
      </c>
      <c r="G1526" s="2">
        <v>39</v>
      </c>
      <c r="H1526" s="2">
        <v>39</v>
      </c>
      <c r="I1526" s="2">
        <f t="shared" si="235"/>
        <v>0</v>
      </c>
      <c r="J1526" s="44" t="s">
        <v>103</v>
      </c>
      <c r="K1526" s="2">
        <v>100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/>
      <c r="AM1526" s="2" t="s">
        <v>103</v>
      </c>
      <c r="AN1526" s="2">
        <f t="shared" si="236"/>
        <v>0</v>
      </c>
      <c r="AO1526" s="2">
        <f t="shared" si="237"/>
        <v>0</v>
      </c>
      <c r="AP1526" s="2">
        <f t="shared" si="238"/>
        <v>0</v>
      </c>
      <c r="AQ1526" s="2">
        <f t="shared" si="239"/>
        <v>0</v>
      </c>
      <c r="AR1526" s="2">
        <f t="shared" si="240"/>
        <v>0</v>
      </c>
      <c r="AS1526" s="2">
        <f t="shared" si="241"/>
        <v>0</v>
      </c>
      <c r="AT1526" s="25">
        <f t="shared" si="242"/>
        <v>0</v>
      </c>
    </row>
    <row r="1527" spans="1:46">
      <c r="A1527" s="24">
        <v>46133</v>
      </c>
      <c r="B1527" s="23">
        <f t="shared" si="234"/>
        <v>46113</v>
      </c>
      <c r="C1527" s="2" t="s">
        <v>72</v>
      </c>
      <c r="D1527" s="2" t="s">
        <v>81</v>
      </c>
      <c r="E1527" s="2">
        <v>1825</v>
      </c>
      <c r="F1527" s="2">
        <v>29</v>
      </c>
      <c r="G1527" s="2">
        <v>29</v>
      </c>
      <c r="H1527" s="2">
        <v>28</v>
      </c>
      <c r="I1527" s="2">
        <f t="shared" si="235"/>
        <v>1</v>
      </c>
      <c r="J1527" s="44" t="s">
        <v>103</v>
      </c>
      <c r="K1527" s="2">
        <v>100</v>
      </c>
      <c r="L1527" s="2">
        <v>1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/>
      <c r="AM1527" s="2" t="s">
        <v>103</v>
      </c>
      <c r="AN1527" s="2">
        <f t="shared" si="236"/>
        <v>1</v>
      </c>
      <c r="AO1527" s="2">
        <f t="shared" si="237"/>
        <v>0</v>
      </c>
      <c r="AP1527" s="2">
        <f t="shared" si="238"/>
        <v>0</v>
      </c>
      <c r="AQ1527" s="2">
        <f t="shared" si="239"/>
        <v>0</v>
      </c>
      <c r="AR1527" s="2">
        <f t="shared" si="240"/>
        <v>0</v>
      </c>
      <c r="AS1527" s="2">
        <f t="shared" si="241"/>
        <v>0</v>
      </c>
      <c r="AT1527" s="25">
        <f t="shared" si="242"/>
        <v>0</v>
      </c>
    </row>
    <row r="1528" spans="1:46">
      <c r="A1528" s="24">
        <v>46133</v>
      </c>
      <c r="B1528" s="23">
        <f t="shared" si="234"/>
        <v>46113</v>
      </c>
      <c r="C1528" s="2" t="s">
        <v>72</v>
      </c>
      <c r="D1528" s="2" t="s">
        <v>362</v>
      </c>
      <c r="E1528" s="2">
        <v>9315</v>
      </c>
      <c r="F1528" s="2">
        <v>239</v>
      </c>
      <c r="G1528" s="2">
        <v>239</v>
      </c>
      <c r="H1528" s="2">
        <v>236</v>
      </c>
      <c r="I1528" s="2">
        <f t="shared" si="235"/>
        <v>3</v>
      </c>
      <c r="J1528" s="44" t="s">
        <v>103</v>
      </c>
      <c r="K1528" s="2">
        <v>100</v>
      </c>
      <c r="L1528" s="2">
        <v>3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/>
      <c r="AM1528" s="2" t="s">
        <v>103</v>
      </c>
      <c r="AN1528" s="2">
        <f t="shared" si="236"/>
        <v>3</v>
      </c>
      <c r="AO1528" s="2">
        <f t="shared" si="237"/>
        <v>0</v>
      </c>
      <c r="AP1528" s="2">
        <f t="shared" si="238"/>
        <v>0</v>
      </c>
      <c r="AQ1528" s="2">
        <f t="shared" si="239"/>
        <v>0</v>
      </c>
      <c r="AR1528" s="2">
        <f t="shared" si="240"/>
        <v>0</v>
      </c>
      <c r="AS1528" s="2">
        <f t="shared" si="241"/>
        <v>0</v>
      </c>
      <c r="AT1528" s="25">
        <f t="shared" si="242"/>
        <v>0</v>
      </c>
    </row>
    <row r="1529" spans="1:46">
      <c r="A1529" s="24">
        <v>46133</v>
      </c>
      <c r="B1529" s="23">
        <f t="shared" si="234"/>
        <v>46113</v>
      </c>
      <c r="C1529" s="2" t="s">
        <v>72</v>
      </c>
      <c r="D1529" s="2" t="s">
        <v>211</v>
      </c>
      <c r="E1529" s="2">
        <v>6265</v>
      </c>
      <c r="F1529" s="2">
        <v>5</v>
      </c>
      <c r="G1529" s="2">
        <v>5</v>
      </c>
      <c r="H1529" s="2">
        <v>5</v>
      </c>
      <c r="I1529" s="2">
        <f t="shared" si="235"/>
        <v>0</v>
      </c>
      <c r="J1529" s="44" t="s">
        <v>103</v>
      </c>
      <c r="K1529" s="2">
        <v>100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/>
      <c r="AM1529" s="2" t="s">
        <v>103</v>
      </c>
      <c r="AN1529" s="2">
        <f t="shared" si="236"/>
        <v>0</v>
      </c>
      <c r="AO1529" s="2">
        <f t="shared" si="237"/>
        <v>0</v>
      </c>
      <c r="AP1529" s="2">
        <f t="shared" si="238"/>
        <v>0</v>
      </c>
      <c r="AQ1529" s="2">
        <f t="shared" si="239"/>
        <v>0</v>
      </c>
      <c r="AR1529" s="2">
        <f t="shared" si="240"/>
        <v>0</v>
      </c>
      <c r="AS1529" s="2">
        <f t="shared" si="241"/>
        <v>0</v>
      </c>
      <c r="AT1529" s="25">
        <f t="shared" si="242"/>
        <v>0</v>
      </c>
    </row>
    <row r="1530" spans="1:46">
      <c r="A1530" s="24">
        <v>46133</v>
      </c>
      <c r="B1530" s="23">
        <f t="shared" si="234"/>
        <v>46113</v>
      </c>
      <c r="C1530" s="2" t="s">
        <v>72</v>
      </c>
      <c r="D1530" s="2" t="s">
        <v>211</v>
      </c>
      <c r="E1530" s="2">
        <v>6265</v>
      </c>
      <c r="F1530" s="2">
        <v>18</v>
      </c>
      <c r="G1530" s="2">
        <v>18</v>
      </c>
      <c r="H1530" s="2">
        <v>18</v>
      </c>
      <c r="I1530" s="2">
        <f t="shared" si="235"/>
        <v>0</v>
      </c>
      <c r="J1530" s="44" t="s">
        <v>103</v>
      </c>
      <c r="K1530" s="2">
        <v>100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/>
      <c r="AM1530" s="2" t="s">
        <v>103</v>
      </c>
      <c r="AN1530" s="2">
        <f t="shared" si="236"/>
        <v>0</v>
      </c>
      <c r="AO1530" s="2">
        <f t="shared" si="237"/>
        <v>0</v>
      </c>
      <c r="AP1530" s="2">
        <f t="shared" si="238"/>
        <v>0</v>
      </c>
      <c r="AQ1530" s="2">
        <f t="shared" si="239"/>
        <v>0</v>
      </c>
      <c r="AR1530" s="2">
        <f t="shared" si="240"/>
        <v>0</v>
      </c>
      <c r="AS1530" s="2">
        <f t="shared" si="241"/>
        <v>0</v>
      </c>
      <c r="AT1530" s="25">
        <f t="shared" si="242"/>
        <v>0</v>
      </c>
    </row>
    <row r="1531" spans="1:46">
      <c r="A1531" s="24">
        <v>46133</v>
      </c>
      <c r="B1531" s="23">
        <f t="shared" si="234"/>
        <v>46113</v>
      </c>
      <c r="C1531" s="2" t="s">
        <v>72</v>
      </c>
      <c r="D1531" s="2" t="s">
        <v>337</v>
      </c>
      <c r="E1531" s="2">
        <v>3273</v>
      </c>
      <c r="F1531" s="2">
        <v>295</v>
      </c>
      <c r="G1531" s="2">
        <v>295</v>
      </c>
      <c r="H1531" s="2">
        <v>290</v>
      </c>
      <c r="I1531" s="2">
        <f t="shared" si="235"/>
        <v>5</v>
      </c>
      <c r="J1531" s="44" t="s">
        <v>99</v>
      </c>
      <c r="K1531" s="2">
        <v>100</v>
      </c>
      <c r="L1531" s="2">
        <v>0</v>
      </c>
      <c r="M1531" s="2">
        <v>0</v>
      </c>
      <c r="N1531" s="2">
        <v>4</v>
      </c>
      <c r="O1531" s="2">
        <v>0</v>
      </c>
      <c r="P1531" s="2">
        <v>1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/>
      <c r="AM1531" s="2" t="s">
        <v>99</v>
      </c>
      <c r="AN1531" s="2">
        <f t="shared" si="236"/>
        <v>0</v>
      </c>
      <c r="AO1531" s="2">
        <f t="shared" si="237"/>
        <v>5</v>
      </c>
      <c r="AP1531" s="2">
        <f t="shared" si="238"/>
        <v>0</v>
      </c>
      <c r="AQ1531" s="2">
        <f t="shared" si="239"/>
        <v>0</v>
      </c>
      <c r="AR1531" s="2">
        <f t="shared" si="240"/>
        <v>0</v>
      </c>
      <c r="AS1531" s="2">
        <f t="shared" si="241"/>
        <v>0</v>
      </c>
      <c r="AT1531" s="25">
        <f t="shared" si="242"/>
        <v>0</v>
      </c>
    </row>
    <row r="1532" spans="1:46">
      <c r="A1532" s="24">
        <v>46133</v>
      </c>
      <c r="B1532" s="23">
        <f t="shared" si="234"/>
        <v>46113</v>
      </c>
      <c r="C1532" s="2" t="s">
        <v>72</v>
      </c>
      <c r="D1532" s="2" t="s">
        <v>381</v>
      </c>
      <c r="E1532" s="2">
        <v>3287</v>
      </c>
      <c r="F1532" s="2">
        <v>301</v>
      </c>
      <c r="G1532" s="2">
        <v>301</v>
      </c>
      <c r="H1532" s="2">
        <v>300</v>
      </c>
      <c r="I1532" s="2">
        <f t="shared" si="235"/>
        <v>1</v>
      </c>
      <c r="J1532" s="44" t="s">
        <v>103</v>
      </c>
      <c r="K1532" s="2">
        <v>100</v>
      </c>
      <c r="L1532" s="2">
        <v>1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/>
      <c r="AM1532" s="2" t="s">
        <v>103</v>
      </c>
      <c r="AN1532" s="2">
        <f t="shared" si="236"/>
        <v>1</v>
      </c>
      <c r="AO1532" s="2">
        <f t="shared" si="237"/>
        <v>0</v>
      </c>
      <c r="AP1532" s="2">
        <f t="shared" si="238"/>
        <v>0</v>
      </c>
      <c r="AQ1532" s="2">
        <f t="shared" si="239"/>
        <v>0</v>
      </c>
      <c r="AR1532" s="2">
        <f t="shared" si="240"/>
        <v>0</v>
      </c>
      <c r="AS1532" s="2">
        <f t="shared" si="241"/>
        <v>0</v>
      </c>
      <c r="AT1532" s="25">
        <f t="shared" si="242"/>
        <v>0</v>
      </c>
    </row>
    <row r="1533" spans="1:46">
      <c r="A1533" s="24">
        <v>46133</v>
      </c>
      <c r="B1533" s="23">
        <f t="shared" si="234"/>
        <v>46113</v>
      </c>
      <c r="C1533" s="2" t="s">
        <v>72</v>
      </c>
      <c r="D1533" s="2" t="s">
        <v>344</v>
      </c>
      <c r="E1533" s="2">
        <v>3273</v>
      </c>
      <c r="F1533" s="2">
        <v>78</v>
      </c>
      <c r="G1533" s="2">
        <v>78</v>
      </c>
      <c r="H1533" s="2">
        <v>78</v>
      </c>
      <c r="I1533" s="2">
        <f t="shared" si="235"/>
        <v>0</v>
      </c>
      <c r="J1533" s="44" t="s">
        <v>103</v>
      </c>
      <c r="K1533" s="2">
        <v>100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/>
      <c r="AM1533" s="2" t="s">
        <v>103</v>
      </c>
      <c r="AN1533" s="2">
        <f t="shared" si="236"/>
        <v>0</v>
      </c>
      <c r="AO1533" s="2">
        <f t="shared" si="237"/>
        <v>0</v>
      </c>
      <c r="AP1533" s="2">
        <f t="shared" si="238"/>
        <v>0</v>
      </c>
      <c r="AQ1533" s="2">
        <f t="shared" si="239"/>
        <v>0</v>
      </c>
      <c r="AR1533" s="2">
        <f t="shared" si="240"/>
        <v>0</v>
      </c>
      <c r="AS1533" s="2">
        <f t="shared" si="241"/>
        <v>0</v>
      </c>
      <c r="AT1533" s="25">
        <f t="shared" si="242"/>
        <v>0</v>
      </c>
    </row>
    <row r="1534" spans="1:46">
      <c r="A1534" s="24">
        <v>46133</v>
      </c>
      <c r="B1534" s="23">
        <f t="shared" si="234"/>
        <v>46113</v>
      </c>
      <c r="C1534" s="2" t="s">
        <v>160</v>
      </c>
      <c r="D1534" s="2" t="s">
        <v>412</v>
      </c>
      <c r="E1534" s="2">
        <v>6306</v>
      </c>
      <c r="F1534" s="2">
        <v>28</v>
      </c>
      <c r="G1534" s="2">
        <v>28</v>
      </c>
      <c r="H1534" s="2">
        <v>28</v>
      </c>
      <c r="I1534" s="2">
        <f t="shared" si="235"/>
        <v>0</v>
      </c>
      <c r="J1534" s="44" t="s">
        <v>93</v>
      </c>
      <c r="K1534" s="2">
        <v>100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/>
      <c r="AM1534" s="2" t="s">
        <v>93</v>
      </c>
      <c r="AN1534" s="2">
        <f t="shared" si="236"/>
        <v>0</v>
      </c>
      <c r="AO1534" s="2">
        <f t="shared" si="237"/>
        <v>0</v>
      </c>
      <c r="AP1534" s="2">
        <f t="shared" si="238"/>
        <v>0</v>
      </c>
      <c r="AQ1534" s="2">
        <f t="shared" si="239"/>
        <v>0</v>
      </c>
      <c r="AR1534" s="2">
        <f t="shared" si="240"/>
        <v>0</v>
      </c>
      <c r="AS1534" s="2">
        <f t="shared" si="241"/>
        <v>0</v>
      </c>
      <c r="AT1534" s="25">
        <f t="shared" si="242"/>
        <v>0</v>
      </c>
    </row>
    <row r="1535" spans="1:46">
      <c r="A1535" s="24">
        <v>46133</v>
      </c>
      <c r="B1535" s="23">
        <f t="shared" si="234"/>
        <v>46113</v>
      </c>
      <c r="C1535" s="2" t="s">
        <v>160</v>
      </c>
      <c r="D1535" s="2" t="s">
        <v>367</v>
      </c>
      <c r="E1535" s="2">
        <v>3287</v>
      </c>
      <c r="F1535" s="2">
        <v>18</v>
      </c>
      <c r="G1535" s="2">
        <v>18</v>
      </c>
      <c r="H1535" s="2">
        <v>16</v>
      </c>
      <c r="I1535" s="2">
        <f t="shared" si="235"/>
        <v>2</v>
      </c>
      <c r="J1535" s="44" t="s">
        <v>93</v>
      </c>
      <c r="K1535" s="2">
        <v>100</v>
      </c>
      <c r="L1535" s="2">
        <v>2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/>
      <c r="AM1535" s="2" t="s">
        <v>93</v>
      </c>
      <c r="AN1535" s="2">
        <f t="shared" si="236"/>
        <v>2</v>
      </c>
      <c r="AO1535" s="2">
        <f t="shared" si="237"/>
        <v>0</v>
      </c>
      <c r="AP1535" s="2">
        <f t="shared" si="238"/>
        <v>0</v>
      </c>
      <c r="AQ1535" s="2">
        <f t="shared" si="239"/>
        <v>0</v>
      </c>
      <c r="AR1535" s="2">
        <f t="shared" si="240"/>
        <v>0</v>
      </c>
      <c r="AS1535" s="2">
        <f t="shared" si="241"/>
        <v>0</v>
      </c>
      <c r="AT1535" s="25">
        <f t="shared" si="242"/>
        <v>0</v>
      </c>
    </row>
    <row r="1536" spans="1:46">
      <c r="A1536" s="24">
        <v>46133</v>
      </c>
      <c r="B1536" s="23">
        <f t="shared" si="234"/>
        <v>46113</v>
      </c>
      <c r="C1536" s="2" t="s">
        <v>160</v>
      </c>
      <c r="D1536" s="2" t="s">
        <v>381</v>
      </c>
      <c r="E1536" s="2">
        <v>3287</v>
      </c>
      <c r="F1536" s="2">
        <v>19</v>
      </c>
      <c r="G1536" s="2">
        <v>19</v>
      </c>
      <c r="H1536" s="2">
        <v>18</v>
      </c>
      <c r="I1536" s="2">
        <f t="shared" si="235"/>
        <v>1</v>
      </c>
      <c r="J1536" s="44" t="s">
        <v>93</v>
      </c>
      <c r="K1536" s="2">
        <v>100</v>
      </c>
      <c r="L1536" s="2">
        <v>0</v>
      </c>
      <c r="M1536" s="2">
        <v>0</v>
      </c>
      <c r="N1536" s="2">
        <v>0</v>
      </c>
      <c r="O1536" s="2">
        <v>1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/>
      <c r="AM1536" s="2" t="s">
        <v>93</v>
      </c>
      <c r="AN1536" s="2">
        <f t="shared" si="236"/>
        <v>0</v>
      </c>
      <c r="AO1536" s="2">
        <f t="shared" si="237"/>
        <v>1</v>
      </c>
      <c r="AP1536" s="2">
        <f t="shared" si="238"/>
        <v>0</v>
      </c>
      <c r="AQ1536" s="2">
        <f t="shared" si="239"/>
        <v>0</v>
      </c>
      <c r="AR1536" s="2">
        <f t="shared" si="240"/>
        <v>0</v>
      </c>
      <c r="AS1536" s="2">
        <f t="shared" si="241"/>
        <v>0</v>
      </c>
      <c r="AT1536" s="25">
        <f t="shared" si="242"/>
        <v>0</v>
      </c>
    </row>
    <row r="1537" spans="1:46">
      <c r="A1537" s="24">
        <v>46133</v>
      </c>
      <c r="B1537" s="23">
        <f t="shared" si="234"/>
        <v>46113</v>
      </c>
      <c r="C1537" s="2" t="s">
        <v>160</v>
      </c>
      <c r="D1537" s="2" t="s">
        <v>379</v>
      </c>
      <c r="E1537" s="2">
        <v>6306</v>
      </c>
      <c r="F1537" s="2">
        <v>35</v>
      </c>
      <c r="G1537" s="2">
        <v>35</v>
      </c>
      <c r="H1537" s="2">
        <v>28</v>
      </c>
      <c r="I1537" s="2">
        <f t="shared" si="235"/>
        <v>7</v>
      </c>
      <c r="J1537" s="44" t="s">
        <v>93</v>
      </c>
      <c r="K1537" s="2">
        <v>100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7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/>
      <c r="AM1537" s="2" t="s">
        <v>93</v>
      </c>
      <c r="AN1537" s="2">
        <f t="shared" si="236"/>
        <v>0</v>
      </c>
      <c r="AO1537" s="2">
        <f t="shared" si="237"/>
        <v>0</v>
      </c>
      <c r="AP1537" s="2">
        <f t="shared" si="238"/>
        <v>0</v>
      </c>
      <c r="AQ1537" s="2">
        <f t="shared" si="239"/>
        <v>0</v>
      </c>
      <c r="AR1537" s="2">
        <f t="shared" si="240"/>
        <v>7</v>
      </c>
      <c r="AS1537" s="2">
        <f t="shared" si="241"/>
        <v>0</v>
      </c>
      <c r="AT1537" s="25">
        <f t="shared" si="242"/>
        <v>0</v>
      </c>
    </row>
    <row r="1538" spans="1:46">
      <c r="A1538" s="24">
        <v>46133</v>
      </c>
      <c r="B1538" s="23">
        <f t="shared" si="234"/>
        <v>46113</v>
      </c>
      <c r="C1538" s="2" t="s">
        <v>97</v>
      </c>
      <c r="D1538" s="2" t="s">
        <v>402</v>
      </c>
      <c r="E1538" s="2">
        <v>6237</v>
      </c>
      <c r="F1538" s="2">
        <v>146</v>
      </c>
      <c r="G1538" s="2">
        <v>146</v>
      </c>
      <c r="H1538" s="2">
        <v>142</v>
      </c>
      <c r="I1538" s="2">
        <f t="shared" si="235"/>
        <v>4</v>
      </c>
      <c r="J1538" s="44" t="s">
        <v>110</v>
      </c>
      <c r="K1538" s="2">
        <v>100</v>
      </c>
      <c r="L1538" s="2">
        <v>3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1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/>
      <c r="AM1538" s="2" t="s">
        <v>110</v>
      </c>
      <c r="AN1538" s="2">
        <f t="shared" si="236"/>
        <v>3</v>
      </c>
      <c r="AO1538" s="2">
        <f t="shared" si="237"/>
        <v>0</v>
      </c>
      <c r="AP1538" s="2">
        <f t="shared" si="238"/>
        <v>0</v>
      </c>
      <c r="AQ1538" s="2">
        <f t="shared" si="239"/>
        <v>1</v>
      </c>
      <c r="AR1538" s="2">
        <f t="shared" si="240"/>
        <v>0</v>
      </c>
      <c r="AS1538" s="2">
        <f t="shared" si="241"/>
        <v>0</v>
      </c>
      <c r="AT1538" s="25">
        <f t="shared" si="242"/>
        <v>0</v>
      </c>
    </row>
    <row r="1539" spans="1:46">
      <c r="A1539" s="24">
        <v>46133</v>
      </c>
      <c r="B1539" s="23">
        <f t="shared" si="234"/>
        <v>46113</v>
      </c>
      <c r="C1539" s="2" t="s">
        <v>66</v>
      </c>
      <c r="D1539" s="2" t="s">
        <v>393</v>
      </c>
      <c r="E1539" s="2">
        <v>1899</v>
      </c>
      <c r="F1539" s="2">
        <v>39</v>
      </c>
      <c r="G1539" s="2">
        <v>39</v>
      </c>
      <c r="H1539" s="2">
        <v>39</v>
      </c>
      <c r="I1539" s="2">
        <f t="shared" si="235"/>
        <v>0</v>
      </c>
      <c r="J1539" s="44" t="s">
        <v>110</v>
      </c>
      <c r="K1539" s="2">
        <v>100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/>
      <c r="AM1539" s="2" t="s">
        <v>110</v>
      </c>
      <c r="AN1539" s="2">
        <f t="shared" si="236"/>
        <v>0</v>
      </c>
      <c r="AO1539" s="2">
        <f t="shared" si="237"/>
        <v>0</v>
      </c>
      <c r="AP1539" s="2">
        <f t="shared" si="238"/>
        <v>0</v>
      </c>
      <c r="AQ1539" s="2">
        <f t="shared" si="239"/>
        <v>0</v>
      </c>
      <c r="AR1539" s="2">
        <f t="shared" si="240"/>
        <v>0</v>
      </c>
      <c r="AS1539" s="2">
        <f t="shared" si="241"/>
        <v>0</v>
      </c>
      <c r="AT1539" s="25">
        <f t="shared" si="242"/>
        <v>0</v>
      </c>
    </row>
    <row r="1540" spans="1:46">
      <c r="A1540" s="24">
        <v>46133</v>
      </c>
      <c r="B1540" s="23">
        <f t="shared" si="234"/>
        <v>46113</v>
      </c>
      <c r="C1540" s="2" t="s">
        <v>97</v>
      </c>
      <c r="D1540" s="2" t="s">
        <v>373</v>
      </c>
      <c r="E1540" s="2">
        <v>6237</v>
      </c>
      <c r="F1540" s="2">
        <v>187</v>
      </c>
      <c r="G1540" s="2">
        <v>187</v>
      </c>
      <c r="H1540" s="2">
        <v>187</v>
      </c>
      <c r="I1540" s="2">
        <f t="shared" si="235"/>
        <v>0</v>
      </c>
      <c r="J1540" s="44" t="s">
        <v>110</v>
      </c>
      <c r="K1540" s="2">
        <v>100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/>
      <c r="AM1540" s="2" t="s">
        <v>110</v>
      </c>
      <c r="AN1540" s="2">
        <f t="shared" si="236"/>
        <v>0</v>
      </c>
      <c r="AO1540" s="2">
        <f t="shared" si="237"/>
        <v>0</v>
      </c>
      <c r="AP1540" s="2">
        <f t="shared" si="238"/>
        <v>0</v>
      </c>
      <c r="AQ1540" s="2">
        <f t="shared" si="239"/>
        <v>0</v>
      </c>
      <c r="AR1540" s="2">
        <f t="shared" si="240"/>
        <v>0</v>
      </c>
      <c r="AS1540" s="2">
        <f t="shared" si="241"/>
        <v>0</v>
      </c>
      <c r="AT1540" s="25">
        <f t="shared" si="242"/>
        <v>0</v>
      </c>
    </row>
    <row r="1541" spans="1:46">
      <c r="A1541" s="24">
        <v>46133</v>
      </c>
      <c r="B1541" s="23">
        <f t="shared" si="234"/>
        <v>46113</v>
      </c>
      <c r="C1541" s="2" t="s">
        <v>97</v>
      </c>
      <c r="D1541" s="2" t="s">
        <v>373</v>
      </c>
      <c r="E1541" s="2">
        <v>6237</v>
      </c>
      <c r="F1541" s="2">
        <v>32</v>
      </c>
      <c r="G1541" s="2">
        <v>32</v>
      </c>
      <c r="H1541" s="2">
        <v>32</v>
      </c>
      <c r="I1541" s="2">
        <f t="shared" si="235"/>
        <v>0</v>
      </c>
      <c r="J1541" s="44" t="s">
        <v>110</v>
      </c>
      <c r="K1541" s="2">
        <v>100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/>
      <c r="AM1541" s="2" t="s">
        <v>110</v>
      </c>
      <c r="AN1541" s="2">
        <f t="shared" si="236"/>
        <v>0</v>
      </c>
      <c r="AO1541" s="2">
        <f t="shared" si="237"/>
        <v>0</v>
      </c>
      <c r="AP1541" s="2">
        <f t="shared" si="238"/>
        <v>0</v>
      </c>
      <c r="AQ1541" s="2">
        <f t="shared" si="239"/>
        <v>0</v>
      </c>
      <c r="AR1541" s="2">
        <f t="shared" si="240"/>
        <v>0</v>
      </c>
      <c r="AS1541" s="2">
        <f t="shared" si="241"/>
        <v>0</v>
      </c>
      <c r="AT1541" s="25">
        <f t="shared" si="242"/>
        <v>0</v>
      </c>
    </row>
    <row r="1542" spans="1:46">
      <c r="A1542" s="24">
        <v>46133</v>
      </c>
      <c r="B1542" s="23">
        <f t="shared" si="234"/>
        <v>46113</v>
      </c>
      <c r="C1542" s="2" t="s">
        <v>66</v>
      </c>
      <c r="D1542" s="2" t="s">
        <v>102</v>
      </c>
      <c r="E1542" s="2">
        <v>3220</v>
      </c>
      <c r="F1542" s="2">
        <v>45</v>
      </c>
      <c r="G1542" s="2">
        <v>45</v>
      </c>
      <c r="H1542" s="2">
        <v>45</v>
      </c>
      <c r="I1542" s="2">
        <f t="shared" si="235"/>
        <v>0</v>
      </c>
      <c r="J1542" s="44" t="s">
        <v>110</v>
      </c>
      <c r="K1542" s="2">
        <v>100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/>
      <c r="AM1542" s="2" t="s">
        <v>110</v>
      </c>
      <c r="AN1542" s="2">
        <f t="shared" si="236"/>
        <v>0</v>
      </c>
      <c r="AO1542" s="2">
        <f t="shared" si="237"/>
        <v>0</v>
      </c>
      <c r="AP1542" s="2">
        <f t="shared" si="238"/>
        <v>0</v>
      </c>
      <c r="AQ1542" s="2">
        <f t="shared" si="239"/>
        <v>0</v>
      </c>
      <c r="AR1542" s="2">
        <f t="shared" si="240"/>
        <v>0</v>
      </c>
      <c r="AS1542" s="2">
        <f t="shared" si="241"/>
        <v>0</v>
      </c>
      <c r="AT1542" s="25">
        <f t="shared" si="242"/>
        <v>0</v>
      </c>
    </row>
    <row r="1543" spans="1:46">
      <c r="A1543" s="24">
        <v>46133</v>
      </c>
      <c r="B1543" s="23">
        <f t="shared" si="234"/>
        <v>46113</v>
      </c>
      <c r="C1543" s="2" t="s">
        <v>66</v>
      </c>
      <c r="D1543" s="2" t="s">
        <v>1226</v>
      </c>
      <c r="E1543" s="2">
        <v>3299</v>
      </c>
      <c r="F1543" s="2">
        <v>29</v>
      </c>
      <c r="G1543" s="2">
        <v>29</v>
      </c>
      <c r="H1543" s="2">
        <v>29</v>
      </c>
      <c r="I1543" s="2">
        <f t="shared" si="235"/>
        <v>0</v>
      </c>
      <c r="J1543" s="44" t="s">
        <v>110</v>
      </c>
      <c r="K1543" s="2">
        <v>100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/>
      <c r="AM1543" s="2" t="s">
        <v>110</v>
      </c>
      <c r="AN1543" s="2">
        <f t="shared" si="236"/>
        <v>0</v>
      </c>
      <c r="AO1543" s="2">
        <f t="shared" si="237"/>
        <v>0</v>
      </c>
      <c r="AP1543" s="2">
        <f t="shared" si="238"/>
        <v>0</v>
      </c>
      <c r="AQ1543" s="2">
        <f t="shared" si="239"/>
        <v>0</v>
      </c>
      <c r="AR1543" s="2">
        <f t="shared" si="240"/>
        <v>0</v>
      </c>
      <c r="AS1543" s="2">
        <f t="shared" si="241"/>
        <v>0</v>
      </c>
      <c r="AT1543" s="25">
        <f t="shared" si="242"/>
        <v>0</v>
      </c>
    </row>
    <row r="1544" spans="1:46">
      <c r="A1544" s="24">
        <v>46133</v>
      </c>
      <c r="B1544" s="23">
        <f t="shared" si="234"/>
        <v>46113</v>
      </c>
      <c r="C1544" s="2" t="s">
        <v>97</v>
      </c>
      <c r="D1544" s="2" t="s">
        <v>122</v>
      </c>
      <c r="E1544" s="2">
        <v>3326</v>
      </c>
      <c r="F1544" s="2">
        <v>37</v>
      </c>
      <c r="G1544" s="2">
        <v>37</v>
      </c>
      <c r="H1544" s="2">
        <v>36</v>
      </c>
      <c r="I1544" s="2">
        <f t="shared" si="235"/>
        <v>1</v>
      </c>
      <c r="J1544" s="44" t="s">
        <v>110</v>
      </c>
      <c r="K1544" s="2">
        <v>100</v>
      </c>
      <c r="L1544" s="2">
        <v>1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/>
      <c r="AM1544" s="2" t="s">
        <v>110</v>
      </c>
      <c r="AN1544" s="2">
        <f t="shared" si="236"/>
        <v>1</v>
      </c>
      <c r="AO1544" s="2">
        <f t="shared" si="237"/>
        <v>0</v>
      </c>
      <c r="AP1544" s="2">
        <f t="shared" si="238"/>
        <v>0</v>
      </c>
      <c r="AQ1544" s="2">
        <f t="shared" si="239"/>
        <v>0</v>
      </c>
      <c r="AR1544" s="2">
        <f t="shared" si="240"/>
        <v>0</v>
      </c>
      <c r="AS1544" s="2">
        <f t="shared" si="241"/>
        <v>0</v>
      </c>
      <c r="AT1544" s="25">
        <f t="shared" si="242"/>
        <v>0</v>
      </c>
    </row>
    <row r="1545" spans="1:46">
      <c r="A1545" s="24">
        <v>46133</v>
      </c>
      <c r="B1545" s="23">
        <f t="shared" si="234"/>
        <v>46113</v>
      </c>
      <c r="C1545" s="2" t="s">
        <v>97</v>
      </c>
      <c r="D1545" s="2" t="s">
        <v>419</v>
      </c>
      <c r="E1545" s="2">
        <v>6237</v>
      </c>
      <c r="F1545" s="2">
        <v>77</v>
      </c>
      <c r="G1545" s="2">
        <v>77</v>
      </c>
      <c r="H1545" s="2">
        <v>73</v>
      </c>
      <c r="I1545" s="2">
        <f t="shared" si="235"/>
        <v>4</v>
      </c>
      <c r="J1545" s="44" t="s">
        <v>110</v>
      </c>
      <c r="K1545" s="2">
        <v>100</v>
      </c>
      <c r="L1545" s="2">
        <v>1</v>
      </c>
      <c r="M1545" s="2">
        <v>0</v>
      </c>
      <c r="N1545" s="2">
        <v>2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1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/>
      <c r="AM1545" s="2" t="s">
        <v>110</v>
      </c>
      <c r="AN1545" s="2">
        <f t="shared" si="236"/>
        <v>1</v>
      </c>
      <c r="AO1545" s="2">
        <f t="shared" si="237"/>
        <v>2</v>
      </c>
      <c r="AP1545" s="2">
        <f t="shared" si="238"/>
        <v>0</v>
      </c>
      <c r="AQ1545" s="2">
        <f t="shared" si="239"/>
        <v>1</v>
      </c>
      <c r="AR1545" s="2">
        <f t="shared" si="240"/>
        <v>0</v>
      </c>
      <c r="AS1545" s="2">
        <f t="shared" si="241"/>
        <v>0</v>
      </c>
      <c r="AT1545" s="25">
        <f t="shared" si="242"/>
        <v>0</v>
      </c>
    </row>
    <row r="1546" spans="1:46">
      <c r="A1546" s="24">
        <v>46133</v>
      </c>
      <c r="B1546" s="23">
        <f t="shared" si="234"/>
        <v>46113</v>
      </c>
      <c r="C1546" s="2" t="s">
        <v>1484</v>
      </c>
      <c r="D1546" s="2" t="s">
        <v>347</v>
      </c>
      <c r="E1546" s="2">
        <v>3240</v>
      </c>
      <c r="F1546" s="2">
        <v>20</v>
      </c>
      <c r="G1546" s="2">
        <v>20</v>
      </c>
      <c r="H1546" s="2">
        <v>20</v>
      </c>
      <c r="I1546" s="2">
        <f t="shared" si="235"/>
        <v>0</v>
      </c>
      <c r="J1546" s="44" t="s">
        <v>1566</v>
      </c>
      <c r="K1546" s="2">
        <v>100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/>
      <c r="AM1546" s="2" t="s">
        <v>1566</v>
      </c>
      <c r="AN1546" s="2">
        <f t="shared" si="236"/>
        <v>0</v>
      </c>
      <c r="AO1546" s="2">
        <f t="shared" si="237"/>
        <v>0</v>
      </c>
      <c r="AP1546" s="2">
        <f t="shared" si="238"/>
        <v>0</v>
      </c>
      <c r="AQ1546" s="2">
        <f t="shared" si="239"/>
        <v>0</v>
      </c>
      <c r="AR1546" s="2">
        <f t="shared" si="240"/>
        <v>0</v>
      </c>
      <c r="AS1546" s="2">
        <f t="shared" si="241"/>
        <v>0</v>
      </c>
      <c r="AT1546" s="25">
        <f t="shared" si="242"/>
        <v>0</v>
      </c>
    </row>
    <row r="1547" spans="1:46">
      <c r="A1547" s="24">
        <v>46133</v>
      </c>
      <c r="B1547" s="23">
        <f t="shared" si="234"/>
        <v>46113</v>
      </c>
      <c r="C1547" s="2" t="s">
        <v>1484</v>
      </c>
      <c r="D1547" s="2" t="s">
        <v>347</v>
      </c>
      <c r="E1547" s="2">
        <v>3240</v>
      </c>
      <c r="F1547" s="2">
        <v>190</v>
      </c>
      <c r="G1547" s="2">
        <v>190</v>
      </c>
      <c r="H1547" s="2">
        <v>181</v>
      </c>
      <c r="I1547" s="2">
        <f t="shared" si="235"/>
        <v>9</v>
      </c>
      <c r="J1547" s="44" t="s">
        <v>1566</v>
      </c>
      <c r="K1547" s="2">
        <v>100</v>
      </c>
      <c r="L1547" s="2">
        <v>9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/>
      <c r="AM1547" s="2" t="s">
        <v>1566</v>
      </c>
      <c r="AN1547" s="2">
        <f t="shared" si="236"/>
        <v>9</v>
      </c>
      <c r="AO1547" s="2">
        <f t="shared" si="237"/>
        <v>0</v>
      </c>
      <c r="AP1547" s="2">
        <f t="shared" si="238"/>
        <v>0</v>
      </c>
      <c r="AQ1547" s="2">
        <f t="shared" si="239"/>
        <v>0</v>
      </c>
      <c r="AR1547" s="2">
        <f t="shared" si="240"/>
        <v>0</v>
      </c>
      <c r="AS1547" s="2">
        <f t="shared" si="241"/>
        <v>0</v>
      </c>
      <c r="AT1547" s="25">
        <f t="shared" si="242"/>
        <v>0</v>
      </c>
    </row>
    <row r="1548" spans="1:46">
      <c r="A1548" s="24">
        <v>46133</v>
      </c>
      <c r="B1548" s="23">
        <f t="shared" si="234"/>
        <v>46113</v>
      </c>
      <c r="C1548" s="2" t="s">
        <v>55</v>
      </c>
      <c r="D1548" s="2" t="s">
        <v>332</v>
      </c>
      <c r="E1548" s="2">
        <v>2594</v>
      </c>
      <c r="F1548" s="2">
        <v>163</v>
      </c>
      <c r="G1548" s="2">
        <v>163</v>
      </c>
      <c r="H1548" s="2">
        <v>162</v>
      </c>
      <c r="I1548" s="2">
        <f t="shared" si="235"/>
        <v>1</v>
      </c>
      <c r="J1548" s="44" t="s">
        <v>1566</v>
      </c>
      <c r="K1548" s="2">
        <v>100</v>
      </c>
      <c r="L1548" s="2">
        <v>1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/>
      <c r="AM1548" s="2" t="s">
        <v>1566</v>
      </c>
      <c r="AN1548" s="2">
        <f t="shared" si="236"/>
        <v>1</v>
      </c>
      <c r="AO1548" s="2">
        <f t="shared" si="237"/>
        <v>0</v>
      </c>
      <c r="AP1548" s="2">
        <f t="shared" si="238"/>
        <v>0</v>
      </c>
      <c r="AQ1548" s="2">
        <f t="shared" si="239"/>
        <v>0</v>
      </c>
      <c r="AR1548" s="2">
        <f t="shared" si="240"/>
        <v>0</v>
      </c>
      <c r="AS1548" s="2">
        <f t="shared" si="241"/>
        <v>0</v>
      </c>
      <c r="AT1548" s="25">
        <f t="shared" si="242"/>
        <v>0</v>
      </c>
    </row>
    <row r="1549" spans="1:46">
      <c r="A1549" s="24">
        <v>46133</v>
      </c>
      <c r="B1549" s="23">
        <f t="shared" si="234"/>
        <v>46113</v>
      </c>
      <c r="C1549" s="2" t="s">
        <v>1484</v>
      </c>
      <c r="D1549" s="2" t="s">
        <v>347</v>
      </c>
      <c r="E1549" s="2">
        <v>3240</v>
      </c>
      <c r="F1549" s="2">
        <v>244</v>
      </c>
      <c r="G1549" s="2">
        <v>244</v>
      </c>
      <c r="H1549" s="2">
        <v>243</v>
      </c>
      <c r="I1549" s="2">
        <f t="shared" si="235"/>
        <v>1</v>
      </c>
      <c r="J1549" s="44" t="s">
        <v>1566</v>
      </c>
      <c r="K1549" s="2">
        <v>100</v>
      </c>
      <c r="L1549" s="2">
        <v>1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/>
      <c r="AM1549" s="2" t="s">
        <v>1566</v>
      </c>
      <c r="AN1549" s="2">
        <f t="shared" si="236"/>
        <v>1</v>
      </c>
      <c r="AO1549" s="2">
        <f t="shared" si="237"/>
        <v>0</v>
      </c>
      <c r="AP1549" s="2">
        <f t="shared" si="238"/>
        <v>0</v>
      </c>
      <c r="AQ1549" s="2">
        <f t="shared" si="239"/>
        <v>0</v>
      </c>
      <c r="AR1549" s="2">
        <f t="shared" si="240"/>
        <v>0</v>
      </c>
      <c r="AS1549" s="2">
        <f t="shared" si="241"/>
        <v>0</v>
      </c>
      <c r="AT1549" s="25">
        <f t="shared" si="242"/>
        <v>0</v>
      </c>
    </row>
    <row r="1550" spans="1:46">
      <c r="A1550" s="24">
        <v>46133</v>
      </c>
      <c r="B1550" s="23">
        <f t="shared" si="234"/>
        <v>46113</v>
      </c>
      <c r="C1550" s="2" t="s">
        <v>95</v>
      </c>
      <c r="D1550" s="2" t="s">
        <v>250</v>
      </c>
      <c r="E1550" s="2">
        <v>1865</v>
      </c>
      <c r="F1550" s="2">
        <v>36</v>
      </c>
      <c r="G1550" s="2">
        <v>36</v>
      </c>
      <c r="H1550" s="2">
        <v>36</v>
      </c>
      <c r="I1550" s="2">
        <f t="shared" si="235"/>
        <v>0</v>
      </c>
      <c r="J1550" s="44" t="s">
        <v>1567</v>
      </c>
      <c r="K1550" s="2">
        <v>100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/>
      <c r="AM1550" s="2" t="s">
        <v>1567</v>
      </c>
      <c r="AN1550" s="2">
        <f t="shared" si="236"/>
        <v>0</v>
      </c>
      <c r="AO1550" s="2">
        <f t="shared" si="237"/>
        <v>0</v>
      </c>
      <c r="AP1550" s="2">
        <f t="shared" si="238"/>
        <v>0</v>
      </c>
      <c r="AQ1550" s="2">
        <f t="shared" si="239"/>
        <v>0</v>
      </c>
      <c r="AR1550" s="2">
        <f t="shared" si="240"/>
        <v>0</v>
      </c>
      <c r="AS1550" s="2">
        <f t="shared" si="241"/>
        <v>0</v>
      </c>
      <c r="AT1550" s="25">
        <f t="shared" si="242"/>
        <v>0</v>
      </c>
    </row>
    <row r="1551" spans="1:46">
      <c r="A1551" s="24">
        <v>46133</v>
      </c>
      <c r="B1551" s="23">
        <f t="shared" ref="B1551:B1614" si="243">EOMONTH(A1551,-1)+1</f>
        <v>46113</v>
      </c>
      <c r="C1551" s="2" t="s">
        <v>95</v>
      </c>
      <c r="D1551" s="2" t="s">
        <v>251</v>
      </c>
      <c r="E1551" s="2">
        <v>3301</v>
      </c>
      <c r="F1551" s="2">
        <v>50</v>
      </c>
      <c r="G1551" s="2">
        <v>50</v>
      </c>
      <c r="H1551" s="2">
        <v>47</v>
      </c>
      <c r="I1551" s="2">
        <f t="shared" ref="I1551:I1614" si="244">F1551-H1551</f>
        <v>3</v>
      </c>
      <c r="J1551" s="44" t="s">
        <v>1567</v>
      </c>
      <c r="K1551" s="2">
        <v>100</v>
      </c>
      <c r="L1551" s="2">
        <v>3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/>
      <c r="AM1551" s="2" t="s">
        <v>1567</v>
      </c>
      <c r="AN1551" s="2">
        <f t="shared" ref="AN1551:AN1614" si="245">+L1551+AI1551</f>
        <v>3</v>
      </c>
      <c r="AO1551" s="2">
        <f t="shared" ref="AO1551:AO1614" si="246">+M1551+N1551+O1551+P1551+Q1551+R1551+S1551+T1551+U1551+V1551</f>
        <v>0</v>
      </c>
      <c r="AP1551" s="2">
        <f t="shared" ref="AP1551:AP1614" si="247">+AE1551+AF1551</f>
        <v>0</v>
      </c>
      <c r="AQ1551" s="2">
        <f t="shared" ref="AQ1551:AQ1614" si="248">+AK1551+AD1551+AC1551+AJ1551</f>
        <v>0</v>
      </c>
      <c r="AR1551" s="2">
        <f t="shared" ref="AR1551:AR1614" si="249">+W1551+X1551+Y1551+Z1551+AA1551+AB1551</f>
        <v>0</v>
      </c>
      <c r="AS1551" s="2">
        <f t="shared" ref="AS1551:AS1614" si="250">+AG1551</f>
        <v>0</v>
      </c>
      <c r="AT1551" s="25">
        <f t="shared" ref="AT1551:AT1614" si="251">+AH1551</f>
        <v>0</v>
      </c>
    </row>
    <row r="1552" spans="1:46">
      <c r="A1552" s="24">
        <v>46133</v>
      </c>
      <c r="B1552" s="23">
        <f t="shared" si="243"/>
        <v>46113</v>
      </c>
      <c r="C1552" s="2" t="s">
        <v>46</v>
      </c>
      <c r="D1552" s="2" t="s">
        <v>177</v>
      </c>
      <c r="E1552" s="2">
        <v>6285</v>
      </c>
      <c r="F1552" s="2">
        <v>33</v>
      </c>
      <c r="G1552" s="2">
        <v>33</v>
      </c>
      <c r="H1552" s="2">
        <v>27</v>
      </c>
      <c r="I1552" s="2">
        <f t="shared" si="244"/>
        <v>6</v>
      </c>
      <c r="J1552" s="44" t="s">
        <v>1567</v>
      </c>
      <c r="K1552" s="2">
        <v>100</v>
      </c>
      <c r="L1552" s="2">
        <v>6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/>
      <c r="AM1552" s="2" t="s">
        <v>1567</v>
      </c>
      <c r="AN1552" s="2">
        <f t="shared" si="245"/>
        <v>6</v>
      </c>
      <c r="AO1552" s="2">
        <f t="shared" si="246"/>
        <v>0</v>
      </c>
      <c r="AP1552" s="2">
        <f t="shared" si="247"/>
        <v>0</v>
      </c>
      <c r="AQ1552" s="2">
        <f t="shared" si="248"/>
        <v>0</v>
      </c>
      <c r="AR1552" s="2">
        <f t="shared" si="249"/>
        <v>0</v>
      </c>
      <c r="AS1552" s="2">
        <f t="shared" si="250"/>
        <v>0</v>
      </c>
      <c r="AT1552" s="25">
        <f t="shared" si="251"/>
        <v>0</v>
      </c>
    </row>
    <row r="1553" spans="1:46">
      <c r="A1553" s="24">
        <v>46133</v>
      </c>
      <c r="B1553" s="23">
        <f t="shared" si="243"/>
        <v>46113</v>
      </c>
      <c r="C1553" s="2" t="s">
        <v>46</v>
      </c>
      <c r="D1553" s="2" t="s">
        <v>171</v>
      </c>
      <c r="E1553" s="2">
        <v>6207</v>
      </c>
      <c r="F1553" s="2">
        <v>51</v>
      </c>
      <c r="G1553" s="2">
        <v>51</v>
      </c>
      <c r="H1553" s="2">
        <v>47</v>
      </c>
      <c r="I1553" s="2">
        <f t="shared" si="244"/>
        <v>4</v>
      </c>
      <c r="J1553" s="44" t="s">
        <v>1567</v>
      </c>
      <c r="K1553" s="2">
        <v>100</v>
      </c>
      <c r="L1553" s="2">
        <v>4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/>
      <c r="AM1553" s="2" t="s">
        <v>1567</v>
      </c>
      <c r="AN1553" s="2">
        <f t="shared" si="245"/>
        <v>4</v>
      </c>
      <c r="AO1553" s="2">
        <f t="shared" si="246"/>
        <v>0</v>
      </c>
      <c r="AP1553" s="2">
        <f t="shared" si="247"/>
        <v>0</v>
      </c>
      <c r="AQ1553" s="2">
        <f t="shared" si="248"/>
        <v>0</v>
      </c>
      <c r="AR1553" s="2">
        <f t="shared" si="249"/>
        <v>0</v>
      </c>
      <c r="AS1553" s="2">
        <f t="shared" si="250"/>
        <v>0</v>
      </c>
      <c r="AT1553" s="25">
        <f t="shared" si="251"/>
        <v>0</v>
      </c>
    </row>
    <row r="1554" spans="1:46">
      <c r="A1554" s="24">
        <v>46133</v>
      </c>
      <c r="B1554" s="23">
        <f t="shared" si="243"/>
        <v>46113</v>
      </c>
      <c r="C1554" s="2" t="s">
        <v>95</v>
      </c>
      <c r="D1554" s="2" t="s">
        <v>249</v>
      </c>
      <c r="E1554" s="2">
        <v>1865</v>
      </c>
      <c r="F1554" s="2">
        <v>41</v>
      </c>
      <c r="G1554" s="2">
        <v>41</v>
      </c>
      <c r="H1554" s="2">
        <v>38</v>
      </c>
      <c r="I1554" s="2">
        <f t="shared" si="244"/>
        <v>3</v>
      </c>
      <c r="J1554" s="44" t="s">
        <v>1567</v>
      </c>
      <c r="K1554" s="2">
        <v>100</v>
      </c>
      <c r="L1554" s="2">
        <v>3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/>
      <c r="AM1554" s="2" t="s">
        <v>1567</v>
      </c>
      <c r="AN1554" s="2">
        <f t="shared" si="245"/>
        <v>3</v>
      </c>
      <c r="AO1554" s="2">
        <f t="shared" si="246"/>
        <v>0</v>
      </c>
      <c r="AP1554" s="2">
        <f t="shared" si="247"/>
        <v>0</v>
      </c>
      <c r="AQ1554" s="2">
        <f t="shared" si="248"/>
        <v>0</v>
      </c>
      <c r="AR1554" s="2">
        <f t="shared" si="249"/>
        <v>0</v>
      </c>
      <c r="AS1554" s="2">
        <f t="shared" si="250"/>
        <v>0</v>
      </c>
      <c r="AT1554" s="25">
        <f t="shared" si="251"/>
        <v>0</v>
      </c>
    </row>
    <row r="1555" spans="1:46">
      <c r="A1555" s="24">
        <v>46133</v>
      </c>
      <c r="B1555" s="23">
        <f t="shared" si="243"/>
        <v>46113</v>
      </c>
      <c r="C1555" s="2" t="s">
        <v>46</v>
      </c>
      <c r="D1555" s="2" t="s">
        <v>217</v>
      </c>
      <c r="E1555" s="2">
        <v>7152</v>
      </c>
      <c r="F1555" s="2">
        <v>55</v>
      </c>
      <c r="G1555" s="2">
        <v>55</v>
      </c>
      <c r="H1555" s="2">
        <v>49</v>
      </c>
      <c r="I1555" s="2">
        <f t="shared" si="244"/>
        <v>6</v>
      </c>
      <c r="J1555" s="44" t="s">
        <v>1567</v>
      </c>
      <c r="K1555" s="2">
        <v>100</v>
      </c>
      <c r="L1555" s="2">
        <v>6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/>
      <c r="AM1555" s="2" t="s">
        <v>1567</v>
      </c>
      <c r="AN1555" s="2">
        <f t="shared" si="245"/>
        <v>6</v>
      </c>
      <c r="AO1555" s="2">
        <f t="shared" si="246"/>
        <v>0</v>
      </c>
      <c r="AP1555" s="2">
        <f t="shared" si="247"/>
        <v>0</v>
      </c>
      <c r="AQ1555" s="2">
        <f t="shared" si="248"/>
        <v>0</v>
      </c>
      <c r="AR1555" s="2">
        <f t="shared" si="249"/>
        <v>0</v>
      </c>
      <c r="AS1555" s="2">
        <f t="shared" si="250"/>
        <v>0</v>
      </c>
      <c r="AT1555" s="25">
        <f t="shared" si="251"/>
        <v>0</v>
      </c>
    </row>
    <row r="1556" spans="1:46">
      <c r="A1556" s="24">
        <v>46133</v>
      </c>
      <c r="B1556" s="23">
        <f t="shared" si="243"/>
        <v>46113</v>
      </c>
      <c r="C1556" s="2" t="s">
        <v>46</v>
      </c>
      <c r="D1556" s="2" t="s">
        <v>50</v>
      </c>
      <c r="E1556" s="2">
        <v>7153</v>
      </c>
      <c r="F1556" s="2">
        <v>39</v>
      </c>
      <c r="G1556" s="2">
        <v>39</v>
      </c>
      <c r="H1556" s="2">
        <v>37</v>
      </c>
      <c r="I1556" s="2">
        <f t="shared" si="244"/>
        <v>2</v>
      </c>
      <c r="J1556" s="44" t="s">
        <v>1567</v>
      </c>
      <c r="K1556" s="2">
        <v>100</v>
      </c>
      <c r="L1556" s="2">
        <v>2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/>
      <c r="AM1556" s="2" t="s">
        <v>1567</v>
      </c>
      <c r="AN1556" s="2">
        <f t="shared" si="245"/>
        <v>2</v>
      </c>
      <c r="AO1556" s="2">
        <f t="shared" si="246"/>
        <v>0</v>
      </c>
      <c r="AP1556" s="2">
        <f t="shared" si="247"/>
        <v>0</v>
      </c>
      <c r="AQ1556" s="2">
        <f t="shared" si="248"/>
        <v>0</v>
      </c>
      <c r="AR1556" s="2">
        <f t="shared" si="249"/>
        <v>0</v>
      </c>
      <c r="AS1556" s="2">
        <f t="shared" si="250"/>
        <v>0</v>
      </c>
      <c r="AT1556" s="25">
        <f t="shared" si="251"/>
        <v>0</v>
      </c>
    </row>
    <row r="1557" spans="1:46">
      <c r="A1557" s="24">
        <v>46133</v>
      </c>
      <c r="B1557" s="23">
        <f t="shared" si="243"/>
        <v>46113</v>
      </c>
      <c r="C1557" s="2" t="s">
        <v>95</v>
      </c>
      <c r="D1557" s="2" t="s">
        <v>390</v>
      </c>
      <c r="E1557" s="2">
        <v>3301</v>
      </c>
      <c r="F1557" s="2">
        <v>24</v>
      </c>
      <c r="G1557" s="2">
        <v>24</v>
      </c>
      <c r="H1557" s="2">
        <v>24</v>
      </c>
      <c r="I1557" s="2">
        <f t="shared" si="244"/>
        <v>0</v>
      </c>
      <c r="J1557" s="44" t="s">
        <v>1567</v>
      </c>
      <c r="K1557" s="2">
        <v>100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/>
      <c r="AM1557" s="2" t="s">
        <v>1567</v>
      </c>
      <c r="AN1557" s="2">
        <f t="shared" si="245"/>
        <v>0</v>
      </c>
      <c r="AO1557" s="2">
        <f t="shared" si="246"/>
        <v>0</v>
      </c>
      <c r="AP1557" s="2">
        <f t="shared" si="247"/>
        <v>0</v>
      </c>
      <c r="AQ1557" s="2">
        <f t="shared" si="248"/>
        <v>0</v>
      </c>
      <c r="AR1557" s="2">
        <f t="shared" si="249"/>
        <v>0</v>
      </c>
      <c r="AS1557" s="2">
        <f t="shared" si="250"/>
        <v>0</v>
      </c>
      <c r="AT1557" s="25">
        <f t="shared" si="251"/>
        <v>0</v>
      </c>
    </row>
    <row r="1558" spans="1:46">
      <c r="A1558" s="24">
        <v>46133</v>
      </c>
      <c r="B1558" s="23">
        <f t="shared" si="243"/>
        <v>46113</v>
      </c>
      <c r="C1558" s="2" t="s">
        <v>46</v>
      </c>
      <c r="D1558" s="2" t="s">
        <v>54</v>
      </c>
      <c r="E1558" s="2">
        <v>1774</v>
      </c>
      <c r="F1558" s="2">
        <v>36</v>
      </c>
      <c r="G1558" s="2">
        <v>36</v>
      </c>
      <c r="H1558" s="2">
        <v>35</v>
      </c>
      <c r="I1558" s="2">
        <f t="shared" si="244"/>
        <v>1</v>
      </c>
      <c r="J1558" s="44" t="s">
        <v>1567</v>
      </c>
      <c r="K1558" s="2">
        <v>100</v>
      </c>
      <c r="L1558" s="2">
        <v>1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/>
      <c r="AM1558" s="2" t="s">
        <v>1567</v>
      </c>
      <c r="AN1558" s="2">
        <f t="shared" si="245"/>
        <v>1</v>
      </c>
      <c r="AO1558" s="2">
        <f t="shared" si="246"/>
        <v>0</v>
      </c>
      <c r="AP1558" s="2">
        <f t="shared" si="247"/>
        <v>0</v>
      </c>
      <c r="AQ1558" s="2">
        <f t="shared" si="248"/>
        <v>0</v>
      </c>
      <c r="AR1558" s="2">
        <f t="shared" si="249"/>
        <v>0</v>
      </c>
      <c r="AS1558" s="2">
        <f t="shared" si="250"/>
        <v>0</v>
      </c>
      <c r="AT1558" s="25">
        <f t="shared" si="251"/>
        <v>0</v>
      </c>
    </row>
    <row r="1559" spans="1:46">
      <c r="A1559" s="24">
        <v>46133</v>
      </c>
      <c r="B1559" s="23">
        <f t="shared" si="243"/>
        <v>46113</v>
      </c>
      <c r="C1559" s="2" t="s">
        <v>95</v>
      </c>
      <c r="D1559" s="2" t="s">
        <v>347</v>
      </c>
      <c r="E1559" s="2">
        <v>3240</v>
      </c>
      <c r="F1559" s="2">
        <v>360</v>
      </c>
      <c r="G1559" s="2">
        <v>360</v>
      </c>
      <c r="H1559" s="2">
        <v>350</v>
      </c>
      <c r="I1559" s="2">
        <f t="shared" si="244"/>
        <v>10</v>
      </c>
      <c r="J1559" s="44" t="s">
        <v>1567</v>
      </c>
      <c r="K1559" s="2">
        <v>100</v>
      </c>
      <c r="L1559" s="2">
        <v>10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/>
      <c r="AM1559" s="2" t="s">
        <v>1567</v>
      </c>
      <c r="AN1559" s="2">
        <f t="shared" si="245"/>
        <v>10</v>
      </c>
      <c r="AO1559" s="2">
        <f t="shared" si="246"/>
        <v>0</v>
      </c>
      <c r="AP1559" s="2">
        <f t="shared" si="247"/>
        <v>0</v>
      </c>
      <c r="AQ1559" s="2">
        <f t="shared" si="248"/>
        <v>0</v>
      </c>
      <c r="AR1559" s="2">
        <f t="shared" si="249"/>
        <v>0</v>
      </c>
      <c r="AS1559" s="2">
        <f t="shared" si="250"/>
        <v>0</v>
      </c>
      <c r="AT1559" s="25">
        <f t="shared" si="251"/>
        <v>0</v>
      </c>
    </row>
    <row r="1560" spans="1:46">
      <c r="A1560" s="24">
        <v>46134</v>
      </c>
      <c r="B1560" s="23">
        <f t="shared" si="243"/>
        <v>46113</v>
      </c>
      <c r="C1560" s="2" t="s">
        <v>72</v>
      </c>
      <c r="D1560" s="2" t="s">
        <v>219</v>
      </c>
      <c r="E1560" s="2">
        <v>3123</v>
      </c>
      <c r="F1560" s="2">
        <v>34</v>
      </c>
      <c r="G1560" s="2">
        <v>34</v>
      </c>
      <c r="H1560" s="2">
        <v>34</v>
      </c>
      <c r="I1560" s="2">
        <f t="shared" si="244"/>
        <v>0</v>
      </c>
      <c r="J1560" s="44" t="s">
        <v>103</v>
      </c>
      <c r="K1560" s="2">
        <v>100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/>
      <c r="AM1560" s="2" t="s">
        <v>103</v>
      </c>
      <c r="AN1560" s="2">
        <f t="shared" si="245"/>
        <v>0</v>
      </c>
      <c r="AO1560" s="2">
        <f t="shared" si="246"/>
        <v>0</v>
      </c>
      <c r="AP1560" s="2">
        <f t="shared" si="247"/>
        <v>0</v>
      </c>
      <c r="AQ1560" s="2">
        <f t="shared" si="248"/>
        <v>0</v>
      </c>
      <c r="AR1560" s="2">
        <f t="shared" si="249"/>
        <v>0</v>
      </c>
      <c r="AS1560" s="2">
        <f t="shared" si="250"/>
        <v>0</v>
      </c>
      <c r="AT1560" s="25">
        <f t="shared" si="251"/>
        <v>0</v>
      </c>
    </row>
    <row r="1561" spans="1:46">
      <c r="A1561" s="24">
        <v>46134</v>
      </c>
      <c r="B1561" s="23">
        <f t="shared" si="243"/>
        <v>46113</v>
      </c>
      <c r="C1561" s="2" t="s">
        <v>72</v>
      </c>
      <c r="D1561" s="2" t="s">
        <v>88</v>
      </c>
      <c r="E1561" s="2">
        <v>1825</v>
      </c>
      <c r="F1561" s="2">
        <v>25</v>
      </c>
      <c r="G1561" s="2">
        <v>25</v>
      </c>
      <c r="H1561" s="2">
        <v>23</v>
      </c>
      <c r="I1561" s="2">
        <f t="shared" si="244"/>
        <v>2</v>
      </c>
      <c r="J1561" s="44" t="s">
        <v>103</v>
      </c>
      <c r="K1561" s="2">
        <v>100</v>
      </c>
      <c r="L1561" s="2">
        <v>2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/>
      <c r="AM1561" s="2" t="s">
        <v>103</v>
      </c>
      <c r="AN1561" s="2">
        <f t="shared" si="245"/>
        <v>2</v>
      </c>
      <c r="AO1561" s="2">
        <f t="shared" si="246"/>
        <v>0</v>
      </c>
      <c r="AP1561" s="2">
        <f t="shared" si="247"/>
        <v>0</v>
      </c>
      <c r="AQ1561" s="2">
        <f t="shared" si="248"/>
        <v>0</v>
      </c>
      <c r="AR1561" s="2">
        <f t="shared" si="249"/>
        <v>0</v>
      </c>
      <c r="AS1561" s="2">
        <f t="shared" si="250"/>
        <v>0</v>
      </c>
      <c r="AT1561" s="25">
        <f t="shared" si="251"/>
        <v>0</v>
      </c>
    </row>
    <row r="1562" spans="1:46">
      <c r="A1562" s="24">
        <v>46134</v>
      </c>
      <c r="B1562" s="23">
        <f t="shared" si="243"/>
        <v>46113</v>
      </c>
      <c r="C1562" s="2" t="s">
        <v>72</v>
      </c>
      <c r="D1562" s="2" t="s">
        <v>374</v>
      </c>
      <c r="E1562" s="2">
        <v>2418</v>
      </c>
      <c r="F1562" s="2">
        <v>36</v>
      </c>
      <c r="G1562" s="2">
        <v>36</v>
      </c>
      <c r="H1562" s="2">
        <v>36</v>
      </c>
      <c r="I1562" s="2">
        <f t="shared" si="244"/>
        <v>0</v>
      </c>
      <c r="J1562" s="44" t="s">
        <v>103</v>
      </c>
      <c r="K1562" s="2">
        <v>100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/>
      <c r="AM1562" s="2" t="s">
        <v>103</v>
      </c>
      <c r="AN1562" s="2">
        <f t="shared" si="245"/>
        <v>0</v>
      </c>
      <c r="AO1562" s="2">
        <f t="shared" si="246"/>
        <v>0</v>
      </c>
      <c r="AP1562" s="2">
        <f t="shared" si="247"/>
        <v>0</v>
      </c>
      <c r="AQ1562" s="2">
        <f t="shared" si="248"/>
        <v>0</v>
      </c>
      <c r="AR1562" s="2">
        <f t="shared" si="249"/>
        <v>0</v>
      </c>
      <c r="AS1562" s="2">
        <f t="shared" si="250"/>
        <v>0</v>
      </c>
      <c r="AT1562" s="25">
        <f t="shared" si="251"/>
        <v>0</v>
      </c>
    </row>
    <row r="1563" spans="1:46">
      <c r="A1563" s="24">
        <v>46134</v>
      </c>
      <c r="B1563" s="23">
        <f t="shared" si="243"/>
        <v>46113</v>
      </c>
      <c r="C1563" s="2" t="s">
        <v>72</v>
      </c>
      <c r="D1563" s="2" t="s">
        <v>71</v>
      </c>
      <c r="E1563" s="2">
        <v>1825</v>
      </c>
      <c r="F1563" s="2">
        <v>25</v>
      </c>
      <c r="G1563" s="2">
        <v>25</v>
      </c>
      <c r="H1563" s="2">
        <v>24</v>
      </c>
      <c r="I1563" s="2">
        <f t="shared" si="244"/>
        <v>1</v>
      </c>
      <c r="J1563" s="44" t="s">
        <v>103</v>
      </c>
      <c r="K1563" s="2">
        <v>100</v>
      </c>
      <c r="L1563" s="2">
        <v>1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/>
      <c r="AM1563" s="2" t="s">
        <v>103</v>
      </c>
      <c r="AN1563" s="2">
        <f t="shared" si="245"/>
        <v>1</v>
      </c>
      <c r="AO1563" s="2">
        <f t="shared" si="246"/>
        <v>0</v>
      </c>
      <c r="AP1563" s="2">
        <f t="shared" si="247"/>
        <v>0</v>
      </c>
      <c r="AQ1563" s="2">
        <f t="shared" si="248"/>
        <v>0</v>
      </c>
      <c r="AR1563" s="2">
        <f t="shared" si="249"/>
        <v>0</v>
      </c>
      <c r="AS1563" s="2">
        <f t="shared" si="250"/>
        <v>0</v>
      </c>
      <c r="AT1563" s="25">
        <f t="shared" si="251"/>
        <v>0</v>
      </c>
    </row>
    <row r="1564" spans="1:46">
      <c r="A1564" s="24">
        <v>46134</v>
      </c>
      <c r="B1564" s="23">
        <f t="shared" si="243"/>
        <v>46113</v>
      </c>
      <c r="C1564" s="2" t="s">
        <v>72</v>
      </c>
      <c r="D1564" s="2" t="s">
        <v>184</v>
      </c>
      <c r="E1564" s="2">
        <v>3317</v>
      </c>
      <c r="F1564" s="2">
        <v>13</v>
      </c>
      <c r="G1564" s="2">
        <v>13</v>
      </c>
      <c r="H1564" s="2">
        <v>13</v>
      </c>
      <c r="I1564" s="2">
        <f t="shared" si="244"/>
        <v>0</v>
      </c>
      <c r="J1564" s="44" t="s">
        <v>103</v>
      </c>
      <c r="K1564" s="2">
        <v>100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/>
      <c r="AM1564" s="2" t="s">
        <v>103</v>
      </c>
      <c r="AN1564" s="2">
        <f t="shared" si="245"/>
        <v>0</v>
      </c>
      <c r="AO1564" s="2">
        <f t="shared" si="246"/>
        <v>0</v>
      </c>
      <c r="AP1564" s="2">
        <f t="shared" si="247"/>
        <v>0</v>
      </c>
      <c r="AQ1564" s="2">
        <f t="shared" si="248"/>
        <v>0</v>
      </c>
      <c r="AR1564" s="2">
        <f t="shared" si="249"/>
        <v>0</v>
      </c>
      <c r="AS1564" s="2">
        <f t="shared" si="250"/>
        <v>0</v>
      </c>
      <c r="AT1564" s="25">
        <f t="shared" si="251"/>
        <v>0</v>
      </c>
    </row>
    <row r="1565" spans="1:46">
      <c r="A1565" s="24">
        <v>46134</v>
      </c>
      <c r="B1565" s="23">
        <f t="shared" si="243"/>
        <v>46113</v>
      </c>
      <c r="C1565" s="2" t="s">
        <v>72</v>
      </c>
      <c r="D1565" s="2" t="s">
        <v>313</v>
      </c>
      <c r="E1565" s="2">
        <v>3317</v>
      </c>
      <c r="F1565" s="2">
        <v>24</v>
      </c>
      <c r="G1565" s="2">
        <v>24</v>
      </c>
      <c r="H1565" s="2">
        <v>24</v>
      </c>
      <c r="I1565" s="2">
        <f t="shared" si="244"/>
        <v>0</v>
      </c>
      <c r="J1565" s="44" t="s">
        <v>103</v>
      </c>
      <c r="K1565" s="2">
        <v>100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/>
      <c r="AM1565" s="2" t="s">
        <v>103</v>
      </c>
      <c r="AN1565" s="2">
        <f t="shared" si="245"/>
        <v>0</v>
      </c>
      <c r="AO1565" s="2">
        <f t="shared" si="246"/>
        <v>0</v>
      </c>
      <c r="AP1565" s="2">
        <f t="shared" si="247"/>
        <v>0</v>
      </c>
      <c r="AQ1565" s="2">
        <f t="shared" si="248"/>
        <v>0</v>
      </c>
      <c r="AR1565" s="2">
        <f t="shared" si="249"/>
        <v>0</v>
      </c>
      <c r="AS1565" s="2">
        <f t="shared" si="250"/>
        <v>0</v>
      </c>
      <c r="AT1565" s="25">
        <f t="shared" si="251"/>
        <v>0</v>
      </c>
    </row>
    <row r="1566" spans="1:46">
      <c r="A1566" s="24">
        <v>46134</v>
      </c>
      <c r="B1566" s="23">
        <f t="shared" si="243"/>
        <v>46113</v>
      </c>
      <c r="C1566" s="2" t="s">
        <v>72</v>
      </c>
      <c r="D1566" s="2" t="s">
        <v>1514</v>
      </c>
      <c r="E1566" s="2">
        <v>3341</v>
      </c>
      <c r="F1566" s="2">
        <v>39</v>
      </c>
      <c r="G1566" s="2">
        <v>39</v>
      </c>
      <c r="H1566" s="2">
        <v>39</v>
      </c>
      <c r="I1566" s="2">
        <f t="shared" si="244"/>
        <v>0</v>
      </c>
      <c r="J1566" s="44" t="s">
        <v>103</v>
      </c>
      <c r="K1566" s="2">
        <v>100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/>
      <c r="AM1566" s="2" t="s">
        <v>103</v>
      </c>
      <c r="AN1566" s="2">
        <f t="shared" si="245"/>
        <v>0</v>
      </c>
      <c r="AO1566" s="2">
        <f t="shared" si="246"/>
        <v>0</v>
      </c>
      <c r="AP1566" s="2">
        <f t="shared" si="247"/>
        <v>0</v>
      </c>
      <c r="AQ1566" s="2">
        <f t="shared" si="248"/>
        <v>0</v>
      </c>
      <c r="AR1566" s="2">
        <f t="shared" si="249"/>
        <v>0</v>
      </c>
      <c r="AS1566" s="2">
        <f t="shared" si="250"/>
        <v>0</v>
      </c>
      <c r="AT1566" s="25">
        <f t="shared" si="251"/>
        <v>0</v>
      </c>
    </row>
    <row r="1567" spans="1:46">
      <c r="A1567" s="24">
        <v>46134</v>
      </c>
      <c r="B1567" s="23">
        <f t="shared" si="243"/>
        <v>46113</v>
      </c>
      <c r="C1567" s="2" t="s">
        <v>55</v>
      </c>
      <c r="D1567" s="2" t="s">
        <v>357</v>
      </c>
      <c r="E1567" s="2">
        <v>7078</v>
      </c>
      <c r="F1567" s="2">
        <v>574</v>
      </c>
      <c r="G1567" s="2">
        <v>574</v>
      </c>
      <c r="H1567" s="2">
        <v>522</v>
      </c>
      <c r="I1567" s="2">
        <f t="shared" si="244"/>
        <v>52</v>
      </c>
      <c r="J1567" s="44" t="s">
        <v>80</v>
      </c>
      <c r="K1567" s="2">
        <v>100</v>
      </c>
      <c r="L1567" s="2">
        <v>24</v>
      </c>
      <c r="M1567" s="2">
        <v>6</v>
      </c>
      <c r="N1567" s="2">
        <v>4</v>
      </c>
      <c r="O1567" s="2">
        <v>0</v>
      </c>
      <c r="P1567" s="2">
        <v>18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/>
      <c r="AM1567" s="2" t="s">
        <v>80</v>
      </c>
      <c r="AN1567" s="2">
        <f t="shared" si="245"/>
        <v>24</v>
      </c>
      <c r="AO1567" s="2">
        <f t="shared" si="246"/>
        <v>28</v>
      </c>
      <c r="AP1567" s="2">
        <f t="shared" si="247"/>
        <v>0</v>
      </c>
      <c r="AQ1567" s="2">
        <f t="shared" si="248"/>
        <v>0</v>
      </c>
      <c r="AR1567" s="2">
        <f t="shared" si="249"/>
        <v>0</v>
      </c>
      <c r="AS1567" s="2">
        <f t="shared" si="250"/>
        <v>0</v>
      </c>
      <c r="AT1567" s="25">
        <f t="shared" si="251"/>
        <v>0</v>
      </c>
    </row>
    <row r="1568" spans="1:46">
      <c r="A1568" s="24">
        <v>46134</v>
      </c>
      <c r="B1568" s="23">
        <f t="shared" si="243"/>
        <v>46113</v>
      </c>
      <c r="C1568" s="2" t="s">
        <v>55</v>
      </c>
      <c r="D1568" s="2" t="s">
        <v>352</v>
      </c>
      <c r="E1568" s="2">
        <v>7078</v>
      </c>
      <c r="F1568" s="2">
        <v>150</v>
      </c>
      <c r="G1568" s="2">
        <v>150</v>
      </c>
      <c r="H1568" s="2">
        <v>137</v>
      </c>
      <c r="I1568" s="2">
        <f t="shared" si="244"/>
        <v>13</v>
      </c>
      <c r="J1568" s="44" t="s">
        <v>80</v>
      </c>
      <c r="K1568" s="2">
        <v>100</v>
      </c>
      <c r="L1568" s="2">
        <v>6</v>
      </c>
      <c r="M1568" s="2">
        <v>0</v>
      </c>
      <c r="N1568" s="2">
        <v>0</v>
      </c>
      <c r="O1568" s="2">
        <v>0</v>
      </c>
      <c r="P1568" s="2">
        <v>5</v>
      </c>
      <c r="Q1568" s="2">
        <v>0</v>
      </c>
      <c r="R1568" s="2">
        <v>1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1</v>
      </c>
      <c r="AH1568" s="2">
        <v>0</v>
      </c>
      <c r="AI1568" s="2">
        <v>0</v>
      </c>
      <c r="AJ1568" s="2">
        <v>0</v>
      </c>
      <c r="AK1568" s="2">
        <v>0</v>
      </c>
      <c r="AL1568" s="2"/>
      <c r="AM1568" s="2" t="s">
        <v>80</v>
      </c>
      <c r="AN1568" s="2">
        <f t="shared" si="245"/>
        <v>6</v>
      </c>
      <c r="AO1568" s="2">
        <f t="shared" si="246"/>
        <v>6</v>
      </c>
      <c r="AP1568" s="2">
        <f t="shared" si="247"/>
        <v>0</v>
      </c>
      <c r="AQ1568" s="2">
        <f t="shared" si="248"/>
        <v>0</v>
      </c>
      <c r="AR1568" s="2">
        <f t="shared" si="249"/>
        <v>0</v>
      </c>
      <c r="AS1568" s="2">
        <f t="shared" si="250"/>
        <v>1</v>
      </c>
      <c r="AT1568" s="25">
        <f t="shared" si="251"/>
        <v>0</v>
      </c>
    </row>
    <row r="1569" spans="1:46">
      <c r="A1569" s="24">
        <v>46134</v>
      </c>
      <c r="B1569" s="23">
        <f t="shared" si="243"/>
        <v>46113</v>
      </c>
      <c r="C1569" s="2" t="s">
        <v>114</v>
      </c>
      <c r="D1569" s="2" t="s">
        <v>399</v>
      </c>
      <c r="E1569" s="2">
        <v>9151</v>
      </c>
      <c r="F1569" s="2">
        <v>633</v>
      </c>
      <c r="G1569" s="2">
        <v>633</v>
      </c>
      <c r="H1569" s="2">
        <v>594</v>
      </c>
      <c r="I1569" s="2">
        <f t="shared" si="244"/>
        <v>39</v>
      </c>
      <c r="J1569" s="44" t="s">
        <v>80</v>
      </c>
      <c r="K1569" s="2">
        <v>100</v>
      </c>
      <c r="L1569" s="2">
        <v>19</v>
      </c>
      <c r="M1569" s="2">
        <v>0</v>
      </c>
      <c r="N1569" s="2">
        <v>0</v>
      </c>
      <c r="O1569" s="2">
        <v>0</v>
      </c>
      <c r="P1569" s="2">
        <v>20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/>
      <c r="AM1569" s="2" t="s">
        <v>80</v>
      </c>
      <c r="AN1569" s="2">
        <f t="shared" si="245"/>
        <v>19</v>
      </c>
      <c r="AO1569" s="2">
        <f t="shared" si="246"/>
        <v>20</v>
      </c>
      <c r="AP1569" s="2">
        <f t="shared" si="247"/>
        <v>0</v>
      </c>
      <c r="AQ1569" s="2">
        <f t="shared" si="248"/>
        <v>0</v>
      </c>
      <c r="AR1569" s="2">
        <f t="shared" si="249"/>
        <v>0</v>
      </c>
      <c r="AS1569" s="2">
        <f t="shared" si="250"/>
        <v>0</v>
      </c>
      <c r="AT1569" s="25">
        <f t="shared" si="251"/>
        <v>0</v>
      </c>
    </row>
    <row r="1570" spans="1:46">
      <c r="A1570" s="24">
        <v>46134</v>
      </c>
      <c r="B1570" s="23">
        <f t="shared" si="243"/>
        <v>46113</v>
      </c>
      <c r="C1570" s="2" t="s">
        <v>72</v>
      </c>
      <c r="D1570" s="2" t="s">
        <v>362</v>
      </c>
      <c r="E1570" s="2">
        <v>9315</v>
      </c>
      <c r="F1570" s="2">
        <v>195</v>
      </c>
      <c r="G1570" s="2">
        <v>195</v>
      </c>
      <c r="H1570" s="2">
        <v>184</v>
      </c>
      <c r="I1570" s="2">
        <f t="shared" si="244"/>
        <v>11</v>
      </c>
      <c r="J1570" s="44" t="s">
        <v>80</v>
      </c>
      <c r="K1570" s="2">
        <v>100</v>
      </c>
      <c r="L1570" s="2">
        <v>7</v>
      </c>
      <c r="M1570" s="2">
        <v>0</v>
      </c>
      <c r="N1570" s="2">
        <v>0</v>
      </c>
      <c r="O1570" s="2">
        <v>0</v>
      </c>
      <c r="P1570" s="2">
        <v>4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/>
      <c r="AM1570" s="2" t="s">
        <v>80</v>
      </c>
      <c r="AN1570" s="2">
        <f t="shared" si="245"/>
        <v>7</v>
      </c>
      <c r="AO1570" s="2">
        <f t="shared" si="246"/>
        <v>4</v>
      </c>
      <c r="AP1570" s="2">
        <f t="shared" si="247"/>
        <v>0</v>
      </c>
      <c r="AQ1570" s="2">
        <f t="shared" si="248"/>
        <v>0</v>
      </c>
      <c r="AR1570" s="2">
        <f t="shared" si="249"/>
        <v>0</v>
      </c>
      <c r="AS1570" s="2">
        <f t="shared" si="250"/>
        <v>0</v>
      </c>
      <c r="AT1570" s="25">
        <f t="shared" si="251"/>
        <v>0</v>
      </c>
    </row>
    <row r="1571" spans="1:46">
      <c r="A1571" s="24">
        <v>46134</v>
      </c>
      <c r="B1571" s="23">
        <f t="shared" si="243"/>
        <v>46113</v>
      </c>
      <c r="C1571" s="2" t="s">
        <v>95</v>
      </c>
      <c r="D1571" s="2" t="s">
        <v>175</v>
      </c>
      <c r="E1571" s="2">
        <v>6292</v>
      </c>
      <c r="F1571" s="2">
        <v>56</v>
      </c>
      <c r="G1571" s="2">
        <v>56</v>
      </c>
      <c r="H1571" s="2">
        <v>38</v>
      </c>
      <c r="I1571" s="2">
        <f t="shared" si="244"/>
        <v>18</v>
      </c>
      <c r="J1571" s="44" t="s">
        <v>1567</v>
      </c>
      <c r="K1571" s="2">
        <v>100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18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/>
      <c r="AM1571" s="2" t="s">
        <v>1567</v>
      </c>
      <c r="AN1571" s="2">
        <f t="shared" si="245"/>
        <v>0</v>
      </c>
      <c r="AO1571" s="2">
        <f t="shared" si="246"/>
        <v>0</v>
      </c>
      <c r="AP1571" s="2">
        <f t="shared" si="247"/>
        <v>18</v>
      </c>
      <c r="AQ1571" s="2">
        <f t="shared" si="248"/>
        <v>0</v>
      </c>
      <c r="AR1571" s="2">
        <f t="shared" si="249"/>
        <v>0</v>
      </c>
      <c r="AS1571" s="2">
        <f t="shared" si="250"/>
        <v>0</v>
      </c>
      <c r="AT1571" s="25">
        <f t="shared" si="251"/>
        <v>0</v>
      </c>
    </row>
    <row r="1572" spans="1:46">
      <c r="A1572" s="24">
        <v>46134</v>
      </c>
      <c r="B1572" s="23">
        <f t="shared" si="243"/>
        <v>46113</v>
      </c>
      <c r="C1572" s="2" t="s">
        <v>95</v>
      </c>
      <c r="D1572" s="2" t="s">
        <v>136</v>
      </c>
      <c r="E1572" s="2">
        <v>2679</v>
      </c>
      <c r="F1572" s="2">
        <v>35</v>
      </c>
      <c r="G1572" s="2">
        <v>35</v>
      </c>
      <c r="H1572" s="2">
        <v>34</v>
      </c>
      <c r="I1572" s="2">
        <f t="shared" si="244"/>
        <v>1</v>
      </c>
      <c r="J1572" s="44" t="s">
        <v>1567</v>
      </c>
      <c r="K1572" s="2">
        <v>100</v>
      </c>
      <c r="L1572" s="2">
        <v>1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/>
      <c r="AM1572" s="2" t="s">
        <v>1567</v>
      </c>
      <c r="AN1572" s="2">
        <f t="shared" si="245"/>
        <v>1</v>
      </c>
      <c r="AO1572" s="2">
        <f t="shared" si="246"/>
        <v>0</v>
      </c>
      <c r="AP1572" s="2">
        <f t="shared" si="247"/>
        <v>0</v>
      </c>
      <c r="AQ1572" s="2">
        <f t="shared" si="248"/>
        <v>0</v>
      </c>
      <c r="AR1572" s="2">
        <f t="shared" si="249"/>
        <v>0</v>
      </c>
      <c r="AS1572" s="2">
        <f t="shared" si="250"/>
        <v>0</v>
      </c>
      <c r="AT1572" s="25">
        <f t="shared" si="251"/>
        <v>0</v>
      </c>
    </row>
    <row r="1573" spans="1:46">
      <c r="A1573" s="24">
        <v>46134</v>
      </c>
      <c r="B1573" s="23">
        <f t="shared" si="243"/>
        <v>46113</v>
      </c>
      <c r="C1573" s="2" t="s">
        <v>95</v>
      </c>
      <c r="D1573" s="2" t="s">
        <v>299</v>
      </c>
      <c r="E1573" s="2">
        <v>2679</v>
      </c>
      <c r="F1573" s="2">
        <v>26</v>
      </c>
      <c r="G1573" s="2">
        <v>26</v>
      </c>
      <c r="H1573" s="2">
        <v>26</v>
      </c>
      <c r="I1573" s="2">
        <f t="shared" si="244"/>
        <v>0</v>
      </c>
      <c r="J1573" s="44" t="s">
        <v>1567</v>
      </c>
      <c r="K1573" s="2">
        <v>100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/>
      <c r="AM1573" s="2" t="s">
        <v>1567</v>
      </c>
      <c r="AN1573" s="2">
        <f t="shared" si="245"/>
        <v>0</v>
      </c>
      <c r="AO1573" s="2">
        <f t="shared" si="246"/>
        <v>0</v>
      </c>
      <c r="AP1573" s="2">
        <f t="shared" si="247"/>
        <v>0</v>
      </c>
      <c r="AQ1573" s="2">
        <f t="shared" si="248"/>
        <v>0</v>
      </c>
      <c r="AR1573" s="2">
        <f t="shared" si="249"/>
        <v>0</v>
      </c>
      <c r="AS1573" s="2">
        <f t="shared" si="250"/>
        <v>0</v>
      </c>
      <c r="AT1573" s="25">
        <f t="shared" si="251"/>
        <v>0</v>
      </c>
    </row>
    <row r="1574" spans="1:46">
      <c r="A1574" s="24">
        <v>46134</v>
      </c>
      <c r="B1574" s="23">
        <f t="shared" si="243"/>
        <v>46113</v>
      </c>
      <c r="C1574" s="2" t="s">
        <v>95</v>
      </c>
      <c r="D1574" s="2" t="s">
        <v>1228</v>
      </c>
      <c r="E1574" s="2">
        <v>3322</v>
      </c>
      <c r="F1574" s="2">
        <v>39</v>
      </c>
      <c r="G1574" s="2">
        <v>39</v>
      </c>
      <c r="H1574" s="2">
        <v>36</v>
      </c>
      <c r="I1574" s="2">
        <f t="shared" si="244"/>
        <v>3</v>
      </c>
      <c r="J1574" s="44" t="s">
        <v>1567</v>
      </c>
      <c r="K1574" s="2">
        <v>100</v>
      </c>
      <c r="L1574" s="2">
        <v>3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/>
      <c r="AM1574" s="2" t="s">
        <v>1567</v>
      </c>
      <c r="AN1574" s="2">
        <f t="shared" si="245"/>
        <v>3</v>
      </c>
      <c r="AO1574" s="2">
        <f t="shared" si="246"/>
        <v>0</v>
      </c>
      <c r="AP1574" s="2">
        <f t="shared" si="247"/>
        <v>0</v>
      </c>
      <c r="AQ1574" s="2">
        <f t="shared" si="248"/>
        <v>0</v>
      </c>
      <c r="AR1574" s="2">
        <f t="shared" si="249"/>
        <v>0</v>
      </c>
      <c r="AS1574" s="2">
        <f t="shared" si="250"/>
        <v>0</v>
      </c>
      <c r="AT1574" s="25">
        <f t="shared" si="251"/>
        <v>0</v>
      </c>
    </row>
    <row r="1575" spans="1:46">
      <c r="A1575" s="24">
        <v>46134</v>
      </c>
      <c r="B1575" s="23">
        <f t="shared" si="243"/>
        <v>46113</v>
      </c>
      <c r="C1575" s="2" t="s">
        <v>95</v>
      </c>
      <c r="D1575" s="2" t="s">
        <v>347</v>
      </c>
      <c r="E1575" s="2">
        <v>3240</v>
      </c>
      <c r="F1575" s="2">
        <v>1184</v>
      </c>
      <c r="G1575" s="2">
        <v>1184</v>
      </c>
      <c r="H1575" s="2">
        <v>1140</v>
      </c>
      <c r="I1575" s="2">
        <f t="shared" si="244"/>
        <v>44</v>
      </c>
      <c r="J1575" s="44" t="s">
        <v>1567</v>
      </c>
      <c r="K1575" s="2">
        <v>100</v>
      </c>
      <c r="L1575" s="2">
        <v>40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4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/>
      <c r="AM1575" s="2" t="s">
        <v>1567</v>
      </c>
      <c r="AN1575" s="2">
        <f t="shared" si="245"/>
        <v>40</v>
      </c>
      <c r="AO1575" s="2">
        <f t="shared" si="246"/>
        <v>4</v>
      </c>
      <c r="AP1575" s="2">
        <f t="shared" si="247"/>
        <v>0</v>
      </c>
      <c r="AQ1575" s="2">
        <f t="shared" si="248"/>
        <v>0</v>
      </c>
      <c r="AR1575" s="2">
        <f t="shared" si="249"/>
        <v>0</v>
      </c>
      <c r="AS1575" s="2">
        <f t="shared" si="250"/>
        <v>0</v>
      </c>
      <c r="AT1575" s="25">
        <f t="shared" si="251"/>
        <v>0</v>
      </c>
    </row>
    <row r="1576" spans="1:46">
      <c r="A1576" s="24">
        <v>46134</v>
      </c>
      <c r="B1576" s="23">
        <f t="shared" si="243"/>
        <v>46113</v>
      </c>
      <c r="C1576" s="2" t="s">
        <v>1484</v>
      </c>
      <c r="D1576" s="2" t="s">
        <v>347</v>
      </c>
      <c r="E1576" s="2">
        <v>3240</v>
      </c>
      <c r="F1576" s="2">
        <v>195</v>
      </c>
      <c r="G1576" s="2">
        <v>195</v>
      </c>
      <c r="H1576" s="2">
        <v>189</v>
      </c>
      <c r="I1576" s="2">
        <f t="shared" si="244"/>
        <v>6</v>
      </c>
      <c r="J1576" s="44" t="s">
        <v>1566</v>
      </c>
      <c r="K1576" s="2">
        <v>100</v>
      </c>
      <c r="L1576" s="2">
        <v>5</v>
      </c>
      <c r="M1576" s="2">
        <v>0</v>
      </c>
      <c r="N1576" s="2">
        <v>1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/>
      <c r="AM1576" s="2" t="s">
        <v>1566</v>
      </c>
      <c r="AN1576" s="2">
        <f t="shared" si="245"/>
        <v>5</v>
      </c>
      <c r="AO1576" s="2">
        <f t="shared" si="246"/>
        <v>1</v>
      </c>
      <c r="AP1576" s="2">
        <f t="shared" si="247"/>
        <v>0</v>
      </c>
      <c r="AQ1576" s="2">
        <f t="shared" si="248"/>
        <v>0</v>
      </c>
      <c r="AR1576" s="2">
        <f t="shared" si="249"/>
        <v>0</v>
      </c>
      <c r="AS1576" s="2">
        <f t="shared" si="250"/>
        <v>0</v>
      </c>
      <c r="AT1576" s="25">
        <f t="shared" si="251"/>
        <v>0</v>
      </c>
    </row>
    <row r="1577" spans="1:46">
      <c r="A1577" s="24">
        <v>46134</v>
      </c>
      <c r="B1577" s="23">
        <f t="shared" si="243"/>
        <v>46113</v>
      </c>
      <c r="C1577" s="2" t="s">
        <v>63</v>
      </c>
      <c r="D1577" s="2" t="s">
        <v>273</v>
      </c>
      <c r="E1577" s="2">
        <v>1802</v>
      </c>
      <c r="F1577" s="2">
        <v>27</v>
      </c>
      <c r="G1577" s="2">
        <v>27</v>
      </c>
      <c r="H1577" s="2">
        <v>26</v>
      </c>
      <c r="I1577" s="2">
        <f t="shared" si="244"/>
        <v>1</v>
      </c>
      <c r="J1577" s="44" t="s">
        <v>1568</v>
      </c>
      <c r="K1577" s="2">
        <v>100</v>
      </c>
      <c r="L1577" s="2">
        <v>1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/>
      <c r="AM1577" s="2" t="s">
        <v>1568</v>
      </c>
      <c r="AN1577" s="2">
        <f t="shared" si="245"/>
        <v>1</v>
      </c>
      <c r="AO1577" s="2">
        <f t="shared" si="246"/>
        <v>0</v>
      </c>
      <c r="AP1577" s="2">
        <f t="shared" si="247"/>
        <v>0</v>
      </c>
      <c r="AQ1577" s="2">
        <f t="shared" si="248"/>
        <v>0</v>
      </c>
      <c r="AR1577" s="2">
        <f t="shared" si="249"/>
        <v>0</v>
      </c>
      <c r="AS1577" s="2">
        <f t="shared" si="250"/>
        <v>0</v>
      </c>
      <c r="AT1577" s="25">
        <f t="shared" si="251"/>
        <v>0</v>
      </c>
    </row>
    <row r="1578" spans="1:46">
      <c r="A1578" s="24">
        <v>46134</v>
      </c>
      <c r="B1578" s="23">
        <f t="shared" si="243"/>
        <v>46113</v>
      </c>
      <c r="C1578" s="2" t="s">
        <v>72</v>
      </c>
      <c r="D1578" s="2" t="s">
        <v>363</v>
      </c>
      <c r="E1578" s="2">
        <v>9315</v>
      </c>
      <c r="F1578" s="2">
        <v>218</v>
      </c>
      <c r="G1578" s="2">
        <v>218</v>
      </c>
      <c r="H1578" s="2">
        <v>193</v>
      </c>
      <c r="I1578" s="2">
        <f t="shared" si="244"/>
        <v>25</v>
      </c>
      <c r="J1578" s="44" t="s">
        <v>1568</v>
      </c>
      <c r="K1578" s="2">
        <v>100</v>
      </c>
      <c r="L1578" s="2">
        <v>9</v>
      </c>
      <c r="M1578" s="2">
        <v>0</v>
      </c>
      <c r="N1578" s="2">
        <v>16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/>
      <c r="AM1578" s="2" t="s">
        <v>1568</v>
      </c>
      <c r="AN1578" s="2">
        <f t="shared" si="245"/>
        <v>9</v>
      </c>
      <c r="AO1578" s="2">
        <f t="shared" si="246"/>
        <v>16</v>
      </c>
      <c r="AP1578" s="2">
        <f t="shared" si="247"/>
        <v>0</v>
      </c>
      <c r="AQ1578" s="2">
        <f t="shared" si="248"/>
        <v>0</v>
      </c>
      <c r="AR1578" s="2">
        <f t="shared" si="249"/>
        <v>0</v>
      </c>
      <c r="AS1578" s="2">
        <f t="shared" si="250"/>
        <v>0</v>
      </c>
      <c r="AT1578" s="25">
        <f t="shared" si="251"/>
        <v>0</v>
      </c>
    </row>
    <row r="1579" spans="1:46">
      <c r="A1579" s="24">
        <v>46134</v>
      </c>
      <c r="B1579" s="23">
        <f t="shared" si="243"/>
        <v>46113</v>
      </c>
      <c r="C1579" s="2" t="s">
        <v>82</v>
      </c>
      <c r="D1579" s="2" t="s">
        <v>382</v>
      </c>
      <c r="E1579" s="2">
        <v>3184</v>
      </c>
      <c r="F1579" s="2">
        <v>38</v>
      </c>
      <c r="G1579" s="2">
        <v>38</v>
      </c>
      <c r="H1579" s="2">
        <v>38</v>
      </c>
      <c r="I1579" s="2">
        <f t="shared" si="244"/>
        <v>0</v>
      </c>
      <c r="J1579" s="44" t="s">
        <v>93</v>
      </c>
      <c r="K1579" s="2">
        <v>100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/>
      <c r="AM1579" s="2" t="s">
        <v>93</v>
      </c>
      <c r="AN1579" s="2">
        <f t="shared" si="245"/>
        <v>0</v>
      </c>
      <c r="AO1579" s="2">
        <f t="shared" si="246"/>
        <v>0</v>
      </c>
      <c r="AP1579" s="2">
        <f t="shared" si="247"/>
        <v>0</v>
      </c>
      <c r="AQ1579" s="2">
        <f t="shared" si="248"/>
        <v>0</v>
      </c>
      <c r="AR1579" s="2">
        <f t="shared" si="249"/>
        <v>0</v>
      </c>
      <c r="AS1579" s="2">
        <f t="shared" si="250"/>
        <v>0</v>
      </c>
      <c r="AT1579" s="25">
        <f t="shared" si="251"/>
        <v>0</v>
      </c>
    </row>
    <row r="1580" spans="1:46">
      <c r="A1580" s="24">
        <v>46134</v>
      </c>
      <c r="B1580" s="23">
        <f t="shared" si="243"/>
        <v>46113</v>
      </c>
      <c r="C1580" s="2" t="s">
        <v>160</v>
      </c>
      <c r="D1580" s="2" t="s">
        <v>207</v>
      </c>
      <c r="E1580" s="2">
        <v>6216</v>
      </c>
      <c r="F1580" s="2">
        <v>80</v>
      </c>
      <c r="G1580" s="2">
        <v>80</v>
      </c>
      <c r="H1580" s="2">
        <v>79</v>
      </c>
      <c r="I1580" s="2">
        <f t="shared" si="244"/>
        <v>1</v>
      </c>
      <c r="J1580" s="44" t="s">
        <v>93</v>
      </c>
      <c r="K1580" s="2">
        <v>100</v>
      </c>
      <c r="L1580" s="2">
        <v>1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/>
      <c r="AM1580" s="2" t="s">
        <v>93</v>
      </c>
      <c r="AN1580" s="2">
        <f t="shared" si="245"/>
        <v>1</v>
      </c>
      <c r="AO1580" s="2">
        <f t="shared" si="246"/>
        <v>0</v>
      </c>
      <c r="AP1580" s="2">
        <f t="shared" si="247"/>
        <v>0</v>
      </c>
      <c r="AQ1580" s="2">
        <f t="shared" si="248"/>
        <v>0</v>
      </c>
      <c r="AR1580" s="2">
        <f t="shared" si="249"/>
        <v>0</v>
      </c>
      <c r="AS1580" s="2">
        <f t="shared" si="250"/>
        <v>0</v>
      </c>
      <c r="AT1580" s="25">
        <f t="shared" si="251"/>
        <v>0</v>
      </c>
    </row>
    <row r="1581" spans="1:46">
      <c r="A1581" s="24">
        <v>46134</v>
      </c>
      <c r="B1581" s="23">
        <f t="shared" si="243"/>
        <v>46113</v>
      </c>
      <c r="C1581" s="2" t="s">
        <v>160</v>
      </c>
      <c r="D1581" s="2" t="s">
        <v>341</v>
      </c>
      <c r="E1581" s="2">
        <v>6216</v>
      </c>
      <c r="F1581" s="2">
        <v>27</v>
      </c>
      <c r="G1581" s="2">
        <v>27</v>
      </c>
      <c r="H1581" s="2">
        <v>25</v>
      </c>
      <c r="I1581" s="2">
        <f t="shared" si="244"/>
        <v>2</v>
      </c>
      <c r="J1581" s="44" t="s">
        <v>93</v>
      </c>
      <c r="K1581" s="2">
        <v>100</v>
      </c>
      <c r="L1581" s="2">
        <v>2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/>
      <c r="AM1581" s="2" t="s">
        <v>93</v>
      </c>
      <c r="AN1581" s="2">
        <f t="shared" si="245"/>
        <v>2</v>
      </c>
      <c r="AO1581" s="2">
        <f t="shared" si="246"/>
        <v>0</v>
      </c>
      <c r="AP1581" s="2">
        <f t="shared" si="247"/>
        <v>0</v>
      </c>
      <c r="AQ1581" s="2">
        <f t="shared" si="248"/>
        <v>0</v>
      </c>
      <c r="AR1581" s="2">
        <f t="shared" si="249"/>
        <v>0</v>
      </c>
      <c r="AS1581" s="2">
        <f t="shared" si="250"/>
        <v>0</v>
      </c>
      <c r="AT1581" s="25">
        <f t="shared" si="251"/>
        <v>0</v>
      </c>
    </row>
    <row r="1582" spans="1:46">
      <c r="A1582" s="24">
        <v>46134</v>
      </c>
      <c r="B1582" s="23">
        <f t="shared" si="243"/>
        <v>46113</v>
      </c>
      <c r="C1582" s="2" t="s">
        <v>82</v>
      </c>
      <c r="D1582" s="2" t="s">
        <v>117</v>
      </c>
      <c r="E1582" s="2">
        <v>2678</v>
      </c>
      <c r="F1582" s="2">
        <v>28</v>
      </c>
      <c r="G1582" s="2">
        <v>28</v>
      </c>
      <c r="H1582" s="2">
        <v>28</v>
      </c>
      <c r="I1582" s="2">
        <f t="shared" si="244"/>
        <v>0</v>
      </c>
      <c r="J1582" s="44" t="s">
        <v>93</v>
      </c>
      <c r="K1582" s="2">
        <v>100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/>
      <c r="AM1582" s="2" t="s">
        <v>93</v>
      </c>
      <c r="AN1582" s="2">
        <f t="shared" si="245"/>
        <v>0</v>
      </c>
      <c r="AO1582" s="2">
        <f t="shared" si="246"/>
        <v>0</v>
      </c>
      <c r="AP1582" s="2">
        <f t="shared" si="247"/>
        <v>0</v>
      </c>
      <c r="AQ1582" s="2">
        <f t="shared" si="248"/>
        <v>0</v>
      </c>
      <c r="AR1582" s="2">
        <f t="shared" si="249"/>
        <v>0</v>
      </c>
      <c r="AS1582" s="2">
        <f t="shared" si="250"/>
        <v>0</v>
      </c>
      <c r="AT1582" s="25">
        <f t="shared" si="251"/>
        <v>0</v>
      </c>
    </row>
    <row r="1583" spans="1:46">
      <c r="A1583" s="24">
        <v>46134</v>
      </c>
      <c r="B1583" s="23">
        <f t="shared" si="243"/>
        <v>46113</v>
      </c>
      <c r="C1583" s="2" t="s">
        <v>82</v>
      </c>
      <c r="D1583" s="2" t="s">
        <v>186</v>
      </c>
      <c r="E1583" s="2">
        <v>2628</v>
      </c>
      <c r="F1583" s="2">
        <v>29</v>
      </c>
      <c r="G1583" s="2">
        <v>29</v>
      </c>
      <c r="H1583" s="2">
        <v>29</v>
      </c>
      <c r="I1583" s="2">
        <f t="shared" si="244"/>
        <v>0</v>
      </c>
      <c r="J1583" s="44" t="s">
        <v>93</v>
      </c>
      <c r="K1583" s="2">
        <v>100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/>
      <c r="AM1583" s="2" t="s">
        <v>93</v>
      </c>
      <c r="AN1583" s="2">
        <f t="shared" si="245"/>
        <v>0</v>
      </c>
      <c r="AO1583" s="2">
        <f t="shared" si="246"/>
        <v>0</v>
      </c>
      <c r="AP1583" s="2">
        <f t="shared" si="247"/>
        <v>0</v>
      </c>
      <c r="AQ1583" s="2">
        <f t="shared" si="248"/>
        <v>0</v>
      </c>
      <c r="AR1583" s="2">
        <f t="shared" si="249"/>
        <v>0</v>
      </c>
      <c r="AS1583" s="2">
        <f t="shared" si="250"/>
        <v>0</v>
      </c>
      <c r="AT1583" s="25">
        <f t="shared" si="251"/>
        <v>0</v>
      </c>
    </row>
    <row r="1584" spans="1:46">
      <c r="A1584" s="24">
        <v>46134</v>
      </c>
      <c r="B1584" s="23">
        <f t="shared" si="243"/>
        <v>46113</v>
      </c>
      <c r="C1584" s="2" t="s">
        <v>82</v>
      </c>
      <c r="D1584" s="2" t="s">
        <v>163</v>
      </c>
      <c r="E1584" s="2">
        <v>3295</v>
      </c>
      <c r="F1584" s="2">
        <v>33</v>
      </c>
      <c r="G1584" s="2">
        <v>33</v>
      </c>
      <c r="H1584" s="2">
        <v>32</v>
      </c>
      <c r="I1584" s="2">
        <f t="shared" si="244"/>
        <v>1</v>
      </c>
      <c r="J1584" s="44" t="s">
        <v>93</v>
      </c>
      <c r="K1584" s="2">
        <v>100</v>
      </c>
      <c r="L1584" s="2">
        <v>1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/>
      <c r="AM1584" s="2" t="s">
        <v>93</v>
      </c>
      <c r="AN1584" s="2">
        <f t="shared" si="245"/>
        <v>1</v>
      </c>
      <c r="AO1584" s="2">
        <f t="shared" si="246"/>
        <v>0</v>
      </c>
      <c r="AP1584" s="2">
        <f t="shared" si="247"/>
        <v>0</v>
      </c>
      <c r="AQ1584" s="2">
        <f t="shared" si="248"/>
        <v>0</v>
      </c>
      <c r="AR1584" s="2">
        <f t="shared" si="249"/>
        <v>0</v>
      </c>
      <c r="AS1584" s="2">
        <f t="shared" si="250"/>
        <v>0</v>
      </c>
      <c r="AT1584" s="25">
        <f t="shared" si="251"/>
        <v>0</v>
      </c>
    </row>
    <row r="1585" spans="1:46">
      <c r="A1585" s="24">
        <v>46134</v>
      </c>
      <c r="B1585" s="23">
        <f t="shared" si="243"/>
        <v>46113</v>
      </c>
      <c r="C1585" s="2" t="s">
        <v>82</v>
      </c>
      <c r="D1585" s="2" t="s">
        <v>206</v>
      </c>
      <c r="E1585" s="2">
        <v>8141</v>
      </c>
      <c r="F1585" s="2">
        <v>37</v>
      </c>
      <c r="G1585" s="2">
        <v>37</v>
      </c>
      <c r="H1585" s="2">
        <v>37</v>
      </c>
      <c r="I1585" s="2">
        <f t="shared" si="244"/>
        <v>0</v>
      </c>
      <c r="J1585" s="44" t="s">
        <v>93</v>
      </c>
      <c r="K1585" s="2">
        <v>100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/>
      <c r="AM1585" s="2" t="s">
        <v>93</v>
      </c>
      <c r="AN1585" s="2">
        <f t="shared" si="245"/>
        <v>0</v>
      </c>
      <c r="AO1585" s="2">
        <f t="shared" si="246"/>
        <v>0</v>
      </c>
      <c r="AP1585" s="2">
        <f t="shared" si="247"/>
        <v>0</v>
      </c>
      <c r="AQ1585" s="2">
        <f t="shared" si="248"/>
        <v>0</v>
      </c>
      <c r="AR1585" s="2">
        <f t="shared" si="249"/>
        <v>0</v>
      </c>
      <c r="AS1585" s="2">
        <f t="shared" si="250"/>
        <v>0</v>
      </c>
      <c r="AT1585" s="25">
        <f t="shared" si="251"/>
        <v>0</v>
      </c>
    </row>
    <row r="1586" spans="1:46">
      <c r="A1586" s="24">
        <v>46134</v>
      </c>
      <c r="B1586" s="23">
        <f t="shared" si="243"/>
        <v>46113</v>
      </c>
      <c r="C1586" s="2" t="s">
        <v>97</v>
      </c>
      <c r="D1586" s="2" t="s">
        <v>1417</v>
      </c>
      <c r="E1586" s="2">
        <v>6237</v>
      </c>
      <c r="F1586" s="2">
        <v>288</v>
      </c>
      <c r="G1586" s="2">
        <v>288</v>
      </c>
      <c r="H1586" s="2">
        <v>283</v>
      </c>
      <c r="I1586" s="2">
        <f t="shared" si="244"/>
        <v>5</v>
      </c>
      <c r="J1586" s="44" t="s">
        <v>110</v>
      </c>
      <c r="K1586" s="2">
        <v>100</v>
      </c>
      <c r="L1586" s="2">
        <v>3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1</v>
      </c>
      <c r="S1586" s="2">
        <v>0</v>
      </c>
      <c r="T1586" s="2">
        <v>0</v>
      </c>
      <c r="U1586" s="2">
        <v>1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/>
      <c r="AM1586" s="2" t="s">
        <v>110</v>
      </c>
      <c r="AN1586" s="2">
        <f t="shared" si="245"/>
        <v>3</v>
      </c>
      <c r="AO1586" s="2">
        <f t="shared" si="246"/>
        <v>2</v>
      </c>
      <c r="AP1586" s="2">
        <f t="shared" si="247"/>
        <v>0</v>
      </c>
      <c r="AQ1586" s="2">
        <f t="shared" si="248"/>
        <v>0</v>
      </c>
      <c r="AR1586" s="2">
        <f t="shared" si="249"/>
        <v>0</v>
      </c>
      <c r="AS1586" s="2">
        <f t="shared" si="250"/>
        <v>0</v>
      </c>
      <c r="AT1586" s="25">
        <f t="shared" si="251"/>
        <v>0</v>
      </c>
    </row>
    <row r="1587" spans="1:46">
      <c r="A1587" s="24">
        <v>46134</v>
      </c>
      <c r="B1587" s="23">
        <f t="shared" si="243"/>
        <v>46113</v>
      </c>
      <c r="C1587" s="2" t="s">
        <v>97</v>
      </c>
      <c r="D1587" s="2" t="s">
        <v>107</v>
      </c>
      <c r="E1587" s="2">
        <v>3319</v>
      </c>
      <c r="F1587" s="2">
        <v>50</v>
      </c>
      <c r="G1587" s="2">
        <v>50</v>
      </c>
      <c r="H1587" s="2">
        <v>46</v>
      </c>
      <c r="I1587" s="2">
        <f t="shared" si="244"/>
        <v>4</v>
      </c>
      <c r="J1587" s="44" t="s">
        <v>110</v>
      </c>
      <c r="K1587" s="2">
        <v>100</v>
      </c>
      <c r="L1587" s="2">
        <v>4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/>
      <c r="AM1587" s="2" t="s">
        <v>110</v>
      </c>
      <c r="AN1587" s="2">
        <f t="shared" si="245"/>
        <v>4</v>
      </c>
      <c r="AO1587" s="2">
        <f t="shared" si="246"/>
        <v>0</v>
      </c>
      <c r="AP1587" s="2">
        <f t="shared" si="247"/>
        <v>0</v>
      </c>
      <c r="AQ1587" s="2">
        <f t="shared" si="248"/>
        <v>0</v>
      </c>
      <c r="AR1587" s="2">
        <f t="shared" si="249"/>
        <v>0</v>
      </c>
      <c r="AS1587" s="2">
        <f t="shared" si="250"/>
        <v>0</v>
      </c>
      <c r="AT1587" s="25">
        <f t="shared" si="251"/>
        <v>0</v>
      </c>
    </row>
    <row r="1588" spans="1:46">
      <c r="A1588" s="24">
        <v>46134</v>
      </c>
      <c r="B1588" s="23">
        <f t="shared" si="243"/>
        <v>46113</v>
      </c>
      <c r="C1588" s="2" t="s">
        <v>97</v>
      </c>
      <c r="D1588" s="2" t="s">
        <v>1512</v>
      </c>
      <c r="E1588" s="2">
        <v>3326</v>
      </c>
      <c r="F1588" s="2">
        <v>27</v>
      </c>
      <c r="G1588" s="2">
        <v>27</v>
      </c>
      <c r="H1588" s="2">
        <v>26</v>
      </c>
      <c r="I1588" s="2">
        <f t="shared" si="244"/>
        <v>1</v>
      </c>
      <c r="J1588" s="44" t="s">
        <v>110</v>
      </c>
      <c r="K1588" s="2">
        <v>100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1</v>
      </c>
      <c r="AL1588" s="2"/>
      <c r="AM1588" s="2" t="s">
        <v>110</v>
      </c>
      <c r="AN1588" s="2">
        <f t="shared" si="245"/>
        <v>0</v>
      </c>
      <c r="AO1588" s="2">
        <f t="shared" si="246"/>
        <v>0</v>
      </c>
      <c r="AP1588" s="2">
        <f t="shared" si="247"/>
        <v>0</v>
      </c>
      <c r="AQ1588" s="2">
        <f t="shared" si="248"/>
        <v>1</v>
      </c>
      <c r="AR1588" s="2">
        <f t="shared" si="249"/>
        <v>0</v>
      </c>
      <c r="AS1588" s="2">
        <f t="shared" si="250"/>
        <v>0</v>
      </c>
      <c r="AT1588" s="25">
        <f t="shared" si="251"/>
        <v>0</v>
      </c>
    </row>
    <row r="1589" spans="1:46">
      <c r="A1589" s="24">
        <v>46134</v>
      </c>
      <c r="B1589" s="23">
        <f t="shared" si="243"/>
        <v>46113</v>
      </c>
      <c r="C1589" s="2" t="s">
        <v>97</v>
      </c>
      <c r="D1589" s="2" t="s">
        <v>1417</v>
      </c>
      <c r="E1589" s="2">
        <v>6237</v>
      </c>
      <c r="F1589" s="2">
        <v>28</v>
      </c>
      <c r="G1589" s="2">
        <v>28</v>
      </c>
      <c r="H1589" s="2">
        <v>26</v>
      </c>
      <c r="I1589" s="2">
        <f t="shared" si="244"/>
        <v>2</v>
      </c>
      <c r="J1589" s="44" t="s">
        <v>110</v>
      </c>
      <c r="K1589" s="2">
        <v>100</v>
      </c>
      <c r="L1589" s="2">
        <v>0</v>
      </c>
      <c r="M1589" s="2">
        <v>0</v>
      </c>
      <c r="N1589" s="2">
        <v>1</v>
      </c>
      <c r="O1589" s="2">
        <v>0</v>
      </c>
      <c r="P1589" s="2">
        <v>0</v>
      </c>
      <c r="Q1589" s="2">
        <v>0</v>
      </c>
      <c r="R1589" s="2">
        <v>1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/>
      <c r="AM1589" s="2" t="s">
        <v>110</v>
      </c>
      <c r="AN1589" s="2">
        <f t="shared" si="245"/>
        <v>0</v>
      </c>
      <c r="AO1589" s="2">
        <f t="shared" si="246"/>
        <v>2</v>
      </c>
      <c r="AP1589" s="2">
        <f t="shared" si="247"/>
        <v>0</v>
      </c>
      <c r="AQ1589" s="2">
        <f t="shared" si="248"/>
        <v>0</v>
      </c>
      <c r="AR1589" s="2">
        <f t="shared" si="249"/>
        <v>0</v>
      </c>
      <c r="AS1589" s="2">
        <f t="shared" si="250"/>
        <v>0</v>
      </c>
      <c r="AT1589" s="25">
        <f t="shared" si="251"/>
        <v>0</v>
      </c>
    </row>
    <row r="1590" spans="1:46">
      <c r="A1590" s="24">
        <v>46134</v>
      </c>
      <c r="B1590" s="23">
        <f t="shared" si="243"/>
        <v>46113</v>
      </c>
      <c r="C1590" s="2" t="s">
        <v>97</v>
      </c>
      <c r="D1590" s="2" t="s">
        <v>373</v>
      </c>
      <c r="E1590" s="2">
        <v>6237</v>
      </c>
      <c r="F1590" s="2">
        <v>366</v>
      </c>
      <c r="G1590" s="2">
        <v>366</v>
      </c>
      <c r="H1590" s="2">
        <v>359</v>
      </c>
      <c r="I1590" s="2">
        <f t="shared" si="244"/>
        <v>7</v>
      </c>
      <c r="J1590" s="44" t="s">
        <v>110</v>
      </c>
      <c r="K1590" s="2">
        <v>100</v>
      </c>
      <c r="L1590" s="2">
        <v>2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3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1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1</v>
      </c>
      <c r="AL1590" s="2"/>
      <c r="AM1590" s="2" t="s">
        <v>110</v>
      </c>
      <c r="AN1590" s="2">
        <f t="shared" si="245"/>
        <v>2</v>
      </c>
      <c r="AO1590" s="2">
        <f t="shared" si="246"/>
        <v>3</v>
      </c>
      <c r="AP1590" s="2">
        <f t="shared" si="247"/>
        <v>0</v>
      </c>
      <c r="AQ1590" s="2">
        <f t="shared" si="248"/>
        <v>2</v>
      </c>
      <c r="AR1590" s="2">
        <f t="shared" si="249"/>
        <v>0</v>
      </c>
      <c r="AS1590" s="2">
        <f t="shared" si="250"/>
        <v>0</v>
      </c>
      <c r="AT1590" s="25">
        <f t="shared" si="251"/>
        <v>0</v>
      </c>
    </row>
    <row r="1591" spans="1:46">
      <c r="A1591" s="24">
        <v>46134</v>
      </c>
      <c r="B1591" s="23">
        <f t="shared" si="243"/>
        <v>46113</v>
      </c>
      <c r="C1591" s="2" t="s">
        <v>97</v>
      </c>
      <c r="D1591" s="2" t="s">
        <v>373</v>
      </c>
      <c r="E1591" s="2">
        <v>6237</v>
      </c>
      <c r="F1591" s="2">
        <v>50</v>
      </c>
      <c r="G1591" s="2">
        <v>50</v>
      </c>
      <c r="H1591" s="2">
        <v>50</v>
      </c>
      <c r="I1591" s="2">
        <f t="shared" si="244"/>
        <v>0</v>
      </c>
      <c r="J1591" s="44" t="s">
        <v>110</v>
      </c>
      <c r="K1591" s="2">
        <v>100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/>
      <c r="AM1591" s="2" t="s">
        <v>110</v>
      </c>
      <c r="AN1591" s="2">
        <f t="shared" si="245"/>
        <v>0</v>
      </c>
      <c r="AO1591" s="2">
        <f t="shared" si="246"/>
        <v>0</v>
      </c>
      <c r="AP1591" s="2">
        <f t="shared" si="247"/>
        <v>0</v>
      </c>
      <c r="AQ1591" s="2">
        <f t="shared" si="248"/>
        <v>0</v>
      </c>
      <c r="AR1591" s="2">
        <f t="shared" si="249"/>
        <v>0</v>
      </c>
      <c r="AS1591" s="2">
        <f t="shared" si="250"/>
        <v>0</v>
      </c>
      <c r="AT1591" s="25">
        <f t="shared" si="251"/>
        <v>0</v>
      </c>
    </row>
    <row r="1592" spans="1:46">
      <c r="A1592" s="24">
        <v>46136</v>
      </c>
      <c r="B1592" s="23">
        <f t="shared" si="243"/>
        <v>46113</v>
      </c>
      <c r="C1592" s="2" t="s">
        <v>46</v>
      </c>
      <c r="D1592" s="2" t="s">
        <v>342</v>
      </c>
      <c r="E1592" s="2">
        <v>90024</v>
      </c>
      <c r="F1592" s="2">
        <v>52</v>
      </c>
      <c r="G1592" s="2">
        <v>52</v>
      </c>
      <c r="H1592" s="2">
        <v>24</v>
      </c>
      <c r="I1592" s="2">
        <f t="shared" si="244"/>
        <v>28</v>
      </c>
      <c r="J1592" s="44" t="s">
        <v>77</v>
      </c>
      <c r="K1592" s="2">
        <v>100</v>
      </c>
      <c r="L1592" s="2">
        <v>8</v>
      </c>
      <c r="M1592" s="2">
        <v>0</v>
      </c>
      <c r="N1592" s="2">
        <v>20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/>
      <c r="AM1592" s="2" t="s">
        <v>77</v>
      </c>
      <c r="AN1592" s="2">
        <f t="shared" si="245"/>
        <v>8</v>
      </c>
      <c r="AO1592" s="2">
        <f t="shared" si="246"/>
        <v>20</v>
      </c>
      <c r="AP1592" s="2">
        <f t="shared" si="247"/>
        <v>0</v>
      </c>
      <c r="AQ1592" s="2">
        <f t="shared" si="248"/>
        <v>0</v>
      </c>
      <c r="AR1592" s="2">
        <f t="shared" si="249"/>
        <v>0</v>
      </c>
      <c r="AS1592" s="2">
        <f t="shared" si="250"/>
        <v>0</v>
      </c>
      <c r="AT1592" s="25">
        <f t="shared" si="251"/>
        <v>0</v>
      </c>
    </row>
    <row r="1593" spans="1:46">
      <c r="A1593" s="24">
        <v>46136</v>
      </c>
      <c r="B1593" s="23">
        <f t="shared" si="243"/>
        <v>46113</v>
      </c>
      <c r="C1593" s="2" t="s">
        <v>55</v>
      </c>
      <c r="D1593" s="2" t="s">
        <v>332</v>
      </c>
      <c r="E1593" s="2">
        <v>2594</v>
      </c>
      <c r="F1593" s="2">
        <v>124</v>
      </c>
      <c r="G1593" s="2">
        <v>124</v>
      </c>
      <c r="H1593" s="2">
        <v>118</v>
      </c>
      <c r="I1593" s="2">
        <f t="shared" si="244"/>
        <v>6</v>
      </c>
      <c r="J1593" s="44" t="s">
        <v>80</v>
      </c>
      <c r="K1593" s="2">
        <v>100</v>
      </c>
      <c r="L1593" s="2">
        <v>4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1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1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/>
      <c r="AM1593" s="2" t="s">
        <v>80</v>
      </c>
      <c r="AN1593" s="2">
        <f t="shared" si="245"/>
        <v>4</v>
      </c>
      <c r="AO1593" s="2">
        <f t="shared" si="246"/>
        <v>1</v>
      </c>
      <c r="AP1593" s="2">
        <f t="shared" si="247"/>
        <v>1</v>
      </c>
      <c r="AQ1593" s="2">
        <f t="shared" si="248"/>
        <v>0</v>
      </c>
      <c r="AR1593" s="2">
        <f t="shared" si="249"/>
        <v>0</v>
      </c>
      <c r="AS1593" s="2">
        <f t="shared" si="250"/>
        <v>0</v>
      </c>
      <c r="AT1593" s="25">
        <f t="shared" si="251"/>
        <v>0</v>
      </c>
    </row>
    <row r="1594" spans="1:46">
      <c r="A1594" s="24">
        <v>46136</v>
      </c>
      <c r="B1594" s="23">
        <f t="shared" si="243"/>
        <v>46113</v>
      </c>
      <c r="C1594" s="2" t="s">
        <v>72</v>
      </c>
      <c r="D1594" s="2" t="s">
        <v>346</v>
      </c>
      <c r="E1594" s="2">
        <v>3273</v>
      </c>
      <c r="F1594" s="2">
        <v>48</v>
      </c>
      <c r="G1594" s="2">
        <v>48</v>
      </c>
      <c r="H1594" s="2">
        <v>48</v>
      </c>
      <c r="I1594" s="2">
        <f t="shared" si="244"/>
        <v>0</v>
      </c>
      <c r="J1594" s="44" t="s">
        <v>103</v>
      </c>
      <c r="K1594" s="2">
        <v>100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/>
      <c r="AM1594" s="2" t="s">
        <v>103</v>
      </c>
      <c r="AN1594" s="2">
        <f t="shared" si="245"/>
        <v>0</v>
      </c>
      <c r="AO1594" s="2">
        <f t="shared" si="246"/>
        <v>0</v>
      </c>
      <c r="AP1594" s="2">
        <f t="shared" si="247"/>
        <v>0</v>
      </c>
      <c r="AQ1594" s="2">
        <f t="shared" si="248"/>
        <v>0</v>
      </c>
      <c r="AR1594" s="2">
        <f t="shared" si="249"/>
        <v>0</v>
      </c>
      <c r="AS1594" s="2">
        <f t="shared" si="250"/>
        <v>0</v>
      </c>
      <c r="AT1594" s="25">
        <f t="shared" si="251"/>
        <v>0</v>
      </c>
    </row>
    <row r="1595" spans="1:46">
      <c r="A1595" s="24">
        <v>46136</v>
      </c>
      <c r="B1595" s="23">
        <f t="shared" si="243"/>
        <v>46113</v>
      </c>
      <c r="C1595" s="2" t="s">
        <v>72</v>
      </c>
      <c r="D1595" s="2" t="s">
        <v>385</v>
      </c>
      <c r="E1595" s="2">
        <v>3273</v>
      </c>
      <c r="F1595" s="2">
        <v>102</v>
      </c>
      <c r="G1595" s="2">
        <v>102</v>
      </c>
      <c r="H1595" s="2">
        <v>100</v>
      </c>
      <c r="I1595" s="2">
        <f t="shared" si="244"/>
        <v>2</v>
      </c>
      <c r="J1595" s="44" t="s">
        <v>103</v>
      </c>
      <c r="K1595" s="2">
        <v>100</v>
      </c>
      <c r="L1595" s="2">
        <v>2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/>
      <c r="AM1595" s="2" t="s">
        <v>103</v>
      </c>
      <c r="AN1595" s="2">
        <f t="shared" si="245"/>
        <v>2</v>
      </c>
      <c r="AO1595" s="2">
        <f t="shared" si="246"/>
        <v>0</v>
      </c>
      <c r="AP1595" s="2">
        <f t="shared" si="247"/>
        <v>0</v>
      </c>
      <c r="AQ1595" s="2">
        <f t="shared" si="248"/>
        <v>0</v>
      </c>
      <c r="AR1595" s="2">
        <f t="shared" si="249"/>
        <v>0</v>
      </c>
      <c r="AS1595" s="2">
        <f t="shared" si="250"/>
        <v>0</v>
      </c>
      <c r="AT1595" s="25">
        <f t="shared" si="251"/>
        <v>0</v>
      </c>
    </row>
    <row r="1596" spans="1:46">
      <c r="A1596" s="24">
        <v>46136</v>
      </c>
      <c r="B1596" s="23">
        <f t="shared" si="243"/>
        <v>46113</v>
      </c>
      <c r="C1596" s="2" t="s">
        <v>72</v>
      </c>
      <c r="D1596" s="2" t="s">
        <v>86</v>
      </c>
      <c r="E1596" s="2">
        <v>6303</v>
      </c>
      <c r="F1596" s="2">
        <v>50</v>
      </c>
      <c r="G1596" s="2">
        <v>50</v>
      </c>
      <c r="H1596" s="2">
        <v>50</v>
      </c>
      <c r="I1596" s="2">
        <f t="shared" si="244"/>
        <v>0</v>
      </c>
      <c r="J1596" s="44" t="s">
        <v>103</v>
      </c>
      <c r="K1596" s="2">
        <v>100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/>
      <c r="AM1596" s="2" t="s">
        <v>103</v>
      </c>
      <c r="AN1596" s="2">
        <f t="shared" si="245"/>
        <v>0</v>
      </c>
      <c r="AO1596" s="2">
        <f t="shared" si="246"/>
        <v>0</v>
      </c>
      <c r="AP1596" s="2">
        <f t="shared" si="247"/>
        <v>0</v>
      </c>
      <c r="AQ1596" s="2">
        <f t="shared" si="248"/>
        <v>0</v>
      </c>
      <c r="AR1596" s="2">
        <f t="shared" si="249"/>
        <v>0</v>
      </c>
      <c r="AS1596" s="2">
        <f t="shared" si="250"/>
        <v>0</v>
      </c>
      <c r="AT1596" s="25">
        <f t="shared" si="251"/>
        <v>0</v>
      </c>
    </row>
    <row r="1597" spans="1:46">
      <c r="A1597" s="24">
        <v>46136</v>
      </c>
      <c r="B1597" s="23">
        <f t="shared" si="243"/>
        <v>46113</v>
      </c>
      <c r="C1597" s="2" t="s">
        <v>114</v>
      </c>
      <c r="D1597" s="2" t="s">
        <v>343</v>
      </c>
      <c r="E1597" s="2">
        <v>3287</v>
      </c>
      <c r="F1597" s="2">
        <v>747</v>
      </c>
      <c r="G1597" s="2">
        <v>747</v>
      </c>
      <c r="H1597" s="2">
        <v>744</v>
      </c>
      <c r="I1597" s="2">
        <f t="shared" si="244"/>
        <v>3</v>
      </c>
      <c r="J1597" s="44" t="s">
        <v>103</v>
      </c>
      <c r="K1597" s="2">
        <v>100</v>
      </c>
      <c r="L1597" s="2">
        <v>3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/>
      <c r="AM1597" s="2" t="s">
        <v>103</v>
      </c>
      <c r="AN1597" s="2">
        <f t="shared" si="245"/>
        <v>3</v>
      </c>
      <c r="AO1597" s="2">
        <f t="shared" si="246"/>
        <v>0</v>
      </c>
      <c r="AP1597" s="2">
        <f t="shared" si="247"/>
        <v>0</v>
      </c>
      <c r="AQ1597" s="2">
        <f t="shared" si="248"/>
        <v>0</v>
      </c>
      <c r="AR1597" s="2">
        <f t="shared" si="249"/>
        <v>0</v>
      </c>
      <c r="AS1597" s="2">
        <f t="shared" si="250"/>
        <v>0</v>
      </c>
      <c r="AT1597" s="25">
        <f t="shared" si="251"/>
        <v>0</v>
      </c>
    </row>
    <row r="1598" spans="1:46">
      <c r="A1598" s="24">
        <v>46136</v>
      </c>
      <c r="B1598" s="23">
        <f t="shared" si="243"/>
        <v>46113</v>
      </c>
      <c r="C1598" s="2" t="s">
        <v>114</v>
      </c>
      <c r="D1598" s="2" t="s">
        <v>1469</v>
      </c>
      <c r="E1598" s="2">
        <v>3287</v>
      </c>
      <c r="F1598" s="2">
        <v>49</v>
      </c>
      <c r="G1598" s="2">
        <v>49</v>
      </c>
      <c r="H1598" s="2">
        <v>45</v>
      </c>
      <c r="I1598" s="2">
        <f t="shared" si="244"/>
        <v>4</v>
      </c>
      <c r="J1598" s="44" t="s">
        <v>103</v>
      </c>
      <c r="K1598" s="2">
        <v>100</v>
      </c>
      <c r="L1598" s="2">
        <v>4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/>
      <c r="AM1598" s="2" t="s">
        <v>103</v>
      </c>
      <c r="AN1598" s="2">
        <f t="shared" si="245"/>
        <v>4</v>
      </c>
      <c r="AO1598" s="2">
        <f t="shared" si="246"/>
        <v>0</v>
      </c>
      <c r="AP1598" s="2">
        <f t="shared" si="247"/>
        <v>0</v>
      </c>
      <c r="AQ1598" s="2">
        <f t="shared" si="248"/>
        <v>0</v>
      </c>
      <c r="AR1598" s="2">
        <f t="shared" si="249"/>
        <v>0</v>
      </c>
      <c r="AS1598" s="2">
        <f t="shared" si="250"/>
        <v>0</v>
      </c>
      <c r="AT1598" s="25">
        <f t="shared" si="251"/>
        <v>0</v>
      </c>
    </row>
    <row r="1599" spans="1:46">
      <c r="A1599" s="24">
        <v>46136</v>
      </c>
      <c r="B1599" s="23">
        <f t="shared" si="243"/>
        <v>46113</v>
      </c>
      <c r="C1599" s="2" t="s">
        <v>114</v>
      </c>
      <c r="D1599" s="2" t="s">
        <v>1416</v>
      </c>
      <c r="E1599" s="2">
        <v>3166</v>
      </c>
      <c r="F1599" s="2">
        <v>28</v>
      </c>
      <c r="G1599" s="2">
        <v>28</v>
      </c>
      <c r="H1599" s="2">
        <v>28</v>
      </c>
      <c r="I1599" s="2">
        <f t="shared" si="244"/>
        <v>0</v>
      </c>
      <c r="J1599" s="44" t="s">
        <v>103</v>
      </c>
      <c r="K1599" s="2">
        <v>100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/>
      <c r="AM1599" s="2" t="s">
        <v>103</v>
      </c>
      <c r="AN1599" s="2">
        <f t="shared" si="245"/>
        <v>0</v>
      </c>
      <c r="AO1599" s="2">
        <f t="shared" si="246"/>
        <v>0</v>
      </c>
      <c r="AP1599" s="2">
        <f t="shared" si="247"/>
        <v>0</v>
      </c>
      <c r="AQ1599" s="2">
        <f t="shared" si="248"/>
        <v>0</v>
      </c>
      <c r="AR1599" s="2">
        <f t="shared" si="249"/>
        <v>0</v>
      </c>
      <c r="AS1599" s="2">
        <f t="shared" si="250"/>
        <v>0</v>
      </c>
      <c r="AT1599" s="25">
        <f t="shared" si="251"/>
        <v>0</v>
      </c>
    </row>
    <row r="1600" spans="1:46">
      <c r="A1600" s="24">
        <v>46136</v>
      </c>
      <c r="B1600" s="23">
        <f t="shared" si="243"/>
        <v>46113</v>
      </c>
      <c r="C1600" s="2" t="s">
        <v>114</v>
      </c>
      <c r="D1600" s="2" t="s">
        <v>348</v>
      </c>
      <c r="E1600" s="2">
        <v>3287</v>
      </c>
      <c r="F1600" s="2">
        <v>45</v>
      </c>
      <c r="G1600" s="2">
        <v>45</v>
      </c>
      <c r="H1600" s="2">
        <v>45</v>
      </c>
      <c r="I1600" s="2">
        <f t="shared" si="244"/>
        <v>0</v>
      </c>
      <c r="J1600" s="44" t="s">
        <v>103</v>
      </c>
      <c r="K1600" s="2">
        <v>100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/>
      <c r="AM1600" s="2" t="s">
        <v>103</v>
      </c>
      <c r="AN1600" s="2">
        <f t="shared" si="245"/>
        <v>0</v>
      </c>
      <c r="AO1600" s="2">
        <f t="shared" si="246"/>
        <v>0</v>
      </c>
      <c r="AP1600" s="2">
        <f t="shared" si="247"/>
        <v>0</v>
      </c>
      <c r="AQ1600" s="2">
        <f t="shared" si="248"/>
        <v>0</v>
      </c>
      <c r="AR1600" s="2">
        <f t="shared" si="249"/>
        <v>0</v>
      </c>
      <c r="AS1600" s="2">
        <f t="shared" si="250"/>
        <v>0</v>
      </c>
      <c r="AT1600" s="25">
        <f t="shared" si="251"/>
        <v>0</v>
      </c>
    </row>
    <row r="1601" spans="1:46">
      <c r="A1601" s="24">
        <v>46136</v>
      </c>
      <c r="B1601" s="23">
        <f t="shared" si="243"/>
        <v>46113</v>
      </c>
      <c r="C1601" s="2" t="s">
        <v>72</v>
      </c>
      <c r="D1601" s="2" t="s">
        <v>1204</v>
      </c>
      <c r="E1601" s="2">
        <v>6265</v>
      </c>
      <c r="F1601" s="2">
        <v>28</v>
      </c>
      <c r="G1601" s="2">
        <v>28</v>
      </c>
      <c r="H1601" s="2">
        <v>28</v>
      </c>
      <c r="I1601" s="2">
        <f t="shared" si="244"/>
        <v>0</v>
      </c>
      <c r="J1601" s="44" t="s">
        <v>103</v>
      </c>
      <c r="K1601" s="2">
        <v>100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/>
      <c r="AM1601" s="2" t="s">
        <v>103</v>
      </c>
      <c r="AN1601" s="2">
        <f t="shared" si="245"/>
        <v>0</v>
      </c>
      <c r="AO1601" s="2">
        <f t="shared" si="246"/>
        <v>0</v>
      </c>
      <c r="AP1601" s="2">
        <f t="shared" si="247"/>
        <v>0</v>
      </c>
      <c r="AQ1601" s="2">
        <f t="shared" si="248"/>
        <v>0</v>
      </c>
      <c r="AR1601" s="2">
        <f t="shared" si="249"/>
        <v>0</v>
      </c>
      <c r="AS1601" s="2">
        <f t="shared" si="250"/>
        <v>0</v>
      </c>
      <c r="AT1601" s="25">
        <f t="shared" si="251"/>
        <v>0</v>
      </c>
    </row>
    <row r="1602" spans="1:46">
      <c r="A1602" s="24">
        <v>46136</v>
      </c>
      <c r="B1602" s="23">
        <f t="shared" si="243"/>
        <v>46113</v>
      </c>
      <c r="C1602" s="2" t="s">
        <v>72</v>
      </c>
      <c r="D1602" s="2" t="s">
        <v>219</v>
      </c>
      <c r="E1602" s="2">
        <v>3123</v>
      </c>
      <c r="F1602" s="2">
        <v>28</v>
      </c>
      <c r="G1602" s="2">
        <v>28</v>
      </c>
      <c r="H1602" s="2">
        <v>28</v>
      </c>
      <c r="I1602" s="2">
        <f t="shared" si="244"/>
        <v>0</v>
      </c>
      <c r="J1602" s="44" t="s">
        <v>103</v>
      </c>
      <c r="K1602" s="2">
        <v>100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/>
      <c r="AM1602" s="2" t="s">
        <v>103</v>
      </c>
      <c r="AN1602" s="2">
        <f t="shared" si="245"/>
        <v>0</v>
      </c>
      <c r="AO1602" s="2">
        <f t="shared" si="246"/>
        <v>0</v>
      </c>
      <c r="AP1602" s="2">
        <f t="shared" si="247"/>
        <v>0</v>
      </c>
      <c r="AQ1602" s="2">
        <f t="shared" si="248"/>
        <v>0</v>
      </c>
      <c r="AR1602" s="2">
        <f t="shared" si="249"/>
        <v>0</v>
      </c>
      <c r="AS1602" s="2">
        <f t="shared" si="250"/>
        <v>0</v>
      </c>
      <c r="AT1602" s="25">
        <f t="shared" si="251"/>
        <v>0</v>
      </c>
    </row>
    <row r="1603" spans="1:46">
      <c r="A1603" s="24">
        <v>46136</v>
      </c>
      <c r="B1603" s="23">
        <f t="shared" si="243"/>
        <v>46113</v>
      </c>
      <c r="C1603" s="2" t="s">
        <v>72</v>
      </c>
      <c r="D1603" s="2" t="s">
        <v>1516</v>
      </c>
      <c r="E1603" s="2">
        <v>3341</v>
      </c>
      <c r="F1603" s="2">
        <v>42</v>
      </c>
      <c r="G1603" s="2">
        <v>42</v>
      </c>
      <c r="H1603" s="2">
        <v>42</v>
      </c>
      <c r="I1603" s="2">
        <f t="shared" si="244"/>
        <v>0</v>
      </c>
      <c r="J1603" s="44" t="s">
        <v>103</v>
      </c>
      <c r="K1603" s="2">
        <v>100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/>
      <c r="AM1603" s="2" t="s">
        <v>103</v>
      </c>
      <c r="AN1603" s="2">
        <f t="shared" si="245"/>
        <v>0</v>
      </c>
      <c r="AO1603" s="2">
        <f t="shared" si="246"/>
        <v>0</v>
      </c>
      <c r="AP1603" s="2">
        <f t="shared" si="247"/>
        <v>0</v>
      </c>
      <c r="AQ1603" s="2">
        <f t="shared" si="248"/>
        <v>0</v>
      </c>
      <c r="AR1603" s="2">
        <f t="shared" si="249"/>
        <v>0</v>
      </c>
      <c r="AS1603" s="2">
        <f t="shared" si="250"/>
        <v>0</v>
      </c>
      <c r="AT1603" s="25">
        <f t="shared" si="251"/>
        <v>0</v>
      </c>
    </row>
    <row r="1604" spans="1:46">
      <c r="A1604" s="24">
        <v>46136</v>
      </c>
      <c r="B1604" s="23">
        <f t="shared" si="243"/>
        <v>46113</v>
      </c>
      <c r="C1604" s="2" t="s">
        <v>62</v>
      </c>
      <c r="D1604" s="2" t="s">
        <v>106</v>
      </c>
      <c r="E1604" s="2">
        <v>3305</v>
      </c>
      <c r="F1604" s="2">
        <v>25</v>
      </c>
      <c r="G1604" s="2">
        <v>25</v>
      </c>
      <c r="H1604" s="2">
        <v>24</v>
      </c>
      <c r="I1604" s="2">
        <f t="shared" si="244"/>
        <v>1</v>
      </c>
      <c r="J1604" s="44" t="s">
        <v>1568</v>
      </c>
      <c r="K1604" s="2">
        <v>100</v>
      </c>
      <c r="L1604" s="2">
        <v>1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/>
      <c r="AM1604" s="2" t="s">
        <v>1568</v>
      </c>
      <c r="AN1604" s="2">
        <f t="shared" si="245"/>
        <v>1</v>
      </c>
      <c r="AO1604" s="2">
        <f t="shared" si="246"/>
        <v>0</v>
      </c>
      <c r="AP1604" s="2">
        <f t="shared" si="247"/>
        <v>0</v>
      </c>
      <c r="AQ1604" s="2">
        <f t="shared" si="248"/>
        <v>0</v>
      </c>
      <c r="AR1604" s="2">
        <f t="shared" si="249"/>
        <v>0</v>
      </c>
      <c r="AS1604" s="2">
        <f t="shared" si="250"/>
        <v>0</v>
      </c>
      <c r="AT1604" s="25">
        <f t="shared" si="251"/>
        <v>0</v>
      </c>
    </row>
    <row r="1605" spans="1:46">
      <c r="A1605" s="24">
        <v>46136</v>
      </c>
      <c r="B1605" s="23">
        <f t="shared" si="243"/>
        <v>46113</v>
      </c>
      <c r="C1605" s="2" t="s">
        <v>62</v>
      </c>
      <c r="D1605" s="2" t="s">
        <v>332</v>
      </c>
      <c r="E1605" s="2">
        <v>2594</v>
      </c>
      <c r="F1605" s="2">
        <v>164</v>
      </c>
      <c r="G1605" s="2">
        <v>164</v>
      </c>
      <c r="H1605" s="2">
        <v>162</v>
      </c>
      <c r="I1605" s="2">
        <f t="shared" si="244"/>
        <v>2</v>
      </c>
      <c r="J1605" s="44" t="s">
        <v>1568</v>
      </c>
      <c r="K1605" s="2">
        <v>100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2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/>
      <c r="AM1605" s="2" t="s">
        <v>1568</v>
      </c>
      <c r="AN1605" s="2">
        <f t="shared" si="245"/>
        <v>0</v>
      </c>
      <c r="AO1605" s="2">
        <f t="shared" si="246"/>
        <v>2</v>
      </c>
      <c r="AP1605" s="2">
        <f t="shared" si="247"/>
        <v>0</v>
      </c>
      <c r="AQ1605" s="2">
        <f t="shared" si="248"/>
        <v>0</v>
      </c>
      <c r="AR1605" s="2">
        <f t="shared" si="249"/>
        <v>0</v>
      </c>
      <c r="AS1605" s="2">
        <f t="shared" si="250"/>
        <v>0</v>
      </c>
      <c r="AT1605" s="25">
        <f t="shared" si="251"/>
        <v>0</v>
      </c>
    </row>
    <row r="1606" spans="1:46">
      <c r="A1606" s="24">
        <v>46136</v>
      </c>
      <c r="B1606" s="23">
        <f t="shared" si="243"/>
        <v>46113</v>
      </c>
      <c r="C1606" s="2" t="s">
        <v>82</v>
      </c>
      <c r="D1606" s="2" t="s">
        <v>259</v>
      </c>
      <c r="E1606" s="2">
        <v>3317</v>
      </c>
      <c r="F1606" s="2">
        <v>30</v>
      </c>
      <c r="G1606" s="2">
        <v>30</v>
      </c>
      <c r="H1606" s="2">
        <v>28</v>
      </c>
      <c r="I1606" s="2">
        <f t="shared" si="244"/>
        <v>2</v>
      </c>
      <c r="J1606" s="44" t="s">
        <v>93</v>
      </c>
      <c r="K1606" s="2">
        <v>100</v>
      </c>
      <c r="L1606" s="2">
        <v>2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/>
      <c r="AM1606" s="2" t="s">
        <v>93</v>
      </c>
      <c r="AN1606" s="2">
        <f t="shared" si="245"/>
        <v>2</v>
      </c>
      <c r="AO1606" s="2">
        <f t="shared" si="246"/>
        <v>0</v>
      </c>
      <c r="AP1606" s="2">
        <f t="shared" si="247"/>
        <v>0</v>
      </c>
      <c r="AQ1606" s="2">
        <f t="shared" si="248"/>
        <v>0</v>
      </c>
      <c r="AR1606" s="2">
        <f t="shared" si="249"/>
        <v>0</v>
      </c>
      <c r="AS1606" s="2">
        <f t="shared" si="250"/>
        <v>0</v>
      </c>
      <c r="AT1606" s="25">
        <f t="shared" si="251"/>
        <v>0</v>
      </c>
    </row>
    <row r="1607" spans="1:46">
      <c r="A1607" s="24">
        <v>46136</v>
      </c>
      <c r="B1607" s="23">
        <f t="shared" si="243"/>
        <v>46113</v>
      </c>
      <c r="C1607" s="2" t="s">
        <v>82</v>
      </c>
      <c r="D1607" s="2" t="s">
        <v>275</v>
      </c>
      <c r="E1607" s="2">
        <v>8141</v>
      </c>
      <c r="F1607" s="2">
        <v>33</v>
      </c>
      <c r="G1607" s="2">
        <v>33</v>
      </c>
      <c r="H1607" s="2">
        <v>33</v>
      </c>
      <c r="I1607" s="2">
        <f t="shared" si="244"/>
        <v>0</v>
      </c>
      <c r="J1607" s="44" t="s">
        <v>93</v>
      </c>
      <c r="K1607" s="2">
        <v>100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/>
      <c r="AM1607" s="2" t="s">
        <v>93</v>
      </c>
      <c r="AN1607" s="2">
        <f t="shared" si="245"/>
        <v>0</v>
      </c>
      <c r="AO1607" s="2">
        <f t="shared" si="246"/>
        <v>0</v>
      </c>
      <c r="AP1607" s="2">
        <f t="shared" si="247"/>
        <v>0</v>
      </c>
      <c r="AQ1607" s="2">
        <f t="shared" si="248"/>
        <v>0</v>
      </c>
      <c r="AR1607" s="2">
        <f t="shared" si="249"/>
        <v>0</v>
      </c>
      <c r="AS1607" s="2">
        <f t="shared" si="250"/>
        <v>0</v>
      </c>
      <c r="AT1607" s="25">
        <f t="shared" si="251"/>
        <v>0</v>
      </c>
    </row>
    <row r="1608" spans="1:46">
      <c r="A1608" s="24">
        <v>46136</v>
      </c>
      <c r="B1608" s="23">
        <f t="shared" si="243"/>
        <v>46113</v>
      </c>
      <c r="C1608" s="2" t="s">
        <v>82</v>
      </c>
      <c r="D1608" s="2" t="s">
        <v>90</v>
      </c>
      <c r="E1608" s="2">
        <v>8141</v>
      </c>
      <c r="F1608" s="2">
        <v>45</v>
      </c>
      <c r="G1608" s="2">
        <v>45</v>
      </c>
      <c r="H1608" s="2">
        <v>45</v>
      </c>
      <c r="I1608" s="2">
        <f t="shared" si="244"/>
        <v>0</v>
      </c>
      <c r="J1608" s="44" t="s">
        <v>93</v>
      </c>
      <c r="K1608" s="2">
        <v>100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/>
      <c r="AM1608" s="2" t="s">
        <v>93</v>
      </c>
      <c r="AN1608" s="2">
        <f t="shared" si="245"/>
        <v>0</v>
      </c>
      <c r="AO1608" s="2">
        <f t="shared" si="246"/>
        <v>0</v>
      </c>
      <c r="AP1608" s="2">
        <f t="shared" si="247"/>
        <v>0</v>
      </c>
      <c r="AQ1608" s="2">
        <f t="shared" si="248"/>
        <v>0</v>
      </c>
      <c r="AR1608" s="2">
        <f t="shared" si="249"/>
        <v>0</v>
      </c>
      <c r="AS1608" s="2">
        <f t="shared" si="250"/>
        <v>0</v>
      </c>
      <c r="AT1608" s="25">
        <f t="shared" si="251"/>
        <v>0</v>
      </c>
    </row>
    <row r="1609" spans="1:46">
      <c r="A1609" s="24">
        <v>46136</v>
      </c>
      <c r="B1609" s="23">
        <f t="shared" si="243"/>
        <v>46113</v>
      </c>
      <c r="C1609" s="2" t="s">
        <v>82</v>
      </c>
      <c r="D1609" s="2" t="s">
        <v>163</v>
      </c>
      <c r="E1609" s="2">
        <v>3295</v>
      </c>
      <c r="F1609" s="2">
        <v>33</v>
      </c>
      <c r="G1609" s="2">
        <v>33</v>
      </c>
      <c r="H1609" s="2">
        <v>32</v>
      </c>
      <c r="I1609" s="2">
        <f t="shared" si="244"/>
        <v>1</v>
      </c>
      <c r="J1609" s="44" t="s">
        <v>93</v>
      </c>
      <c r="K1609" s="2">
        <v>100</v>
      </c>
      <c r="L1609" s="2">
        <v>1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/>
      <c r="AM1609" s="2" t="s">
        <v>93</v>
      </c>
      <c r="AN1609" s="2">
        <f t="shared" si="245"/>
        <v>1</v>
      </c>
      <c r="AO1609" s="2">
        <f t="shared" si="246"/>
        <v>0</v>
      </c>
      <c r="AP1609" s="2">
        <f t="shared" si="247"/>
        <v>0</v>
      </c>
      <c r="AQ1609" s="2">
        <f t="shared" si="248"/>
        <v>0</v>
      </c>
      <c r="AR1609" s="2">
        <f t="shared" si="249"/>
        <v>0</v>
      </c>
      <c r="AS1609" s="2">
        <f t="shared" si="250"/>
        <v>0</v>
      </c>
      <c r="AT1609" s="25">
        <f t="shared" si="251"/>
        <v>0</v>
      </c>
    </row>
    <row r="1610" spans="1:46">
      <c r="A1610" s="24">
        <v>46136</v>
      </c>
      <c r="B1610" s="23">
        <f t="shared" si="243"/>
        <v>46113</v>
      </c>
      <c r="C1610" s="2" t="s">
        <v>82</v>
      </c>
      <c r="D1610" s="2" t="s">
        <v>118</v>
      </c>
      <c r="E1610" s="2">
        <v>1650</v>
      </c>
      <c r="F1610" s="2">
        <v>31</v>
      </c>
      <c r="G1610" s="2">
        <v>31</v>
      </c>
      <c r="H1610" s="2">
        <v>31</v>
      </c>
      <c r="I1610" s="2">
        <f t="shared" si="244"/>
        <v>0</v>
      </c>
      <c r="J1610" s="44" t="s">
        <v>93</v>
      </c>
      <c r="K1610" s="2">
        <v>100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/>
      <c r="AM1610" s="2" t="s">
        <v>93</v>
      </c>
      <c r="AN1610" s="2">
        <f t="shared" si="245"/>
        <v>0</v>
      </c>
      <c r="AO1610" s="2">
        <f t="shared" si="246"/>
        <v>0</v>
      </c>
      <c r="AP1610" s="2">
        <f t="shared" si="247"/>
        <v>0</v>
      </c>
      <c r="AQ1610" s="2">
        <f t="shared" si="248"/>
        <v>0</v>
      </c>
      <c r="AR1610" s="2">
        <f t="shared" si="249"/>
        <v>0</v>
      </c>
      <c r="AS1610" s="2">
        <f t="shared" si="250"/>
        <v>0</v>
      </c>
      <c r="AT1610" s="25">
        <f t="shared" si="251"/>
        <v>0</v>
      </c>
    </row>
    <row r="1611" spans="1:46">
      <c r="A1611" s="24">
        <v>46136</v>
      </c>
      <c r="B1611" s="23">
        <f t="shared" si="243"/>
        <v>46113</v>
      </c>
      <c r="C1611" s="2" t="s">
        <v>160</v>
      </c>
      <c r="D1611" s="2" t="s">
        <v>395</v>
      </c>
      <c r="E1611" s="2">
        <v>9151</v>
      </c>
      <c r="F1611" s="2">
        <v>102</v>
      </c>
      <c r="G1611" s="2">
        <v>102</v>
      </c>
      <c r="H1611" s="2">
        <v>99</v>
      </c>
      <c r="I1611" s="2">
        <f t="shared" si="244"/>
        <v>3</v>
      </c>
      <c r="J1611" s="44" t="s">
        <v>93</v>
      </c>
      <c r="K1611" s="2">
        <v>100</v>
      </c>
      <c r="L1611" s="2">
        <v>3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/>
      <c r="AM1611" s="2" t="s">
        <v>93</v>
      </c>
      <c r="AN1611" s="2">
        <f t="shared" si="245"/>
        <v>3</v>
      </c>
      <c r="AO1611" s="2">
        <f t="shared" si="246"/>
        <v>0</v>
      </c>
      <c r="AP1611" s="2">
        <f t="shared" si="247"/>
        <v>0</v>
      </c>
      <c r="AQ1611" s="2">
        <f t="shared" si="248"/>
        <v>0</v>
      </c>
      <c r="AR1611" s="2">
        <f t="shared" si="249"/>
        <v>0</v>
      </c>
      <c r="AS1611" s="2">
        <f t="shared" si="250"/>
        <v>0</v>
      </c>
      <c r="AT1611" s="25">
        <f t="shared" si="251"/>
        <v>0</v>
      </c>
    </row>
    <row r="1612" spans="1:46">
      <c r="A1612" s="24">
        <v>46136</v>
      </c>
      <c r="B1612" s="23">
        <f t="shared" si="243"/>
        <v>46113</v>
      </c>
      <c r="C1612" s="2" t="s">
        <v>55</v>
      </c>
      <c r="D1612" s="2" t="s">
        <v>1231</v>
      </c>
      <c r="E1612" s="2">
        <v>1773</v>
      </c>
      <c r="F1612" s="2">
        <v>45</v>
      </c>
      <c r="G1612" s="2">
        <v>45</v>
      </c>
      <c r="H1612" s="2">
        <v>42</v>
      </c>
      <c r="I1612" s="2">
        <f t="shared" si="244"/>
        <v>3</v>
      </c>
      <c r="J1612" s="44" t="s">
        <v>1566</v>
      </c>
      <c r="K1612" s="2">
        <v>100</v>
      </c>
      <c r="L1612" s="2">
        <v>3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/>
      <c r="AM1612" s="2" t="s">
        <v>1566</v>
      </c>
      <c r="AN1612" s="2">
        <f t="shared" si="245"/>
        <v>3</v>
      </c>
      <c r="AO1612" s="2">
        <f t="shared" si="246"/>
        <v>0</v>
      </c>
      <c r="AP1612" s="2">
        <f t="shared" si="247"/>
        <v>0</v>
      </c>
      <c r="AQ1612" s="2">
        <f t="shared" si="248"/>
        <v>0</v>
      </c>
      <c r="AR1612" s="2">
        <f t="shared" si="249"/>
        <v>0</v>
      </c>
      <c r="AS1612" s="2">
        <f t="shared" si="250"/>
        <v>0</v>
      </c>
      <c r="AT1612" s="25">
        <f t="shared" si="251"/>
        <v>0</v>
      </c>
    </row>
    <row r="1613" spans="1:46">
      <c r="A1613" s="24">
        <v>46136</v>
      </c>
      <c r="B1613" s="23">
        <f t="shared" si="243"/>
        <v>46113</v>
      </c>
      <c r="C1613" s="2" t="s">
        <v>55</v>
      </c>
      <c r="D1613" s="2" t="s">
        <v>1225</v>
      </c>
      <c r="E1613" s="2">
        <v>6314</v>
      </c>
      <c r="F1613" s="2">
        <v>39</v>
      </c>
      <c r="G1613" s="2">
        <v>39</v>
      </c>
      <c r="H1613" s="2">
        <v>38</v>
      </c>
      <c r="I1613" s="2">
        <f t="shared" si="244"/>
        <v>1</v>
      </c>
      <c r="J1613" s="44" t="s">
        <v>1566</v>
      </c>
      <c r="K1613" s="2">
        <v>100</v>
      </c>
      <c r="L1613" s="2">
        <v>1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/>
      <c r="AM1613" s="2" t="s">
        <v>1566</v>
      </c>
      <c r="AN1613" s="2">
        <f t="shared" si="245"/>
        <v>1</v>
      </c>
      <c r="AO1613" s="2">
        <f t="shared" si="246"/>
        <v>0</v>
      </c>
      <c r="AP1613" s="2">
        <f t="shared" si="247"/>
        <v>0</v>
      </c>
      <c r="AQ1613" s="2">
        <f t="shared" si="248"/>
        <v>0</v>
      </c>
      <c r="AR1613" s="2">
        <f t="shared" si="249"/>
        <v>0</v>
      </c>
      <c r="AS1613" s="2">
        <f t="shared" si="250"/>
        <v>0</v>
      </c>
      <c r="AT1613" s="25">
        <f t="shared" si="251"/>
        <v>0</v>
      </c>
    </row>
    <row r="1614" spans="1:46">
      <c r="A1614" s="24">
        <v>46136</v>
      </c>
      <c r="B1614" s="23">
        <f t="shared" si="243"/>
        <v>46113</v>
      </c>
      <c r="C1614" s="2" t="s">
        <v>55</v>
      </c>
      <c r="D1614" s="2" t="s">
        <v>281</v>
      </c>
      <c r="E1614" s="2">
        <v>1578</v>
      </c>
      <c r="F1614" s="2">
        <v>33</v>
      </c>
      <c r="G1614" s="2">
        <v>33</v>
      </c>
      <c r="H1614" s="2">
        <v>32</v>
      </c>
      <c r="I1614" s="2">
        <f t="shared" si="244"/>
        <v>1</v>
      </c>
      <c r="J1614" s="44" t="s">
        <v>1566</v>
      </c>
      <c r="K1614" s="2">
        <v>100</v>
      </c>
      <c r="L1614" s="2">
        <v>1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/>
      <c r="AM1614" s="2" t="s">
        <v>1566</v>
      </c>
      <c r="AN1614" s="2">
        <f t="shared" si="245"/>
        <v>1</v>
      </c>
      <c r="AO1614" s="2">
        <f t="shared" si="246"/>
        <v>0</v>
      </c>
      <c r="AP1614" s="2">
        <f t="shared" si="247"/>
        <v>0</v>
      </c>
      <c r="AQ1614" s="2">
        <f t="shared" si="248"/>
        <v>0</v>
      </c>
      <c r="AR1614" s="2">
        <f t="shared" si="249"/>
        <v>0</v>
      </c>
      <c r="AS1614" s="2">
        <f t="shared" si="250"/>
        <v>0</v>
      </c>
      <c r="AT1614" s="25">
        <f t="shared" si="251"/>
        <v>0</v>
      </c>
    </row>
    <row r="1615" spans="1:46">
      <c r="A1615" s="24">
        <v>46136</v>
      </c>
      <c r="B1615" s="23">
        <f t="shared" ref="B1615:B1678" si="252">EOMONTH(A1615,-1)+1</f>
        <v>46113</v>
      </c>
      <c r="C1615" s="2" t="s">
        <v>55</v>
      </c>
      <c r="D1615" s="2" t="s">
        <v>1396</v>
      </c>
      <c r="E1615" s="2">
        <v>8193</v>
      </c>
      <c r="F1615" s="2">
        <v>24</v>
      </c>
      <c r="G1615" s="2">
        <v>24</v>
      </c>
      <c r="H1615" s="2">
        <v>24</v>
      </c>
      <c r="I1615" s="2">
        <f t="shared" ref="I1615:I1678" si="253">F1615-H1615</f>
        <v>0</v>
      </c>
      <c r="J1615" s="44" t="s">
        <v>1566</v>
      </c>
      <c r="K1615" s="2">
        <v>100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/>
      <c r="AM1615" s="2" t="s">
        <v>1566</v>
      </c>
      <c r="AN1615" s="2">
        <f t="shared" ref="AN1615:AN1678" si="254">+L1615+AI1615</f>
        <v>0</v>
      </c>
      <c r="AO1615" s="2">
        <f t="shared" ref="AO1615:AO1678" si="255">+M1615+N1615+O1615+P1615+Q1615+R1615+S1615+T1615+U1615+V1615</f>
        <v>0</v>
      </c>
      <c r="AP1615" s="2">
        <f t="shared" ref="AP1615:AP1678" si="256">+AE1615+AF1615</f>
        <v>0</v>
      </c>
      <c r="AQ1615" s="2">
        <f t="shared" ref="AQ1615:AQ1678" si="257">+AK1615+AD1615+AC1615+AJ1615</f>
        <v>0</v>
      </c>
      <c r="AR1615" s="2">
        <f t="shared" ref="AR1615:AR1678" si="258">+W1615+X1615+Y1615+Z1615+AA1615+AB1615</f>
        <v>0</v>
      </c>
      <c r="AS1615" s="2">
        <f t="shared" ref="AS1615:AS1678" si="259">+AG1615</f>
        <v>0</v>
      </c>
      <c r="AT1615" s="25">
        <f t="shared" ref="AT1615:AT1678" si="260">+AH1615</f>
        <v>0</v>
      </c>
    </row>
    <row r="1616" spans="1:46">
      <c r="A1616" s="24">
        <v>46136</v>
      </c>
      <c r="B1616" s="23">
        <f t="shared" si="252"/>
        <v>46113</v>
      </c>
      <c r="C1616" s="2" t="s">
        <v>55</v>
      </c>
      <c r="D1616" s="2" t="s">
        <v>152</v>
      </c>
      <c r="E1616" s="2">
        <v>2593</v>
      </c>
      <c r="F1616" s="2">
        <v>47</v>
      </c>
      <c r="G1616" s="2">
        <v>47</v>
      </c>
      <c r="H1616" s="2">
        <v>46</v>
      </c>
      <c r="I1616" s="2">
        <f t="shared" si="253"/>
        <v>1</v>
      </c>
      <c r="J1616" s="44" t="s">
        <v>1566</v>
      </c>
      <c r="K1616" s="2">
        <v>100</v>
      </c>
      <c r="L1616" s="2">
        <v>1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/>
      <c r="AM1616" s="2" t="s">
        <v>1566</v>
      </c>
      <c r="AN1616" s="2">
        <f t="shared" si="254"/>
        <v>1</v>
      </c>
      <c r="AO1616" s="2">
        <f t="shared" si="255"/>
        <v>0</v>
      </c>
      <c r="AP1616" s="2">
        <f t="shared" si="256"/>
        <v>0</v>
      </c>
      <c r="AQ1616" s="2">
        <f t="shared" si="257"/>
        <v>0</v>
      </c>
      <c r="AR1616" s="2">
        <f t="shared" si="258"/>
        <v>0</v>
      </c>
      <c r="AS1616" s="2">
        <f t="shared" si="259"/>
        <v>0</v>
      </c>
      <c r="AT1616" s="25">
        <f t="shared" si="260"/>
        <v>0</v>
      </c>
    </row>
    <row r="1617" spans="1:46">
      <c r="A1617" s="24">
        <v>46136</v>
      </c>
      <c r="B1617" s="23">
        <f t="shared" si="252"/>
        <v>46113</v>
      </c>
      <c r="C1617" s="2" t="s">
        <v>55</v>
      </c>
      <c r="D1617" s="2" t="s">
        <v>222</v>
      </c>
      <c r="E1617" s="2">
        <v>2593</v>
      </c>
      <c r="F1617" s="2">
        <v>43</v>
      </c>
      <c r="G1617" s="2">
        <v>43</v>
      </c>
      <c r="H1617" s="2">
        <v>41</v>
      </c>
      <c r="I1617" s="2">
        <f t="shared" si="253"/>
        <v>2</v>
      </c>
      <c r="J1617" s="44" t="s">
        <v>1566</v>
      </c>
      <c r="K1617" s="2">
        <v>100</v>
      </c>
      <c r="L1617" s="2">
        <v>2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/>
      <c r="AM1617" s="2" t="s">
        <v>1566</v>
      </c>
      <c r="AN1617" s="2">
        <f t="shared" si="254"/>
        <v>2</v>
      </c>
      <c r="AO1617" s="2">
        <f t="shared" si="255"/>
        <v>0</v>
      </c>
      <c r="AP1617" s="2">
        <f t="shared" si="256"/>
        <v>0</v>
      </c>
      <c r="AQ1617" s="2">
        <f t="shared" si="257"/>
        <v>0</v>
      </c>
      <c r="AR1617" s="2">
        <f t="shared" si="258"/>
        <v>0</v>
      </c>
      <c r="AS1617" s="2">
        <f t="shared" si="259"/>
        <v>0</v>
      </c>
      <c r="AT1617" s="25">
        <f t="shared" si="260"/>
        <v>0</v>
      </c>
    </row>
    <row r="1618" spans="1:46">
      <c r="A1618" s="24">
        <v>46136</v>
      </c>
      <c r="B1618" s="23">
        <f t="shared" si="252"/>
        <v>46113</v>
      </c>
      <c r="C1618" s="2" t="s">
        <v>55</v>
      </c>
      <c r="D1618" s="2" t="s">
        <v>170</v>
      </c>
      <c r="E1618" s="2">
        <v>2593</v>
      </c>
      <c r="F1618" s="2">
        <v>45</v>
      </c>
      <c r="G1618" s="2">
        <v>45</v>
      </c>
      <c r="H1618" s="2">
        <v>41</v>
      </c>
      <c r="I1618" s="2">
        <f t="shared" si="253"/>
        <v>4</v>
      </c>
      <c r="J1618" s="44" t="s">
        <v>1566</v>
      </c>
      <c r="K1618" s="2">
        <v>100</v>
      </c>
      <c r="L1618" s="2">
        <v>3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1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/>
      <c r="AM1618" s="2" t="s">
        <v>1566</v>
      </c>
      <c r="AN1618" s="2">
        <f t="shared" si="254"/>
        <v>3</v>
      </c>
      <c r="AO1618" s="2">
        <f t="shared" si="255"/>
        <v>1</v>
      </c>
      <c r="AP1618" s="2">
        <f t="shared" si="256"/>
        <v>0</v>
      </c>
      <c r="AQ1618" s="2">
        <f t="shared" si="257"/>
        <v>0</v>
      </c>
      <c r="AR1618" s="2">
        <f t="shared" si="258"/>
        <v>0</v>
      </c>
      <c r="AS1618" s="2">
        <f t="shared" si="259"/>
        <v>0</v>
      </c>
      <c r="AT1618" s="25">
        <f t="shared" si="260"/>
        <v>0</v>
      </c>
    </row>
    <row r="1619" spans="1:46">
      <c r="A1619" s="24">
        <v>46136</v>
      </c>
      <c r="B1619" s="23">
        <f t="shared" si="252"/>
        <v>46113</v>
      </c>
      <c r="C1619" s="2" t="s">
        <v>55</v>
      </c>
      <c r="D1619" s="2" t="s">
        <v>60</v>
      </c>
      <c r="E1619" s="2">
        <v>2593</v>
      </c>
      <c r="F1619" s="2">
        <v>51</v>
      </c>
      <c r="G1619" s="2">
        <v>51</v>
      </c>
      <c r="H1619" s="2">
        <v>49</v>
      </c>
      <c r="I1619" s="2">
        <f t="shared" si="253"/>
        <v>2</v>
      </c>
      <c r="J1619" s="44" t="s">
        <v>1566</v>
      </c>
      <c r="K1619" s="2">
        <v>100</v>
      </c>
      <c r="L1619" s="2">
        <v>2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/>
      <c r="AM1619" s="2" t="s">
        <v>1566</v>
      </c>
      <c r="AN1619" s="2">
        <f t="shared" si="254"/>
        <v>2</v>
      </c>
      <c r="AO1619" s="2">
        <f t="shared" si="255"/>
        <v>0</v>
      </c>
      <c r="AP1619" s="2">
        <f t="shared" si="256"/>
        <v>0</v>
      </c>
      <c r="AQ1619" s="2">
        <f t="shared" si="257"/>
        <v>0</v>
      </c>
      <c r="AR1619" s="2">
        <f t="shared" si="258"/>
        <v>0</v>
      </c>
      <c r="AS1619" s="2">
        <f t="shared" si="259"/>
        <v>0</v>
      </c>
      <c r="AT1619" s="25">
        <f t="shared" si="260"/>
        <v>0</v>
      </c>
    </row>
    <row r="1620" spans="1:46">
      <c r="A1620" s="24">
        <v>46136</v>
      </c>
      <c r="B1620" s="23">
        <f t="shared" si="252"/>
        <v>46113</v>
      </c>
      <c r="C1620" s="2" t="s">
        <v>62</v>
      </c>
      <c r="D1620" s="2" t="s">
        <v>78</v>
      </c>
      <c r="E1620" s="2">
        <v>3305</v>
      </c>
      <c r="F1620" s="2">
        <v>43</v>
      </c>
      <c r="G1620" s="2">
        <v>43</v>
      </c>
      <c r="H1620" s="2">
        <v>41</v>
      </c>
      <c r="I1620" s="2">
        <f t="shared" si="253"/>
        <v>2</v>
      </c>
      <c r="J1620" s="44" t="s">
        <v>110</v>
      </c>
      <c r="K1620" s="2">
        <v>100</v>
      </c>
      <c r="L1620" s="2">
        <v>2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/>
      <c r="AM1620" s="2" t="s">
        <v>110</v>
      </c>
      <c r="AN1620" s="2">
        <f t="shared" si="254"/>
        <v>2</v>
      </c>
      <c r="AO1620" s="2">
        <f t="shared" si="255"/>
        <v>0</v>
      </c>
      <c r="AP1620" s="2">
        <f t="shared" si="256"/>
        <v>0</v>
      </c>
      <c r="AQ1620" s="2">
        <f t="shared" si="257"/>
        <v>0</v>
      </c>
      <c r="AR1620" s="2">
        <f t="shared" si="258"/>
        <v>0</v>
      </c>
      <c r="AS1620" s="2">
        <f t="shared" si="259"/>
        <v>0</v>
      </c>
      <c r="AT1620" s="25">
        <f t="shared" si="260"/>
        <v>0</v>
      </c>
    </row>
    <row r="1621" spans="1:46">
      <c r="A1621" s="24">
        <v>46136</v>
      </c>
      <c r="B1621" s="23">
        <f t="shared" si="252"/>
        <v>46113</v>
      </c>
      <c r="C1621" s="2" t="s">
        <v>63</v>
      </c>
      <c r="D1621" s="2" t="s">
        <v>371</v>
      </c>
      <c r="E1621" s="2">
        <v>2680</v>
      </c>
      <c r="F1621" s="2">
        <v>14</v>
      </c>
      <c r="G1621" s="2">
        <v>14</v>
      </c>
      <c r="H1621" s="2">
        <v>14</v>
      </c>
      <c r="I1621" s="2">
        <f t="shared" si="253"/>
        <v>0</v>
      </c>
      <c r="J1621" s="44" t="s">
        <v>110</v>
      </c>
      <c r="K1621" s="2">
        <v>100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/>
      <c r="AM1621" s="2" t="s">
        <v>110</v>
      </c>
      <c r="AN1621" s="2">
        <f t="shared" si="254"/>
        <v>0</v>
      </c>
      <c r="AO1621" s="2">
        <f t="shared" si="255"/>
        <v>0</v>
      </c>
      <c r="AP1621" s="2">
        <f t="shared" si="256"/>
        <v>0</v>
      </c>
      <c r="AQ1621" s="2">
        <f t="shared" si="257"/>
        <v>0</v>
      </c>
      <c r="AR1621" s="2">
        <f t="shared" si="258"/>
        <v>0</v>
      </c>
      <c r="AS1621" s="2">
        <f t="shared" si="259"/>
        <v>0</v>
      </c>
      <c r="AT1621" s="25">
        <f t="shared" si="260"/>
        <v>0</v>
      </c>
    </row>
    <row r="1622" spans="1:46">
      <c r="A1622" s="24">
        <v>46136</v>
      </c>
      <c r="B1622" s="23">
        <f t="shared" si="252"/>
        <v>46113</v>
      </c>
      <c r="C1622" s="2" t="s">
        <v>63</v>
      </c>
      <c r="D1622" s="2" t="s">
        <v>416</v>
      </c>
      <c r="E1622" s="2">
        <v>2758</v>
      </c>
      <c r="F1622" s="2">
        <v>29</v>
      </c>
      <c r="G1622" s="2">
        <v>29</v>
      </c>
      <c r="H1622" s="2">
        <v>23</v>
      </c>
      <c r="I1622" s="2">
        <f t="shared" si="253"/>
        <v>6</v>
      </c>
      <c r="J1622" s="44" t="s">
        <v>110</v>
      </c>
      <c r="K1622" s="2">
        <v>100</v>
      </c>
      <c r="L1622" s="2">
        <v>0</v>
      </c>
      <c r="M1622" s="2">
        <v>5</v>
      </c>
      <c r="N1622" s="2">
        <v>0</v>
      </c>
      <c r="O1622" s="2">
        <v>0</v>
      </c>
      <c r="P1622" s="2">
        <v>0</v>
      </c>
      <c r="Q1622" s="2">
        <v>0</v>
      </c>
      <c r="R1622" s="2">
        <v>1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/>
      <c r="AM1622" s="2" t="s">
        <v>110</v>
      </c>
      <c r="AN1622" s="2">
        <f t="shared" si="254"/>
        <v>0</v>
      </c>
      <c r="AO1622" s="2">
        <f t="shared" si="255"/>
        <v>6</v>
      </c>
      <c r="AP1622" s="2">
        <f t="shared" si="256"/>
        <v>0</v>
      </c>
      <c r="AQ1622" s="2">
        <f t="shared" si="257"/>
        <v>0</v>
      </c>
      <c r="AR1622" s="2">
        <f t="shared" si="258"/>
        <v>0</v>
      </c>
      <c r="AS1622" s="2">
        <f t="shared" si="259"/>
        <v>0</v>
      </c>
      <c r="AT1622" s="25">
        <f t="shared" si="260"/>
        <v>0</v>
      </c>
    </row>
    <row r="1623" spans="1:46">
      <c r="A1623" s="24">
        <v>46136</v>
      </c>
      <c r="B1623" s="23">
        <f t="shared" si="252"/>
        <v>46113</v>
      </c>
      <c r="C1623" s="2" t="s">
        <v>46</v>
      </c>
      <c r="D1623" s="2" t="s">
        <v>52</v>
      </c>
      <c r="E1623" s="2">
        <v>6269</v>
      </c>
      <c r="F1623" s="2">
        <v>55</v>
      </c>
      <c r="G1623" s="2">
        <v>55</v>
      </c>
      <c r="H1623" s="2">
        <v>53</v>
      </c>
      <c r="I1623" s="2">
        <f t="shared" si="253"/>
        <v>2</v>
      </c>
      <c r="J1623" s="44" t="s">
        <v>1567</v>
      </c>
      <c r="K1623" s="2">
        <v>100</v>
      </c>
      <c r="L1623" s="2">
        <v>2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/>
      <c r="AM1623" s="2" t="s">
        <v>1567</v>
      </c>
      <c r="AN1623" s="2">
        <f t="shared" si="254"/>
        <v>2</v>
      </c>
      <c r="AO1623" s="2">
        <f t="shared" si="255"/>
        <v>0</v>
      </c>
      <c r="AP1623" s="2">
        <f t="shared" si="256"/>
        <v>0</v>
      </c>
      <c r="AQ1623" s="2">
        <f t="shared" si="257"/>
        <v>0</v>
      </c>
      <c r="AR1623" s="2">
        <f t="shared" si="258"/>
        <v>0</v>
      </c>
      <c r="AS1623" s="2">
        <f t="shared" si="259"/>
        <v>0</v>
      </c>
      <c r="AT1623" s="25">
        <f t="shared" si="260"/>
        <v>0</v>
      </c>
    </row>
    <row r="1624" spans="1:46">
      <c r="A1624" s="24">
        <v>46136</v>
      </c>
      <c r="B1624" s="23">
        <f t="shared" si="252"/>
        <v>46113</v>
      </c>
      <c r="C1624" s="2" t="s">
        <v>46</v>
      </c>
      <c r="D1624" s="2" t="s">
        <v>320</v>
      </c>
      <c r="E1624" s="2">
        <v>2781</v>
      </c>
      <c r="F1624" s="2">
        <v>34</v>
      </c>
      <c r="G1624" s="2">
        <v>34</v>
      </c>
      <c r="H1624" s="2">
        <v>33</v>
      </c>
      <c r="I1624" s="2">
        <f t="shared" si="253"/>
        <v>1</v>
      </c>
      <c r="J1624" s="44" t="s">
        <v>1567</v>
      </c>
      <c r="K1624" s="2">
        <v>100</v>
      </c>
      <c r="L1624" s="2">
        <v>1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/>
      <c r="AM1624" s="2" t="s">
        <v>1567</v>
      </c>
      <c r="AN1624" s="2">
        <f t="shared" si="254"/>
        <v>1</v>
      </c>
      <c r="AO1624" s="2">
        <f t="shared" si="255"/>
        <v>0</v>
      </c>
      <c r="AP1624" s="2">
        <f t="shared" si="256"/>
        <v>0</v>
      </c>
      <c r="AQ1624" s="2">
        <f t="shared" si="257"/>
        <v>0</v>
      </c>
      <c r="AR1624" s="2">
        <f t="shared" si="258"/>
        <v>0</v>
      </c>
      <c r="AS1624" s="2">
        <f t="shared" si="259"/>
        <v>0</v>
      </c>
      <c r="AT1624" s="25">
        <f t="shared" si="260"/>
        <v>0</v>
      </c>
    </row>
    <row r="1625" spans="1:46">
      <c r="A1625" s="24">
        <v>46136</v>
      </c>
      <c r="B1625" s="23">
        <f t="shared" si="252"/>
        <v>46113</v>
      </c>
      <c r="C1625" s="2" t="s">
        <v>46</v>
      </c>
      <c r="D1625" s="2" t="s">
        <v>195</v>
      </c>
      <c r="E1625" s="2">
        <v>3277</v>
      </c>
      <c r="F1625" s="2">
        <v>37</v>
      </c>
      <c r="G1625" s="2">
        <v>37</v>
      </c>
      <c r="H1625" s="2">
        <v>36</v>
      </c>
      <c r="I1625" s="2">
        <f t="shared" si="253"/>
        <v>1</v>
      </c>
      <c r="J1625" s="44" t="s">
        <v>1567</v>
      </c>
      <c r="K1625" s="2">
        <v>100</v>
      </c>
      <c r="L1625" s="2">
        <v>1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/>
      <c r="AM1625" s="2" t="s">
        <v>1567</v>
      </c>
      <c r="AN1625" s="2">
        <f t="shared" si="254"/>
        <v>1</v>
      </c>
      <c r="AO1625" s="2">
        <f t="shared" si="255"/>
        <v>0</v>
      </c>
      <c r="AP1625" s="2">
        <f t="shared" si="256"/>
        <v>0</v>
      </c>
      <c r="AQ1625" s="2">
        <f t="shared" si="257"/>
        <v>0</v>
      </c>
      <c r="AR1625" s="2">
        <f t="shared" si="258"/>
        <v>0</v>
      </c>
      <c r="AS1625" s="2">
        <f t="shared" si="259"/>
        <v>0</v>
      </c>
      <c r="AT1625" s="25">
        <f t="shared" si="260"/>
        <v>0</v>
      </c>
    </row>
    <row r="1626" spans="1:46">
      <c r="A1626" s="24">
        <v>46136</v>
      </c>
      <c r="B1626" s="23">
        <f t="shared" si="252"/>
        <v>46113</v>
      </c>
      <c r="C1626" s="2" t="s">
        <v>46</v>
      </c>
      <c r="D1626" s="2" t="s">
        <v>294</v>
      </c>
      <c r="E1626" s="2">
        <v>2781</v>
      </c>
      <c r="F1626" s="2">
        <v>33</v>
      </c>
      <c r="G1626" s="2">
        <v>33</v>
      </c>
      <c r="H1626" s="2">
        <v>33</v>
      </c>
      <c r="I1626" s="2">
        <f t="shared" si="253"/>
        <v>0</v>
      </c>
      <c r="J1626" s="44" t="s">
        <v>1567</v>
      </c>
      <c r="K1626" s="2">
        <v>100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/>
      <c r="AM1626" s="2" t="s">
        <v>1567</v>
      </c>
      <c r="AN1626" s="2">
        <f t="shared" si="254"/>
        <v>0</v>
      </c>
      <c r="AO1626" s="2">
        <f t="shared" si="255"/>
        <v>0</v>
      </c>
      <c r="AP1626" s="2">
        <f t="shared" si="256"/>
        <v>0</v>
      </c>
      <c r="AQ1626" s="2">
        <f t="shared" si="257"/>
        <v>0</v>
      </c>
      <c r="AR1626" s="2">
        <f t="shared" si="258"/>
        <v>0</v>
      </c>
      <c r="AS1626" s="2">
        <f t="shared" si="259"/>
        <v>0</v>
      </c>
      <c r="AT1626" s="25">
        <f t="shared" si="260"/>
        <v>0</v>
      </c>
    </row>
    <row r="1627" spans="1:46">
      <c r="A1627" s="24">
        <v>46136</v>
      </c>
      <c r="B1627" s="23">
        <f t="shared" si="252"/>
        <v>46113</v>
      </c>
      <c r="C1627" s="2" t="s">
        <v>46</v>
      </c>
      <c r="D1627" s="2" t="s">
        <v>127</v>
      </c>
      <c r="E1627" s="2">
        <v>6296</v>
      </c>
      <c r="F1627" s="2">
        <v>32</v>
      </c>
      <c r="G1627" s="2">
        <v>32</v>
      </c>
      <c r="H1627" s="2">
        <v>30</v>
      </c>
      <c r="I1627" s="2">
        <f t="shared" si="253"/>
        <v>2</v>
      </c>
      <c r="J1627" s="44" t="s">
        <v>1567</v>
      </c>
      <c r="K1627" s="2">
        <v>100</v>
      </c>
      <c r="L1627" s="2">
        <v>2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/>
      <c r="AM1627" s="2" t="s">
        <v>1567</v>
      </c>
      <c r="AN1627" s="2">
        <f t="shared" si="254"/>
        <v>2</v>
      </c>
      <c r="AO1627" s="2">
        <f t="shared" si="255"/>
        <v>0</v>
      </c>
      <c r="AP1627" s="2">
        <f t="shared" si="256"/>
        <v>0</v>
      </c>
      <c r="AQ1627" s="2">
        <f t="shared" si="257"/>
        <v>0</v>
      </c>
      <c r="AR1627" s="2">
        <f t="shared" si="258"/>
        <v>0</v>
      </c>
      <c r="AS1627" s="2">
        <f t="shared" si="259"/>
        <v>0</v>
      </c>
      <c r="AT1627" s="25">
        <f t="shared" si="260"/>
        <v>0</v>
      </c>
    </row>
    <row r="1628" spans="1:46">
      <c r="A1628" s="24">
        <v>46136</v>
      </c>
      <c r="B1628" s="23">
        <f t="shared" si="252"/>
        <v>46113</v>
      </c>
      <c r="C1628" s="2" t="s">
        <v>72</v>
      </c>
      <c r="D1628" s="2" t="s">
        <v>345</v>
      </c>
      <c r="E1628" s="2">
        <v>2724</v>
      </c>
      <c r="F1628" s="2">
        <v>180</v>
      </c>
      <c r="G1628" s="2">
        <v>180</v>
      </c>
      <c r="H1628" s="2">
        <v>177</v>
      </c>
      <c r="I1628" s="2">
        <f t="shared" si="253"/>
        <v>3</v>
      </c>
      <c r="J1628" s="44" t="s">
        <v>1567</v>
      </c>
      <c r="K1628" s="2">
        <v>100</v>
      </c>
      <c r="L1628" s="2">
        <v>3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/>
      <c r="AM1628" s="2" t="s">
        <v>1567</v>
      </c>
      <c r="AN1628" s="2">
        <f t="shared" si="254"/>
        <v>3</v>
      </c>
      <c r="AO1628" s="2">
        <f t="shared" si="255"/>
        <v>0</v>
      </c>
      <c r="AP1628" s="2">
        <f t="shared" si="256"/>
        <v>0</v>
      </c>
      <c r="AQ1628" s="2">
        <f t="shared" si="257"/>
        <v>0</v>
      </c>
      <c r="AR1628" s="2">
        <f t="shared" si="258"/>
        <v>0</v>
      </c>
      <c r="AS1628" s="2">
        <f t="shared" si="259"/>
        <v>0</v>
      </c>
      <c r="AT1628" s="25">
        <f t="shared" si="260"/>
        <v>0</v>
      </c>
    </row>
    <row r="1629" spans="1:46">
      <c r="A1629" s="24">
        <v>46137</v>
      </c>
      <c r="B1629" s="23">
        <f t="shared" si="252"/>
        <v>46113</v>
      </c>
      <c r="C1629" s="2" t="s">
        <v>95</v>
      </c>
      <c r="D1629" s="2" t="s">
        <v>227</v>
      </c>
      <c r="E1629" s="2">
        <v>2679</v>
      </c>
      <c r="F1629" s="2">
        <v>34</v>
      </c>
      <c r="G1629" s="2">
        <v>34</v>
      </c>
      <c r="H1629" s="2">
        <v>34</v>
      </c>
      <c r="I1629" s="2">
        <f t="shared" si="253"/>
        <v>0</v>
      </c>
      <c r="J1629" s="44" t="s">
        <v>1567</v>
      </c>
      <c r="K1629" s="2">
        <v>100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/>
      <c r="AM1629" s="2" t="s">
        <v>1567</v>
      </c>
      <c r="AN1629" s="2">
        <f t="shared" si="254"/>
        <v>0</v>
      </c>
      <c r="AO1629" s="2">
        <f t="shared" si="255"/>
        <v>0</v>
      </c>
      <c r="AP1629" s="2">
        <f t="shared" si="256"/>
        <v>0</v>
      </c>
      <c r="AQ1629" s="2">
        <f t="shared" si="257"/>
        <v>0</v>
      </c>
      <c r="AR1629" s="2">
        <f t="shared" si="258"/>
        <v>0</v>
      </c>
      <c r="AS1629" s="2">
        <f t="shared" si="259"/>
        <v>0</v>
      </c>
      <c r="AT1629" s="25">
        <f t="shared" si="260"/>
        <v>0</v>
      </c>
    </row>
    <row r="1630" spans="1:46">
      <c r="A1630" s="24">
        <v>46137</v>
      </c>
      <c r="B1630" s="23">
        <f t="shared" si="252"/>
        <v>46113</v>
      </c>
      <c r="C1630" s="2" t="s">
        <v>62</v>
      </c>
      <c r="D1630" s="2" t="s">
        <v>407</v>
      </c>
      <c r="E1630" s="2">
        <v>9264</v>
      </c>
      <c r="F1630" s="2">
        <v>49</v>
      </c>
      <c r="G1630" s="2">
        <v>49</v>
      </c>
      <c r="H1630" s="2">
        <v>44</v>
      </c>
      <c r="I1630" s="2">
        <f t="shared" si="253"/>
        <v>5</v>
      </c>
      <c r="J1630" s="44" t="s">
        <v>1567</v>
      </c>
      <c r="K1630" s="2">
        <v>100</v>
      </c>
      <c r="L1630" s="2">
        <v>5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/>
      <c r="AM1630" s="2" t="s">
        <v>1567</v>
      </c>
      <c r="AN1630" s="2">
        <f t="shared" si="254"/>
        <v>5</v>
      </c>
      <c r="AO1630" s="2">
        <f t="shared" si="255"/>
        <v>0</v>
      </c>
      <c r="AP1630" s="2">
        <f t="shared" si="256"/>
        <v>0</v>
      </c>
      <c r="AQ1630" s="2">
        <f t="shared" si="257"/>
        <v>0</v>
      </c>
      <c r="AR1630" s="2">
        <f t="shared" si="258"/>
        <v>0</v>
      </c>
      <c r="AS1630" s="2">
        <f t="shared" si="259"/>
        <v>0</v>
      </c>
      <c r="AT1630" s="25">
        <f t="shared" si="260"/>
        <v>0</v>
      </c>
    </row>
    <row r="1631" spans="1:46">
      <c r="A1631" s="24">
        <v>46137</v>
      </c>
      <c r="B1631" s="23">
        <f t="shared" si="252"/>
        <v>46113</v>
      </c>
      <c r="C1631" s="2" t="s">
        <v>46</v>
      </c>
      <c r="D1631" s="2" t="s">
        <v>243</v>
      </c>
      <c r="E1631" s="2">
        <v>6221</v>
      </c>
      <c r="F1631" s="2">
        <v>37</v>
      </c>
      <c r="G1631" s="2">
        <v>37</v>
      </c>
      <c r="H1631" s="2">
        <v>37</v>
      </c>
      <c r="I1631" s="2">
        <f t="shared" si="253"/>
        <v>0</v>
      </c>
      <c r="J1631" s="44" t="s">
        <v>1567</v>
      </c>
      <c r="K1631" s="2">
        <v>100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/>
      <c r="AM1631" s="2" t="s">
        <v>1567</v>
      </c>
      <c r="AN1631" s="2">
        <f t="shared" si="254"/>
        <v>0</v>
      </c>
      <c r="AO1631" s="2">
        <f t="shared" si="255"/>
        <v>0</v>
      </c>
      <c r="AP1631" s="2">
        <f t="shared" si="256"/>
        <v>0</v>
      </c>
      <c r="AQ1631" s="2">
        <f t="shared" si="257"/>
        <v>0</v>
      </c>
      <c r="AR1631" s="2">
        <f t="shared" si="258"/>
        <v>0</v>
      </c>
      <c r="AS1631" s="2">
        <f t="shared" si="259"/>
        <v>0</v>
      </c>
      <c r="AT1631" s="25">
        <f t="shared" si="260"/>
        <v>0</v>
      </c>
    </row>
    <row r="1632" spans="1:46">
      <c r="A1632" s="24">
        <v>46137</v>
      </c>
      <c r="B1632" s="23">
        <f t="shared" si="252"/>
        <v>46113</v>
      </c>
      <c r="C1632" s="2" t="s">
        <v>46</v>
      </c>
      <c r="D1632" s="2" t="s">
        <v>52</v>
      </c>
      <c r="E1632" s="2">
        <v>6269</v>
      </c>
      <c r="F1632" s="2">
        <v>5</v>
      </c>
      <c r="G1632" s="2">
        <v>5</v>
      </c>
      <c r="H1632" s="2">
        <v>5</v>
      </c>
      <c r="I1632" s="2">
        <f t="shared" si="253"/>
        <v>0</v>
      </c>
      <c r="J1632" s="44" t="s">
        <v>1567</v>
      </c>
      <c r="K1632" s="2">
        <v>100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/>
      <c r="AM1632" s="2" t="s">
        <v>1567</v>
      </c>
      <c r="AN1632" s="2">
        <f t="shared" si="254"/>
        <v>0</v>
      </c>
      <c r="AO1632" s="2">
        <f t="shared" si="255"/>
        <v>0</v>
      </c>
      <c r="AP1632" s="2">
        <f t="shared" si="256"/>
        <v>0</v>
      </c>
      <c r="AQ1632" s="2">
        <f t="shared" si="257"/>
        <v>0</v>
      </c>
      <c r="AR1632" s="2">
        <f t="shared" si="258"/>
        <v>0</v>
      </c>
      <c r="AS1632" s="2">
        <f t="shared" si="259"/>
        <v>0</v>
      </c>
      <c r="AT1632" s="25">
        <f t="shared" si="260"/>
        <v>0</v>
      </c>
    </row>
    <row r="1633" spans="1:46">
      <c r="A1633" s="24">
        <v>46137</v>
      </c>
      <c r="B1633" s="23">
        <f t="shared" si="252"/>
        <v>46113</v>
      </c>
      <c r="C1633" s="2" t="s">
        <v>133</v>
      </c>
      <c r="D1633" s="2" t="s">
        <v>1397</v>
      </c>
      <c r="E1633" s="2">
        <v>95136</v>
      </c>
      <c r="F1633" s="2">
        <v>57</v>
      </c>
      <c r="G1633" s="2">
        <v>57</v>
      </c>
      <c r="H1633" s="2">
        <v>54</v>
      </c>
      <c r="I1633" s="2">
        <f t="shared" si="253"/>
        <v>3</v>
      </c>
      <c r="J1633" s="44" t="s">
        <v>1567</v>
      </c>
      <c r="K1633" s="2">
        <v>100</v>
      </c>
      <c r="L1633" s="2">
        <v>3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/>
      <c r="AM1633" s="2" t="s">
        <v>1567</v>
      </c>
      <c r="AN1633" s="2">
        <f t="shared" si="254"/>
        <v>3</v>
      </c>
      <c r="AO1633" s="2">
        <f t="shared" si="255"/>
        <v>0</v>
      </c>
      <c r="AP1633" s="2">
        <f t="shared" si="256"/>
        <v>0</v>
      </c>
      <c r="AQ1633" s="2">
        <f t="shared" si="257"/>
        <v>0</v>
      </c>
      <c r="AR1633" s="2">
        <f t="shared" si="258"/>
        <v>0</v>
      </c>
      <c r="AS1633" s="2">
        <f t="shared" si="259"/>
        <v>0</v>
      </c>
      <c r="AT1633" s="25">
        <f t="shared" si="260"/>
        <v>0</v>
      </c>
    </row>
    <row r="1634" spans="1:46">
      <c r="A1634" s="24">
        <v>46137</v>
      </c>
      <c r="B1634" s="23">
        <f t="shared" si="252"/>
        <v>46113</v>
      </c>
      <c r="C1634" s="2" t="s">
        <v>95</v>
      </c>
      <c r="D1634" s="2" t="s">
        <v>361</v>
      </c>
      <c r="E1634" s="2">
        <v>6291</v>
      </c>
      <c r="F1634" s="2">
        <v>26</v>
      </c>
      <c r="G1634" s="2">
        <v>26</v>
      </c>
      <c r="H1634" s="2">
        <v>26</v>
      </c>
      <c r="I1634" s="2">
        <f t="shared" si="253"/>
        <v>0</v>
      </c>
      <c r="J1634" s="44" t="s">
        <v>1567</v>
      </c>
      <c r="K1634" s="2">
        <v>100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/>
      <c r="AM1634" s="2" t="s">
        <v>1567</v>
      </c>
      <c r="AN1634" s="2">
        <f t="shared" si="254"/>
        <v>0</v>
      </c>
      <c r="AO1634" s="2">
        <f t="shared" si="255"/>
        <v>0</v>
      </c>
      <c r="AP1634" s="2">
        <f t="shared" si="256"/>
        <v>0</v>
      </c>
      <c r="AQ1634" s="2">
        <f t="shared" si="257"/>
        <v>0</v>
      </c>
      <c r="AR1634" s="2">
        <f t="shared" si="258"/>
        <v>0</v>
      </c>
      <c r="AS1634" s="2">
        <f t="shared" si="259"/>
        <v>0</v>
      </c>
      <c r="AT1634" s="25">
        <f t="shared" si="260"/>
        <v>0</v>
      </c>
    </row>
    <row r="1635" spans="1:46">
      <c r="A1635" s="24">
        <v>46137</v>
      </c>
      <c r="B1635" s="23">
        <f t="shared" si="252"/>
        <v>46113</v>
      </c>
      <c r="C1635" s="2" t="s">
        <v>95</v>
      </c>
      <c r="D1635" s="2" t="s">
        <v>1410</v>
      </c>
      <c r="E1635" s="2">
        <v>6215</v>
      </c>
      <c r="F1635" s="2">
        <v>39</v>
      </c>
      <c r="G1635" s="2">
        <v>39</v>
      </c>
      <c r="H1635" s="2">
        <v>37</v>
      </c>
      <c r="I1635" s="2">
        <f t="shared" si="253"/>
        <v>2</v>
      </c>
      <c r="J1635" s="44" t="s">
        <v>1567</v>
      </c>
      <c r="K1635" s="2">
        <v>100</v>
      </c>
      <c r="L1635" s="2">
        <v>2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/>
      <c r="AM1635" s="2" t="s">
        <v>1567</v>
      </c>
      <c r="AN1635" s="2">
        <f t="shared" si="254"/>
        <v>2</v>
      </c>
      <c r="AO1635" s="2">
        <f t="shared" si="255"/>
        <v>0</v>
      </c>
      <c r="AP1635" s="2">
        <f t="shared" si="256"/>
        <v>0</v>
      </c>
      <c r="AQ1635" s="2">
        <f t="shared" si="257"/>
        <v>0</v>
      </c>
      <c r="AR1635" s="2">
        <f t="shared" si="258"/>
        <v>0</v>
      </c>
      <c r="AS1635" s="2">
        <f t="shared" si="259"/>
        <v>0</v>
      </c>
      <c r="AT1635" s="25">
        <f t="shared" si="260"/>
        <v>0</v>
      </c>
    </row>
    <row r="1636" spans="1:46">
      <c r="A1636" s="24">
        <v>46137</v>
      </c>
      <c r="B1636" s="23">
        <f t="shared" si="252"/>
        <v>46113</v>
      </c>
      <c r="C1636" s="2" t="s">
        <v>95</v>
      </c>
      <c r="D1636" s="2" t="s">
        <v>315</v>
      </c>
      <c r="E1636" s="2">
        <v>6291</v>
      </c>
      <c r="F1636" s="2">
        <v>33</v>
      </c>
      <c r="G1636" s="2">
        <v>33</v>
      </c>
      <c r="H1636" s="2">
        <v>32</v>
      </c>
      <c r="I1636" s="2">
        <f t="shared" si="253"/>
        <v>1</v>
      </c>
      <c r="J1636" s="44" t="s">
        <v>1567</v>
      </c>
      <c r="K1636" s="2">
        <v>100</v>
      </c>
      <c r="L1636" s="2">
        <v>1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/>
      <c r="AM1636" s="2" t="s">
        <v>1567</v>
      </c>
      <c r="AN1636" s="2">
        <f t="shared" si="254"/>
        <v>1</v>
      </c>
      <c r="AO1636" s="2">
        <f t="shared" si="255"/>
        <v>0</v>
      </c>
      <c r="AP1636" s="2">
        <f t="shared" si="256"/>
        <v>0</v>
      </c>
      <c r="AQ1636" s="2">
        <f t="shared" si="257"/>
        <v>0</v>
      </c>
      <c r="AR1636" s="2">
        <f t="shared" si="258"/>
        <v>0</v>
      </c>
      <c r="AS1636" s="2">
        <f t="shared" si="259"/>
        <v>0</v>
      </c>
      <c r="AT1636" s="25">
        <f t="shared" si="260"/>
        <v>0</v>
      </c>
    </row>
    <row r="1637" spans="1:46">
      <c r="A1637" s="24">
        <v>46137</v>
      </c>
      <c r="B1637" s="23">
        <f t="shared" si="252"/>
        <v>46113</v>
      </c>
      <c r="C1637" s="2" t="s">
        <v>95</v>
      </c>
      <c r="D1637" s="2" t="s">
        <v>319</v>
      </c>
      <c r="E1637" s="2">
        <v>8109</v>
      </c>
      <c r="F1637" s="2">
        <v>43</v>
      </c>
      <c r="G1637" s="2">
        <v>43</v>
      </c>
      <c r="H1637" s="2">
        <v>41</v>
      </c>
      <c r="I1637" s="2">
        <f t="shared" si="253"/>
        <v>2</v>
      </c>
      <c r="J1637" s="44" t="s">
        <v>1567</v>
      </c>
      <c r="K1637" s="2">
        <v>100</v>
      </c>
      <c r="L1637" s="2">
        <v>2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/>
      <c r="AM1637" s="2" t="s">
        <v>1567</v>
      </c>
      <c r="AN1637" s="2">
        <f t="shared" si="254"/>
        <v>2</v>
      </c>
      <c r="AO1637" s="2">
        <f t="shared" si="255"/>
        <v>0</v>
      </c>
      <c r="AP1637" s="2">
        <f t="shared" si="256"/>
        <v>0</v>
      </c>
      <c r="AQ1637" s="2">
        <f t="shared" si="257"/>
        <v>0</v>
      </c>
      <c r="AR1637" s="2">
        <f t="shared" si="258"/>
        <v>0</v>
      </c>
      <c r="AS1637" s="2">
        <f t="shared" si="259"/>
        <v>0</v>
      </c>
      <c r="AT1637" s="25">
        <f t="shared" si="260"/>
        <v>0</v>
      </c>
    </row>
    <row r="1638" spans="1:46">
      <c r="A1638" s="24">
        <v>46137</v>
      </c>
      <c r="B1638" s="23">
        <f t="shared" si="252"/>
        <v>46113</v>
      </c>
      <c r="C1638" s="2" t="s">
        <v>95</v>
      </c>
      <c r="D1638" s="2" t="s">
        <v>301</v>
      </c>
      <c r="E1638" s="2">
        <v>8080</v>
      </c>
      <c r="F1638" s="2">
        <v>45</v>
      </c>
      <c r="G1638" s="2">
        <v>45</v>
      </c>
      <c r="H1638" s="2">
        <v>42</v>
      </c>
      <c r="I1638" s="2">
        <f t="shared" si="253"/>
        <v>3</v>
      </c>
      <c r="J1638" s="44" t="s">
        <v>1567</v>
      </c>
      <c r="K1638" s="2">
        <v>100</v>
      </c>
      <c r="L1638" s="2">
        <v>3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/>
      <c r="AM1638" s="2" t="s">
        <v>1567</v>
      </c>
      <c r="AN1638" s="2">
        <f t="shared" si="254"/>
        <v>3</v>
      </c>
      <c r="AO1638" s="2">
        <f t="shared" si="255"/>
        <v>0</v>
      </c>
      <c r="AP1638" s="2">
        <f t="shared" si="256"/>
        <v>0</v>
      </c>
      <c r="AQ1638" s="2">
        <f t="shared" si="257"/>
        <v>0</v>
      </c>
      <c r="AR1638" s="2">
        <f t="shared" si="258"/>
        <v>0</v>
      </c>
      <c r="AS1638" s="2">
        <f t="shared" si="259"/>
        <v>0</v>
      </c>
      <c r="AT1638" s="25">
        <f t="shared" si="260"/>
        <v>0</v>
      </c>
    </row>
    <row r="1639" spans="1:46">
      <c r="A1639" s="24">
        <v>46137</v>
      </c>
      <c r="B1639" s="23">
        <f t="shared" si="252"/>
        <v>46113</v>
      </c>
      <c r="C1639" s="2" t="s">
        <v>55</v>
      </c>
      <c r="D1639" s="2" t="s">
        <v>332</v>
      </c>
      <c r="E1639" s="2">
        <v>2594</v>
      </c>
      <c r="F1639" s="2">
        <v>20</v>
      </c>
      <c r="G1639" s="2">
        <v>20</v>
      </c>
      <c r="H1639" s="2">
        <v>20</v>
      </c>
      <c r="I1639" s="2">
        <f t="shared" si="253"/>
        <v>0</v>
      </c>
      <c r="J1639" s="44" t="s">
        <v>80</v>
      </c>
      <c r="K1639" s="2">
        <v>100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/>
      <c r="AM1639" s="2" t="s">
        <v>80</v>
      </c>
      <c r="AN1639" s="2">
        <f t="shared" si="254"/>
        <v>0</v>
      </c>
      <c r="AO1639" s="2">
        <f t="shared" si="255"/>
        <v>0</v>
      </c>
      <c r="AP1639" s="2">
        <f t="shared" si="256"/>
        <v>0</v>
      </c>
      <c r="AQ1639" s="2">
        <f t="shared" si="257"/>
        <v>0</v>
      </c>
      <c r="AR1639" s="2">
        <f t="shared" si="258"/>
        <v>0</v>
      </c>
      <c r="AS1639" s="2">
        <f t="shared" si="259"/>
        <v>0</v>
      </c>
      <c r="AT1639" s="25">
        <f t="shared" si="260"/>
        <v>0</v>
      </c>
    </row>
    <row r="1640" spans="1:46">
      <c r="A1640" s="24">
        <v>46137</v>
      </c>
      <c r="B1640" s="23">
        <f t="shared" si="252"/>
        <v>46113</v>
      </c>
      <c r="C1640" s="2" t="s">
        <v>72</v>
      </c>
      <c r="D1640" s="2" t="s">
        <v>345</v>
      </c>
      <c r="E1640" s="2">
        <v>2724</v>
      </c>
      <c r="F1640" s="2">
        <v>570</v>
      </c>
      <c r="G1640" s="2">
        <v>570</v>
      </c>
      <c r="H1640" s="2">
        <v>564</v>
      </c>
      <c r="I1640" s="2">
        <f t="shared" si="253"/>
        <v>6</v>
      </c>
      <c r="J1640" s="44" t="s">
        <v>103</v>
      </c>
      <c r="K1640" s="2">
        <v>100</v>
      </c>
      <c r="L1640" s="2">
        <v>6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/>
      <c r="AM1640" s="2" t="s">
        <v>103</v>
      </c>
      <c r="AN1640" s="2">
        <f t="shared" si="254"/>
        <v>6</v>
      </c>
      <c r="AO1640" s="2">
        <f t="shared" si="255"/>
        <v>0</v>
      </c>
      <c r="AP1640" s="2">
        <f t="shared" si="256"/>
        <v>0</v>
      </c>
      <c r="AQ1640" s="2">
        <f t="shared" si="257"/>
        <v>0</v>
      </c>
      <c r="AR1640" s="2">
        <f t="shared" si="258"/>
        <v>0</v>
      </c>
      <c r="AS1640" s="2">
        <f t="shared" si="259"/>
        <v>0</v>
      </c>
      <c r="AT1640" s="25">
        <f t="shared" si="260"/>
        <v>0</v>
      </c>
    </row>
    <row r="1641" spans="1:46">
      <c r="A1641" s="24">
        <v>46137</v>
      </c>
      <c r="B1641" s="23">
        <f t="shared" si="252"/>
        <v>46113</v>
      </c>
      <c r="C1641" s="2" t="s">
        <v>72</v>
      </c>
      <c r="D1641" s="2" t="s">
        <v>345</v>
      </c>
      <c r="E1641" s="2">
        <v>2724</v>
      </c>
      <c r="F1641" s="2">
        <v>50</v>
      </c>
      <c r="G1641" s="2">
        <v>50</v>
      </c>
      <c r="H1641" s="2">
        <v>49</v>
      </c>
      <c r="I1641" s="2">
        <f t="shared" si="253"/>
        <v>1</v>
      </c>
      <c r="J1641" s="44" t="s">
        <v>103</v>
      </c>
      <c r="K1641" s="2">
        <v>100</v>
      </c>
      <c r="L1641" s="2">
        <v>1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/>
      <c r="AM1641" s="2" t="s">
        <v>103</v>
      </c>
      <c r="AN1641" s="2">
        <f t="shared" si="254"/>
        <v>1</v>
      </c>
      <c r="AO1641" s="2">
        <f t="shared" si="255"/>
        <v>0</v>
      </c>
      <c r="AP1641" s="2">
        <f t="shared" si="256"/>
        <v>0</v>
      </c>
      <c r="AQ1641" s="2">
        <f t="shared" si="257"/>
        <v>0</v>
      </c>
      <c r="AR1641" s="2">
        <f t="shared" si="258"/>
        <v>0</v>
      </c>
      <c r="AS1641" s="2">
        <f t="shared" si="259"/>
        <v>0</v>
      </c>
      <c r="AT1641" s="25">
        <f t="shared" si="260"/>
        <v>0</v>
      </c>
    </row>
    <row r="1642" spans="1:46">
      <c r="A1642" s="24">
        <v>46137</v>
      </c>
      <c r="B1642" s="23">
        <f t="shared" si="252"/>
        <v>46113</v>
      </c>
      <c r="C1642" s="2" t="s">
        <v>72</v>
      </c>
      <c r="D1642" s="2" t="s">
        <v>385</v>
      </c>
      <c r="E1642" s="2">
        <v>3273</v>
      </c>
      <c r="F1642" s="2">
        <v>85</v>
      </c>
      <c r="G1642" s="2">
        <v>85</v>
      </c>
      <c r="H1642" s="2">
        <v>79</v>
      </c>
      <c r="I1642" s="2">
        <f t="shared" si="253"/>
        <v>6</v>
      </c>
      <c r="J1642" s="44" t="s">
        <v>103</v>
      </c>
      <c r="K1642" s="2">
        <v>100</v>
      </c>
      <c r="L1642" s="2">
        <v>1</v>
      </c>
      <c r="M1642" s="2">
        <v>0</v>
      </c>
      <c r="N1642" s="2">
        <v>0</v>
      </c>
      <c r="O1642" s="2">
        <v>0</v>
      </c>
      <c r="P1642" s="2">
        <v>5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/>
      <c r="AM1642" s="2" t="s">
        <v>103</v>
      </c>
      <c r="AN1642" s="2">
        <f t="shared" si="254"/>
        <v>1</v>
      </c>
      <c r="AO1642" s="2">
        <f t="shared" si="255"/>
        <v>5</v>
      </c>
      <c r="AP1642" s="2">
        <f t="shared" si="256"/>
        <v>0</v>
      </c>
      <c r="AQ1642" s="2">
        <f t="shared" si="257"/>
        <v>0</v>
      </c>
      <c r="AR1642" s="2">
        <f t="shared" si="258"/>
        <v>0</v>
      </c>
      <c r="AS1642" s="2">
        <f t="shared" si="259"/>
        <v>0</v>
      </c>
      <c r="AT1642" s="25">
        <f t="shared" si="260"/>
        <v>0</v>
      </c>
    </row>
    <row r="1643" spans="1:46">
      <c r="A1643" s="24">
        <v>46137</v>
      </c>
      <c r="B1643" s="23">
        <f t="shared" si="252"/>
        <v>46113</v>
      </c>
      <c r="C1643" s="2" t="s">
        <v>72</v>
      </c>
      <c r="D1643" s="2" t="s">
        <v>358</v>
      </c>
      <c r="E1643" s="2">
        <v>3273</v>
      </c>
      <c r="F1643" s="2">
        <v>606</v>
      </c>
      <c r="G1643" s="2">
        <v>606</v>
      </c>
      <c r="H1643" s="2">
        <v>600</v>
      </c>
      <c r="I1643" s="2">
        <f t="shared" si="253"/>
        <v>6</v>
      </c>
      <c r="J1643" s="44" t="s">
        <v>103</v>
      </c>
      <c r="K1643" s="2">
        <v>100</v>
      </c>
      <c r="L1643" s="2">
        <v>6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/>
      <c r="AM1643" s="2" t="s">
        <v>103</v>
      </c>
      <c r="AN1643" s="2">
        <f t="shared" si="254"/>
        <v>6</v>
      </c>
      <c r="AO1643" s="2">
        <f t="shared" si="255"/>
        <v>0</v>
      </c>
      <c r="AP1643" s="2">
        <f t="shared" si="256"/>
        <v>0</v>
      </c>
      <c r="AQ1643" s="2">
        <f t="shared" si="257"/>
        <v>0</v>
      </c>
      <c r="AR1643" s="2">
        <f t="shared" si="258"/>
        <v>0</v>
      </c>
      <c r="AS1643" s="2">
        <f t="shared" si="259"/>
        <v>0</v>
      </c>
      <c r="AT1643" s="25">
        <f t="shared" si="260"/>
        <v>0</v>
      </c>
    </row>
    <row r="1644" spans="1:46">
      <c r="A1644" s="24">
        <v>46137</v>
      </c>
      <c r="B1644" s="23">
        <f t="shared" si="252"/>
        <v>46113</v>
      </c>
      <c r="C1644" s="2" t="s">
        <v>62</v>
      </c>
      <c r="D1644" s="2" t="s">
        <v>332</v>
      </c>
      <c r="E1644" s="2">
        <v>2594</v>
      </c>
      <c r="F1644" s="2">
        <v>32</v>
      </c>
      <c r="G1644" s="2">
        <v>32</v>
      </c>
      <c r="H1644" s="2">
        <v>32</v>
      </c>
      <c r="I1644" s="2">
        <f t="shared" si="253"/>
        <v>0</v>
      </c>
      <c r="J1644" s="44" t="s">
        <v>1568</v>
      </c>
      <c r="K1644" s="2">
        <v>100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/>
      <c r="AM1644" s="2" t="s">
        <v>1568</v>
      </c>
      <c r="AN1644" s="2">
        <f t="shared" si="254"/>
        <v>0</v>
      </c>
      <c r="AO1644" s="2">
        <f t="shared" si="255"/>
        <v>0</v>
      </c>
      <c r="AP1644" s="2">
        <f t="shared" si="256"/>
        <v>0</v>
      </c>
      <c r="AQ1644" s="2">
        <f t="shared" si="257"/>
        <v>0</v>
      </c>
      <c r="AR1644" s="2">
        <f t="shared" si="258"/>
        <v>0</v>
      </c>
      <c r="AS1644" s="2">
        <f t="shared" si="259"/>
        <v>0</v>
      </c>
      <c r="AT1644" s="25">
        <f t="shared" si="260"/>
        <v>0</v>
      </c>
    </row>
    <row r="1645" spans="1:46">
      <c r="A1645" s="24">
        <v>46137</v>
      </c>
      <c r="B1645" s="23">
        <f t="shared" si="252"/>
        <v>46113</v>
      </c>
      <c r="C1645" s="2" t="s">
        <v>62</v>
      </c>
      <c r="D1645" s="2" t="s">
        <v>351</v>
      </c>
      <c r="E1645" s="2">
        <v>3247</v>
      </c>
      <c r="F1645" s="2">
        <v>63</v>
      </c>
      <c r="G1645" s="2">
        <v>63</v>
      </c>
      <c r="H1645" s="2">
        <v>63</v>
      </c>
      <c r="I1645" s="2">
        <f t="shared" si="253"/>
        <v>0</v>
      </c>
      <c r="J1645" s="44" t="s">
        <v>1568</v>
      </c>
      <c r="K1645" s="2">
        <v>100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/>
      <c r="AM1645" s="2" t="s">
        <v>1568</v>
      </c>
      <c r="AN1645" s="2">
        <f t="shared" si="254"/>
        <v>0</v>
      </c>
      <c r="AO1645" s="2">
        <f t="shared" si="255"/>
        <v>0</v>
      </c>
      <c r="AP1645" s="2">
        <f t="shared" si="256"/>
        <v>0</v>
      </c>
      <c r="AQ1645" s="2">
        <f t="shared" si="257"/>
        <v>0</v>
      </c>
      <c r="AR1645" s="2">
        <f t="shared" si="258"/>
        <v>0</v>
      </c>
      <c r="AS1645" s="2">
        <f t="shared" si="259"/>
        <v>0</v>
      </c>
      <c r="AT1645" s="25">
        <f t="shared" si="260"/>
        <v>0</v>
      </c>
    </row>
    <row r="1646" spans="1:46">
      <c r="A1646" s="24">
        <v>46137</v>
      </c>
      <c r="B1646" s="23">
        <f t="shared" si="252"/>
        <v>46113</v>
      </c>
      <c r="C1646" s="2" t="s">
        <v>82</v>
      </c>
      <c r="D1646" s="2" t="s">
        <v>118</v>
      </c>
      <c r="E1646" s="2">
        <v>1650</v>
      </c>
      <c r="F1646" s="2">
        <v>20</v>
      </c>
      <c r="G1646" s="2">
        <v>20</v>
      </c>
      <c r="H1646" s="2">
        <v>20</v>
      </c>
      <c r="I1646" s="2">
        <f t="shared" si="253"/>
        <v>0</v>
      </c>
      <c r="J1646" s="44" t="s">
        <v>93</v>
      </c>
      <c r="K1646" s="2">
        <v>100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/>
      <c r="AM1646" s="2" t="s">
        <v>93</v>
      </c>
      <c r="AN1646" s="2">
        <f t="shared" si="254"/>
        <v>0</v>
      </c>
      <c r="AO1646" s="2">
        <f t="shared" si="255"/>
        <v>0</v>
      </c>
      <c r="AP1646" s="2">
        <f t="shared" si="256"/>
        <v>0</v>
      </c>
      <c r="AQ1646" s="2">
        <f t="shared" si="257"/>
        <v>0</v>
      </c>
      <c r="AR1646" s="2">
        <f t="shared" si="258"/>
        <v>0</v>
      </c>
      <c r="AS1646" s="2">
        <f t="shared" si="259"/>
        <v>0</v>
      </c>
      <c r="AT1646" s="25">
        <f t="shared" si="260"/>
        <v>0</v>
      </c>
    </row>
    <row r="1647" spans="1:46">
      <c r="A1647" s="24">
        <v>46137</v>
      </c>
      <c r="B1647" s="23">
        <f t="shared" si="252"/>
        <v>46113</v>
      </c>
      <c r="C1647" s="2" t="s">
        <v>55</v>
      </c>
      <c r="D1647" s="2" t="s">
        <v>57</v>
      </c>
      <c r="E1647" s="2">
        <v>2760</v>
      </c>
      <c r="F1647" s="2">
        <v>30</v>
      </c>
      <c r="G1647" s="2">
        <v>30</v>
      </c>
      <c r="H1647" s="2">
        <v>26</v>
      </c>
      <c r="I1647" s="2">
        <f t="shared" si="253"/>
        <v>4</v>
      </c>
      <c r="J1647" s="44" t="s">
        <v>1566</v>
      </c>
      <c r="K1647" s="2">
        <v>100</v>
      </c>
      <c r="L1647" s="2">
        <v>4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/>
      <c r="AM1647" s="2" t="s">
        <v>1566</v>
      </c>
      <c r="AN1647" s="2">
        <f t="shared" si="254"/>
        <v>4</v>
      </c>
      <c r="AO1647" s="2">
        <f t="shared" si="255"/>
        <v>0</v>
      </c>
      <c r="AP1647" s="2">
        <f t="shared" si="256"/>
        <v>0</v>
      </c>
      <c r="AQ1647" s="2">
        <f t="shared" si="257"/>
        <v>0</v>
      </c>
      <c r="AR1647" s="2">
        <f t="shared" si="258"/>
        <v>0</v>
      </c>
      <c r="AS1647" s="2">
        <f t="shared" si="259"/>
        <v>0</v>
      </c>
      <c r="AT1647" s="25">
        <f t="shared" si="260"/>
        <v>0</v>
      </c>
    </row>
    <row r="1648" spans="1:46">
      <c r="A1648" s="24">
        <v>46137</v>
      </c>
      <c r="B1648" s="23">
        <f t="shared" si="252"/>
        <v>46113</v>
      </c>
      <c r="C1648" s="2" t="s">
        <v>97</v>
      </c>
      <c r="D1648" s="2" t="s">
        <v>1309</v>
      </c>
      <c r="E1648" s="2">
        <v>3327</v>
      </c>
      <c r="F1648" s="2">
        <v>33</v>
      </c>
      <c r="G1648" s="2">
        <v>33</v>
      </c>
      <c r="H1648" s="2">
        <v>31</v>
      </c>
      <c r="I1648" s="2">
        <f t="shared" si="253"/>
        <v>2</v>
      </c>
      <c r="J1648" s="44" t="s">
        <v>110</v>
      </c>
      <c r="K1648" s="2">
        <v>100</v>
      </c>
      <c r="L1648" s="2">
        <v>1</v>
      </c>
      <c r="M1648" s="2">
        <v>0</v>
      </c>
      <c r="N1648" s="2">
        <v>0</v>
      </c>
      <c r="O1648" s="2">
        <v>0</v>
      </c>
      <c r="P1648" s="2">
        <v>0</v>
      </c>
      <c r="Q1648" s="2">
        <v>1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/>
      <c r="AM1648" s="2" t="s">
        <v>110</v>
      </c>
      <c r="AN1648" s="2">
        <f t="shared" si="254"/>
        <v>1</v>
      </c>
      <c r="AO1648" s="2">
        <f t="shared" si="255"/>
        <v>1</v>
      </c>
      <c r="AP1648" s="2">
        <f t="shared" si="256"/>
        <v>0</v>
      </c>
      <c r="AQ1648" s="2">
        <f t="shared" si="257"/>
        <v>0</v>
      </c>
      <c r="AR1648" s="2">
        <f t="shared" si="258"/>
        <v>0</v>
      </c>
      <c r="AS1648" s="2">
        <f t="shared" si="259"/>
        <v>0</v>
      </c>
      <c r="AT1648" s="25">
        <f t="shared" si="260"/>
        <v>0</v>
      </c>
    </row>
    <row r="1649" spans="1:46">
      <c r="A1649" s="24">
        <v>46137</v>
      </c>
      <c r="B1649" s="23">
        <f t="shared" si="252"/>
        <v>46113</v>
      </c>
      <c r="C1649" s="2" t="s">
        <v>97</v>
      </c>
      <c r="D1649" s="2" t="s">
        <v>340</v>
      </c>
      <c r="E1649" s="2">
        <v>3292</v>
      </c>
      <c r="F1649" s="2">
        <v>67</v>
      </c>
      <c r="G1649" s="2">
        <v>67</v>
      </c>
      <c r="H1649" s="2">
        <v>63</v>
      </c>
      <c r="I1649" s="2">
        <f t="shared" si="253"/>
        <v>4</v>
      </c>
      <c r="J1649" s="44" t="s">
        <v>110</v>
      </c>
      <c r="K1649" s="2">
        <v>100</v>
      </c>
      <c r="L1649" s="2">
        <v>1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1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2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/>
      <c r="AM1649" s="2" t="s">
        <v>110</v>
      </c>
      <c r="AN1649" s="2">
        <f t="shared" si="254"/>
        <v>1</v>
      </c>
      <c r="AO1649" s="2">
        <f t="shared" si="255"/>
        <v>1</v>
      </c>
      <c r="AP1649" s="2">
        <f t="shared" si="256"/>
        <v>0</v>
      </c>
      <c r="AQ1649" s="2">
        <f t="shared" si="257"/>
        <v>0</v>
      </c>
      <c r="AR1649" s="2">
        <f t="shared" si="258"/>
        <v>2</v>
      </c>
      <c r="AS1649" s="2">
        <f t="shared" si="259"/>
        <v>0</v>
      </c>
      <c r="AT1649" s="25">
        <f t="shared" si="260"/>
        <v>0</v>
      </c>
    </row>
    <row r="1650" spans="1:46">
      <c r="A1650" s="24">
        <v>46137</v>
      </c>
      <c r="B1650" s="23">
        <f t="shared" si="252"/>
        <v>46113</v>
      </c>
      <c r="C1650" s="2" t="s">
        <v>97</v>
      </c>
      <c r="D1650" s="2" t="s">
        <v>165</v>
      </c>
      <c r="E1650" s="2">
        <v>3216</v>
      </c>
      <c r="F1650" s="2">
        <v>29</v>
      </c>
      <c r="G1650" s="2">
        <v>29</v>
      </c>
      <c r="H1650" s="2">
        <v>29</v>
      </c>
      <c r="I1650" s="2">
        <f t="shared" si="253"/>
        <v>0</v>
      </c>
      <c r="J1650" s="44" t="s">
        <v>110</v>
      </c>
      <c r="K1650" s="2">
        <v>100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/>
      <c r="AM1650" s="2" t="s">
        <v>110</v>
      </c>
      <c r="AN1650" s="2">
        <f t="shared" si="254"/>
        <v>0</v>
      </c>
      <c r="AO1650" s="2">
        <f t="shared" si="255"/>
        <v>0</v>
      </c>
      <c r="AP1650" s="2">
        <f t="shared" si="256"/>
        <v>0</v>
      </c>
      <c r="AQ1650" s="2">
        <f t="shared" si="257"/>
        <v>0</v>
      </c>
      <c r="AR1650" s="2">
        <f t="shared" si="258"/>
        <v>0</v>
      </c>
      <c r="AS1650" s="2">
        <f t="shared" si="259"/>
        <v>0</v>
      </c>
      <c r="AT1650" s="25">
        <f t="shared" si="260"/>
        <v>0</v>
      </c>
    </row>
    <row r="1651" spans="1:46">
      <c r="A1651" s="24">
        <v>46137</v>
      </c>
      <c r="B1651" s="23">
        <f t="shared" si="252"/>
        <v>46113</v>
      </c>
      <c r="C1651" s="2" t="s">
        <v>97</v>
      </c>
      <c r="D1651" s="2" t="s">
        <v>285</v>
      </c>
      <c r="E1651" s="2">
        <v>3304</v>
      </c>
      <c r="F1651" s="2">
        <v>31</v>
      </c>
      <c r="G1651" s="2">
        <v>31</v>
      </c>
      <c r="H1651" s="2">
        <v>31</v>
      </c>
      <c r="I1651" s="2">
        <f t="shared" si="253"/>
        <v>0</v>
      </c>
      <c r="J1651" s="44" t="s">
        <v>110</v>
      </c>
      <c r="K1651" s="2">
        <v>100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/>
      <c r="AM1651" s="2" t="s">
        <v>110</v>
      </c>
      <c r="AN1651" s="2">
        <f t="shared" si="254"/>
        <v>0</v>
      </c>
      <c r="AO1651" s="2">
        <f t="shared" si="255"/>
        <v>0</v>
      </c>
      <c r="AP1651" s="2">
        <f t="shared" si="256"/>
        <v>0</v>
      </c>
      <c r="AQ1651" s="2">
        <f t="shared" si="257"/>
        <v>0</v>
      </c>
      <c r="AR1651" s="2">
        <f t="shared" si="258"/>
        <v>0</v>
      </c>
      <c r="AS1651" s="2">
        <f t="shared" si="259"/>
        <v>0</v>
      </c>
      <c r="AT1651" s="25">
        <f t="shared" si="260"/>
        <v>0</v>
      </c>
    </row>
    <row r="1652" spans="1:46">
      <c r="A1652" s="24">
        <v>46137</v>
      </c>
      <c r="B1652" s="23">
        <f t="shared" si="252"/>
        <v>46113</v>
      </c>
      <c r="C1652" s="2" t="s">
        <v>97</v>
      </c>
      <c r="D1652" s="2" t="s">
        <v>1585</v>
      </c>
      <c r="E1652" s="2">
        <v>1899</v>
      </c>
      <c r="F1652" s="2">
        <v>315</v>
      </c>
      <c r="G1652" s="2">
        <v>315</v>
      </c>
      <c r="H1652" s="2">
        <v>309</v>
      </c>
      <c r="I1652" s="2">
        <f t="shared" si="253"/>
        <v>6</v>
      </c>
      <c r="J1652" s="44" t="s">
        <v>110</v>
      </c>
      <c r="K1652" s="2">
        <v>100</v>
      </c>
      <c r="L1652" s="2">
        <v>2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4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/>
      <c r="AM1652" s="2" t="s">
        <v>110</v>
      </c>
      <c r="AN1652" s="2">
        <f t="shared" si="254"/>
        <v>2</v>
      </c>
      <c r="AO1652" s="2">
        <f t="shared" si="255"/>
        <v>0</v>
      </c>
      <c r="AP1652" s="2">
        <f t="shared" si="256"/>
        <v>0</v>
      </c>
      <c r="AQ1652" s="2">
        <f t="shared" si="257"/>
        <v>0</v>
      </c>
      <c r="AR1652" s="2">
        <f t="shared" si="258"/>
        <v>4</v>
      </c>
      <c r="AS1652" s="2">
        <f t="shared" si="259"/>
        <v>0</v>
      </c>
      <c r="AT1652" s="25">
        <f t="shared" si="260"/>
        <v>0</v>
      </c>
    </row>
    <row r="1653" spans="1:46">
      <c r="A1653" s="24">
        <v>46139</v>
      </c>
      <c r="B1653" s="23">
        <f t="shared" si="252"/>
        <v>46113</v>
      </c>
      <c r="C1653" s="2" t="s">
        <v>160</v>
      </c>
      <c r="D1653" s="2" t="s">
        <v>378</v>
      </c>
      <c r="E1653" s="2">
        <v>1474</v>
      </c>
      <c r="F1653" s="2">
        <v>287</v>
      </c>
      <c r="G1653" s="2">
        <v>287</v>
      </c>
      <c r="H1653" s="2">
        <v>250</v>
      </c>
      <c r="I1653" s="2">
        <f t="shared" si="253"/>
        <v>37</v>
      </c>
      <c r="J1653" s="44" t="s">
        <v>80</v>
      </c>
      <c r="K1653" s="2">
        <v>100</v>
      </c>
      <c r="L1653" s="2">
        <v>15</v>
      </c>
      <c r="M1653" s="2">
        <v>0</v>
      </c>
      <c r="N1653" s="2">
        <v>4</v>
      </c>
      <c r="O1653" s="2">
        <v>0</v>
      </c>
      <c r="P1653" s="2">
        <v>5</v>
      </c>
      <c r="Q1653" s="2">
        <v>0</v>
      </c>
      <c r="R1653" s="2">
        <v>2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11</v>
      </c>
      <c r="AH1653" s="2">
        <v>0</v>
      </c>
      <c r="AI1653" s="2">
        <v>0</v>
      </c>
      <c r="AJ1653" s="2">
        <v>0</v>
      </c>
      <c r="AK1653" s="2">
        <v>0</v>
      </c>
      <c r="AL1653" s="2"/>
      <c r="AM1653" s="2" t="s">
        <v>80</v>
      </c>
      <c r="AN1653" s="2">
        <f t="shared" si="254"/>
        <v>15</v>
      </c>
      <c r="AO1653" s="2">
        <f t="shared" si="255"/>
        <v>11</v>
      </c>
      <c r="AP1653" s="2">
        <f t="shared" si="256"/>
        <v>0</v>
      </c>
      <c r="AQ1653" s="2">
        <f t="shared" si="257"/>
        <v>0</v>
      </c>
      <c r="AR1653" s="2">
        <f t="shared" si="258"/>
        <v>0</v>
      </c>
      <c r="AS1653" s="2">
        <f t="shared" si="259"/>
        <v>11</v>
      </c>
      <c r="AT1653" s="25">
        <f t="shared" si="260"/>
        <v>0</v>
      </c>
    </row>
    <row r="1654" spans="1:46">
      <c r="A1654" s="24">
        <v>46139</v>
      </c>
      <c r="B1654" s="23">
        <f t="shared" si="252"/>
        <v>46113</v>
      </c>
      <c r="C1654" s="2" t="s">
        <v>82</v>
      </c>
      <c r="D1654" s="2" t="s">
        <v>238</v>
      </c>
      <c r="E1654" s="2">
        <v>3184</v>
      </c>
      <c r="F1654" s="2">
        <v>48</v>
      </c>
      <c r="G1654" s="2">
        <v>48</v>
      </c>
      <c r="H1654" s="2">
        <v>45</v>
      </c>
      <c r="I1654" s="2">
        <f t="shared" si="253"/>
        <v>3</v>
      </c>
      <c r="J1654" s="44" t="s">
        <v>77</v>
      </c>
      <c r="K1654" s="2">
        <v>100</v>
      </c>
      <c r="L1654" s="2">
        <v>3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/>
      <c r="AM1654" s="2" t="s">
        <v>77</v>
      </c>
      <c r="AN1654" s="2">
        <f t="shared" si="254"/>
        <v>3</v>
      </c>
      <c r="AO1654" s="2">
        <f t="shared" si="255"/>
        <v>0</v>
      </c>
      <c r="AP1654" s="2">
        <f t="shared" si="256"/>
        <v>0</v>
      </c>
      <c r="AQ1654" s="2">
        <f t="shared" si="257"/>
        <v>0</v>
      </c>
      <c r="AR1654" s="2">
        <f t="shared" si="258"/>
        <v>0</v>
      </c>
      <c r="AS1654" s="2">
        <f t="shared" si="259"/>
        <v>0</v>
      </c>
      <c r="AT1654" s="25">
        <f t="shared" si="260"/>
        <v>0</v>
      </c>
    </row>
    <row r="1655" spans="1:46">
      <c r="A1655" s="24">
        <v>46139</v>
      </c>
      <c r="B1655" s="23">
        <f t="shared" si="252"/>
        <v>46113</v>
      </c>
      <c r="C1655" s="2" t="s">
        <v>72</v>
      </c>
      <c r="D1655" s="2" t="s">
        <v>344</v>
      </c>
      <c r="E1655" s="2">
        <v>3273</v>
      </c>
      <c r="F1655" s="2">
        <v>58</v>
      </c>
      <c r="G1655" s="2">
        <v>58</v>
      </c>
      <c r="H1655" s="2">
        <v>39</v>
      </c>
      <c r="I1655" s="2">
        <f t="shared" si="253"/>
        <v>19</v>
      </c>
      <c r="J1655" s="44" t="s">
        <v>103</v>
      </c>
      <c r="K1655" s="2">
        <v>100</v>
      </c>
      <c r="L1655" s="2">
        <v>4</v>
      </c>
      <c r="M1655" s="2">
        <v>14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1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/>
      <c r="AM1655" s="2" t="s">
        <v>103</v>
      </c>
      <c r="AN1655" s="2">
        <f t="shared" si="254"/>
        <v>4</v>
      </c>
      <c r="AO1655" s="2">
        <f t="shared" si="255"/>
        <v>15</v>
      </c>
      <c r="AP1655" s="2">
        <f t="shared" si="256"/>
        <v>0</v>
      </c>
      <c r="AQ1655" s="2">
        <f t="shared" si="257"/>
        <v>0</v>
      </c>
      <c r="AR1655" s="2">
        <f t="shared" si="258"/>
        <v>0</v>
      </c>
      <c r="AS1655" s="2">
        <f t="shared" si="259"/>
        <v>0</v>
      </c>
      <c r="AT1655" s="25">
        <f t="shared" si="260"/>
        <v>0</v>
      </c>
    </row>
    <row r="1656" spans="1:46">
      <c r="A1656" s="24">
        <v>46139</v>
      </c>
      <c r="B1656" s="23">
        <f t="shared" si="252"/>
        <v>46113</v>
      </c>
      <c r="C1656" s="2" t="s">
        <v>72</v>
      </c>
      <c r="D1656" s="2" t="s">
        <v>358</v>
      </c>
      <c r="E1656" s="2">
        <v>3273</v>
      </c>
      <c r="F1656" s="2">
        <v>293</v>
      </c>
      <c r="G1656" s="2">
        <v>293</v>
      </c>
      <c r="H1656" s="2">
        <v>287</v>
      </c>
      <c r="I1656" s="2">
        <f t="shared" si="253"/>
        <v>6</v>
      </c>
      <c r="J1656" s="44" t="s">
        <v>103</v>
      </c>
      <c r="K1656" s="2">
        <v>100</v>
      </c>
      <c r="L1656" s="2">
        <v>6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/>
      <c r="AM1656" s="2" t="s">
        <v>103</v>
      </c>
      <c r="AN1656" s="2">
        <f t="shared" si="254"/>
        <v>6</v>
      </c>
      <c r="AO1656" s="2">
        <f t="shared" si="255"/>
        <v>0</v>
      </c>
      <c r="AP1656" s="2">
        <f t="shared" si="256"/>
        <v>0</v>
      </c>
      <c r="AQ1656" s="2">
        <f t="shared" si="257"/>
        <v>0</v>
      </c>
      <c r="AR1656" s="2">
        <f t="shared" si="258"/>
        <v>0</v>
      </c>
      <c r="AS1656" s="2">
        <f t="shared" si="259"/>
        <v>0</v>
      </c>
      <c r="AT1656" s="25">
        <f t="shared" si="260"/>
        <v>0</v>
      </c>
    </row>
    <row r="1657" spans="1:46">
      <c r="A1657" s="24">
        <v>46139</v>
      </c>
      <c r="B1657" s="23">
        <f t="shared" si="252"/>
        <v>46113</v>
      </c>
      <c r="C1657" s="2" t="s">
        <v>72</v>
      </c>
      <c r="D1657" s="2" t="s">
        <v>358</v>
      </c>
      <c r="E1657" s="2">
        <v>3273</v>
      </c>
      <c r="F1657" s="2">
        <v>168</v>
      </c>
      <c r="G1657" s="2">
        <v>168</v>
      </c>
      <c r="H1657" s="2">
        <v>167</v>
      </c>
      <c r="I1657" s="2">
        <f t="shared" si="253"/>
        <v>1</v>
      </c>
      <c r="J1657" s="44" t="s">
        <v>103</v>
      </c>
      <c r="K1657" s="2">
        <v>100</v>
      </c>
      <c r="L1657" s="2">
        <v>1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/>
      <c r="AM1657" s="2" t="s">
        <v>103</v>
      </c>
      <c r="AN1657" s="2">
        <f t="shared" si="254"/>
        <v>1</v>
      </c>
      <c r="AO1657" s="2">
        <f t="shared" si="255"/>
        <v>0</v>
      </c>
      <c r="AP1657" s="2">
        <f t="shared" si="256"/>
        <v>0</v>
      </c>
      <c r="AQ1657" s="2">
        <f t="shared" si="257"/>
        <v>0</v>
      </c>
      <c r="AR1657" s="2">
        <f t="shared" si="258"/>
        <v>0</v>
      </c>
      <c r="AS1657" s="2">
        <f t="shared" si="259"/>
        <v>0</v>
      </c>
      <c r="AT1657" s="25">
        <f t="shared" si="260"/>
        <v>0</v>
      </c>
    </row>
    <row r="1658" spans="1:46">
      <c r="A1658" s="24">
        <v>46139</v>
      </c>
      <c r="B1658" s="23">
        <f t="shared" si="252"/>
        <v>46113</v>
      </c>
      <c r="C1658" s="2" t="s">
        <v>72</v>
      </c>
      <c r="D1658" s="2" t="s">
        <v>1447</v>
      </c>
      <c r="E1658" s="2">
        <v>3273</v>
      </c>
      <c r="F1658" s="2">
        <v>206</v>
      </c>
      <c r="G1658" s="2">
        <v>206</v>
      </c>
      <c r="H1658" s="2">
        <v>195</v>
      </c>
      <c r="I1658" s="2">
        <f t="shared" si="253"/>
        <v>11</v>
      </c>
      <c r="J1658" s="44" t="s">
        <v>103</v>
      </c>
      <c r="K1658" s="2">
        <v>100</v>
      </c>
      <c r="L1658" s="2">
        <v>11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/>
      <c r="AM1658" s="2" t="s">
        <v>103</v>
      </c>
      <c r="AN1658" s="2">
        <f t="shared" si="254"/>
        <v>11</v>
      </c>
      <c r="AO1658" s="2">
        <f t="shared" si="255"/>
        <v>0</v>
      </c>
      <c r="AP1658" s="2">
        <f t="shared" si="256"/>
        <v>0</v>
      </c>
      <c r="AQ1658" s="2">
        <f t="shared" si="257"/>
        <v>0</v>
      </c>
      <c r="AR1658" s="2">
        <f t="shared" si="258"/>
        <v>0</v>
      </c>
      <c r="AS1658" s="2">
        <f t="shared" si="259"/>
        <v>0</v>
      </c>
      <c r="AT1658" s="25">
        <f t="shared" si="260"/>
        <v>0</v>
      </c>
    </row>
    <row r="1659" spans="1:46">
      <c r="A1659" s="24">
        <v>46139</v>
      </c>
      <c r="B1659" s="23">
        <f t="shared" si="252"/>
        <v>46113</v>
      </c>
      <c r="C1659" s="2" t="s">
        <v>72</v>
      </c>
      <c r="D1659" s="2" t="s">
        <v>408</v>
      </c>
      <c r="E1659" s="2">
        <v>9315</v>
      </c>
      <c r="F1659" s="2">
        <v>118</v>
      </c>
      <c r="G1659" s="2">
        <v>118</v>
      </c>
      <c r="H1659" s="2">
        <v>114</v>
      </c>
      <c r="I1659" s="2">
        <f t="shared" si="253"/>
        <v>4</v>
      </c>
      <c r="J1659" s="44" t="s">
        <v>103</v>
      </c>
      <c r="K1659" s="2">
        <v>100</v>
      </c>
      <c r="L1659" s="2">
        <v>4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/>
      <c r="AM1659" s="2" t="s">
        <v>103</v>
      </c>
      <c r="AN1659" s="2">
        <f t="shared" si="254"/>
        <v>4</v>
      </c>
      <c r="AO1659" s="2">
        <f t="shared" si="255"/>
        <v>0</v>
      </c>
      <c r="AP1659" s="2">
        <f t="shared" si="256"/>
        <v>0</v>
      </c>
      <c r="AQ1659" s="2">
        <f t="shared" si="257"/>
        <v>0</v>
      </c>
      <c r="AR1659" s="2">
        <f t="shared" si="258"/>
        <v>0</v>
      </c>
      <c r="AS1659" s="2">
        <f t="shared" si="259"/>
        <v>0</v>
      </c>
      <c r="AT1659" s="25">
        <f t="shared" si="260"/>
        <v>0</v>
      </c>
    </row>
    <row r="1660" spans="1:46">
      <c r="A1660" s="24">
        <v>46139</v>
      </c>
      <c r="B1660" s="23">
        <f t="shared" si="252"/>
        <v>46113</v>
      </c>
      <c r="C1660" s="2" t="s">
        <v>55</v>
      </c>
      <c r="D1660" s="2" t="s">
        <v>234</v>
      </c>
      <c r="E1660" s="2">
        <v>1775</v>
      </c>
      <c r="F1660" s="2">
        <v>31</v>
      </c>
      <c r="G1660" s="2">
        <v>31</v>
      </c>
      <c r="H1660" s="2">
        <v>29</v>
      </c>
      <c r="I1660" s="2">
        <f t="shared" si="253"/>
        <v>2</v>
      </c>
      <c r="J1660" s="44" t="s">
        <v>1566</v>
      </c>
      <c r="K1660" s="2">
        <v>100</v>
      </c>
      <c r="L1660" s="2">
        <v>2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/>
      <c r="AM1660" s="2" t="s">
        <v>1566</v>
      </c>
      <c r="AN1660" s="2">
        <f t="shared" si="254"/>
        <v>2</v>
      </c>
      <c r="AO1660" s="2">
        <f t="shared" si="255"/>
        <v>0</v>
      </c>
      <c r="AP1660" s="2">
        <f t="shared" si="256"/>
        <v>0</v>
      </c>
      <c r="AQ1660" s="2">
        <f t="shared" si="257"/>
        <v>0</v>
      </c>
      <c r="AR1660" s="2">
        <f t="shared" si="258"/>
        <v>0</v>
      </c>
      <c r="AS1660" s="2">
        <f t="shared" si="259"/>
        <v>0</v>
      </c>
      <c r="AT1660" s="25">
        <f t="shared" si="260"/>
        <v>0</v>
      </c>
    </row>
    <row r="1661" spans="1:46">
      <c r="A1661" s="24">
        <v>46139</v>
      </c>
      <c r="B1661" s="23">
        <f t="shared" si="252"/>
        <v>46113</v>
      </c>
      <c r="C1661" s="2" t="s">
        <v>55</v>
      </c>
      <c r="D1661" s="2" t="s">
        <v>1414</v>
      </c>
      <c r="E1661" s="2">
        <v>1578</v>
      </c>
      <c r="F1661" s="2">
        <v>38</v>
      </c>
      <c r="G1661" s="2">
        <v>38</v>
      </c>
      <c r="H1661" s="2">
        <v>38</v>
      </c>
      <c r="I1661" s="2">
        <f t="shared" si="253"/>
        <v>0</v>
      </c>
      <c r="J1661" s="44" t="s">
        <v>1566</v>
      </c>
      <c r="K1661" s="2">
        <v>100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/>
      <c r="AM1661" s="2" t="s">
        <v>1566</v>
      </c>
      <c r="AN1661" s="2">
        <f t="shared" si="254"/>
        <v>0</v>
      </c>
      <c r="AO1661" s="2">
        <f t="shared" si="255"/>
        <v>0</v>
      </c>
      <c r="AP1661" s="2">
        <f t="shared" si="256"/>
        <v>0</v>
      </c>
      <c r="AQ1661" s="2">
        <f t="shared" si="257"/>
        <v>0</v>
      </c>
      <c r="AR1661" s="2">
        <f t="shared" si="258"/>
        <v>0</v>
      </c>
      <c r="AS1661" s="2">
        <f t="shared" si="259"/>
        <v>0</v>
      </c>
      <c r="AT1661" s="25">
        <f t="shared" si="260"/>
        <v>0</v>
      </c>
    </row>
    <row r="1662" spans="1:46">
      <c r="A1662" s="24">
        <v>46139</v>
      </c>
      <c r="B1662" s="23">
        <f t="shared" si="252"/>
        <v>46113</v>
      </c>
      <c r="C1662" s="2" t="s">
        <v>55</v>
      </c>
      <c r="D1662" s="2" t="s">
        <v>332</v>
      </c>
      <c r="E1662" s="2">
        <v>2594</v>
      </c>
      <c r="F1662" s="2">
        <v>265</v>
      </c>
      <c r="G1662" s="2">
        <v>265</v>
      </c>
      <c r="H1662" s="2">
        <v>250</v>
      </c>
      <c r="I1662" s="2">
        <f t="shared" si="253"/>
        <v>15</v>
      </c>
      <c r="J1662" s="44" t="s">
        <v>1566</v>
      </c>
      <c r="K1662" s="2">
        <v>100</v>
      </c>
      <c r="L1662" s="2">
        <v>9</v>
      </c>
      <c r="M1662" s="2">
        <v>6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/>
      <c r="AM1662" s="2" t="s">
        <v>1566</v>
      </c>
      <c r="AN1662" s="2">
        <f t="shared" si="254"/>
        <v>9</v>
      </c>
      <c r="AO1662" s="2">
        <f t="shared" si="255"/>
        <v>6</v>
      </c>
      <c r="AP1662" s="2">
        <f t="shared" si="256"/>
        <v>0</v>
      </c>
      <c r="AQ1662" s="2">
        <f t="shared" si="257"/>
        <v>0</v>
      </c>
      <c r="AR1662" s="2">
        <f t="shared" si="258"/>
        <v>0</v>
      </c>
      <c r="AS1662" s="2">
        <f t="shared" si="259"/>
        <v>0</v>
      </c>
      <c r="AT1662" s="25">
        <f t="shared" si="260"/>
        <v>0</v>
      </c>
    </row>
    <row r="1663" spans="1:46">
      <c r="A1663" s="24">
        <v>46139</v>
      </c>
      <c r="B1663" s="23">
        <f t="shared" si="252"/>
        <v>46113</v>
      </c>
      <c r="C1663" s="2" t="s">
        <v>133</v>
      </c>
      <c r="D1663" s="2" t="s">
        <v>53</v>
      </c>
      <c r="E1663" s="2">
        <v>6234</v>
      </c>
      <c r="F1663" s="2">
        <v>20</v>
      </c>
      <c r="G1663" s="2">
        <v>20</v>
      </c>
      <c r="H1663" s="2">
        <v>20</v>
      </c>
      <c r="I1663" s="2">
        <f t="shared" si="253"/>
        <v>0</v>
      </c>
      <c r="J1663" s="44" t="s">
        <v>1566</v>
      </c>
      <c r="K1663" s="2">
        <v>100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/>
      <c r="AM1663" s="2" t="s">
        <v>1566</v>
      </c>
      <c r="AN1663" s="2">
        <f t="shared" si="254"/>
        <v>0</v>
      </c>
      <c r="AO1663" s="2">
        <f t="shared" si="255"/>
        <v>0</v>
      </c>
      <c r="AP1663" s="2">
        <f t="shared" si="256"/>
        <v>0</v>
      </c>
      <c r="AQ1663" s="2">
        <f t="shared" si="257"/>
        <v>0</v>
      </c>
      <c r="AR1663" s="2">
        <f t="shared" si="258"/>
        <v>0</v>
      </c>
      <c r="AS1663" s="2">
        <f t="shared" si="259"/>
        <v>0</v>
      </c>
      <c r="AT1663" s="25">
        <f t="shared" si="260"/>
        <v>0</v>
      </c>
    </row>
    <row r="1664" spans="1:46">
      <c r="A1664" s="24">
        <v>46139</v>
      </c>
      <c r="B1664" s="23">
        <f t="shared" si="252"/>
        <v>46113</v>
      </c>
      <c r="C1664" s="2" t="s">
        <v>46</v>
      </c>
      <c r="D1664" s="2" t="s">
        <v>391</v>
      </c>
      <c r="E1664" s="2">
        <v>3277</v>
      </c>
      <c r="F1664" s="2">
        <v>18</v>
      </c>
      <c r="G1664" s="2">
        <v>18</v>
      </c>
      <c r="H1664" s="2">
        <v>18</v>
      </c>
      <c r="I1664" s="2">
        <f t="shared" si="253"/>
        <v>0</v>
      </c>
      <c r="J1664" s="44" t="s">
        <v>1567</v>
      </c>
      <c r="K1664" s="2">
        <v>100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/>
      <c r="AM1664" s="2" t="s">
        <v>1567</v>
      </c>
      <c r="AN1664" s="2">
        <f t="shared" si="254"/>
        <v>0</v>
      </c>
      <c r="AO1664" s="2">
        <f t="shared" si="255"/>
        <v>0</v>
      </c>
      <c r="AP1664" s="2">
        <f t="shared" si="256"/>
        <v>0</v>
      </c>
      <c r="AQ1664" s="2">
        <f t="shared" si="257"/>
        <v>0</v>
      </c>
      <c r="AR1664" s="2">
        <f t="shared" si="258"/>
        <v>0</v>
      </c>
      <c r="AS1664" s="2">
        <f t="shared" si="259"/>
        <v>0</v>
      </c>
      <c r="AT1664" s="25">
        <f t="shared" si="260"/>
        <v>0</v>
      </c>
    </row>
    <row r="1665" spans="1:46">
      <c r="A1665" s="24">
        <v>46139</v>
      </c>
      <c r="B1665" s="23">
        <f t="shared" si="252"/>
        <v>46113</v>
      </c>
      <c r="C1665" s="2" t="s">
        <v>46</v>
      </c>
      <c r="D1665" s="2" t="s">
        <v>1542</v>
      </c>
      <c r="E1665" s="2">
        <v>6285</v>
      </c>
      <c r="F1665" s="2">
        <v>56</v>
      </c>
      <c r="G1665" s="2">
        <v>56</v>
      </c>
      <c r="H1665" s="2">
        <v>54</v>
      </c>
      <c r="I1665" s="2">
        <f t="shared" si="253"/>
        <v>2</v>
      </c>
      <c r="J1665" s="44" t="s">
        <v>1567</v>
      </c>
      <c r="K1665" s="2">
        <v>100</v>
      </c>
      <c r="L1665" s="2">
        <v>2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/>
      <c r="AM1665" s="2" t="s">
        <v>1567</v>
      </c>
      <c r="AN1665" s="2">
        <f t="shared" si="254"/>
        <v>2</v>
      </c>
      <c r="AO1665" s="2">
        <f t="shared" si="255"/>
        <v>0</v>
      </c>
      <c r="AP1665" s="2">
        <f t="shared" si="256"/>
        <v>0</v>
      </c>
      <c r="AQ1665" s="2">
        <f t="shared" si="257"/>
        <v>0</v>
      </c>
      <c r="AR1665" s="2">
        <f t="shared" si="258"/>
        <v>0</v>
      </c>
      <c r="AS1665" s="2">
        <f t="shared" si="259"/>
        <v>0</v>
      </c>
      <c r="AT1665" s="25">
        <f t="shared" si="260"/>
        <v>0</v>
      </c>
    </row>
    <row r="1666" spans="1:46">
      <c r="A1666" s="24">
        <v>46139</v>
      </c>
      <c r="B1666" s="23">
        <f t="shared" si="252"/>
        <v>46113</v>
      </c>
      <c r="C1666" s="2" t="s">
        <v>95</v>
      </c>
      <c r="D1666" s="2" t="s">
        <v>262</v>
      </c>
      <c r="E1666" s="2">
        <v>8080</v>
      </c>
      <c r="F1666" s="2">
        <v>36</v>
      </c>
      <c r="G1666" s="2">
        <v>36</v>
      </c>
      <c r="H1666" s="2">
        <v>33</v>
      </c>
      <c r="I1666" s="2">
        <f t="shared" si="253"/>
        <v>3</v>
      </c>
      <c r="J1666" s="44" t="s">
        <v>1567</v>
      </c>
      <c r="K1666" s="2">
        <v>100</v>
      </c>
      <c r="L1666" s="2">
        <v>3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/>
      <c r="AM1666" s="2" t="s">
        <v>1567</v>
      </c>
      <c r="AN1666" s="2">
        <f t="shared" si="254"/>
        <v>3</v>
      </c>
      <c r="AO1666" s="2">
        <f t="shared" si="255"/>
        <v>0</v>
      </c>
      <c r="AP1666" s="2">
        <f t="shared" si="256"/>
        <v>0</v>
      </c>
      <c r="AQ1666" s="2">
        <f t="shared" si="257"/>
        <v>0</v>
      </c>
      <c r="AR1666" s="2">
        <f t="shared" si="258"/>
        <v>0</v>
      </c>
      <c r="AS1666" s="2">
        <f t="shared" si="259"/>
        <v>0</v>
      </c>
      <c r="AT1666" s="25">
        <f t="shared" si="260"/>
        <v>0</v>
      </c>
    </row>
    <row r="1667" spans="1:46">
      <c r="A1667" s="24">
        <v>46139</v>
      </c>
      <c r="B1667" s="23">
        <f t="shared" si="252"/>
        <v>46113</v>
      </c>
      <c r="C1667" s="2" t="s">
        <v>95</v>
      </c>
      <c r="D1667" s="2" t="s">
        <v>319</v>
      </c>
      <c r="E1667" s="2">
        <v>8109</v>
      </c>
      <c r="F1667" s="2">
        <v>39</v>
      </c>
      <c r="G1667" s="2">
        <v>39</v>
      </c>
      <c r="H1667" s="2">
        <v>39</v>
      </c>
      <c r="I1667" s="2">
        <f t="shared" si="253"/>
        <v>0</v>
      </c>
      <c r="J1667" s="44" t="s">
        <v>1567</v>
      </c>
      <c r="K1667" s="2">
        <v>100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/>
      <c r="AM1667" s="2" t="s">
        <v>1567</v>
      </c>
      <c r="AN1667" s="2">
        <f t="shared" si="254"/>
        <v>0</v>
      </c>
      <c r="AO1667" s="2">
        <f t="shared" si="255"/>
        <v>0</v>
      </c>
      <c r="AP1667" s="2">
        <f t="shared" si="256"/>
        <v>0</v>
      </c>
      <c r="AQ1667" s="2">
        <f t="shared" si="257"/>
        <v>0</v>
      </c>
      <c r="AR1667" s="2">
        <f t="shared" si="258"/>
        <v>0</v>
      </c>
      <c r="AS1667" s="2">
        <f t="shared" si="259"/>
        <v>0</v>
      </c>
      <c r="AT1667" s="25">
        <f t="shared" si="260"/>
        <v>0</v>
      </c>
    </row>
    <row r="1668" spans="1:46">
      <c r="A1668" s="24">
        <v>46139</v>
      </c>
      <c r="B1668" s="23">
        <f t="shared" si="252"/>
        <v>46113</v>
      </c>
      <c r="C1668" s="2" t="s">
        <v>133</v>
      </c>
      <c r="D1668" s="2" t="s">
        <v>1397</v>
      </c>
      <c r="E1668" s="2">
        <v>95136</v>
      </c>
      <c r="F1668" s="2">
        <v>20</v>
      </c>
      <c r="G1668" s="2">
        <v>20</v>
      </c>
      <c r="H1668" s="2">
        <v>19</v>
      </c>
      <c r="I1668" s="2">
        <f t="shared" si="253"/>
        <v>1</v>
      </c>
      <c r="J1668" s="44" t="s">
        <v>1567</v>
      </c>
      <c r="K1668" s="2">
        <v>100</v>
      </c>
      <c r="L1668" s="2">
        <v>1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/>
      <c r="AM1668" s="2" t="s">
        <v>1567</v>
      </c>
      <c r="AN1668" s="2">
        <f t="shared" si="254"/>
        <v>1</v>
      </c>
      <c r="AO1668" s="2">
        <f t="shared" si="255"/>
        <v>0</v>
      </c>
      <c r="AP1668" s="2">
        <f t="shared" si="256"/>
        <v>0</v>
      </c>
      <c r="AQ1668" s="2">
        <f t="shared" si="257"/>
        <v>0</v>
      </c>
      <c r="AR1668" s="2">
        <f t="shared" si="258"/>
        <v>0</v>
      </c>
      <c r="AS1668" s="2">
        <f t="shared" si="259"/>
        <v>0</v>
      </c>
      <c r="AT1668" s="25">
        <f t="shared" si="260"/>
        <v>0</v>
      </c>
    </row>
    <row r="1669" spans="1:46">
      <c r="A1669" s="24">
        <v>46139</v>
      </c>
      <c r="B1669" s="23">
        <f t="shared" si="252"/>
        <v>46113</v>
      </c>
      <c r="C1669" s="2" t="s">
        <v>62</v>
      </c>
      <c r="D1669" s="2" t="s">
        <v>411</v>
      </c>
      <c r="E1669" s="2">
        <v>6284</v>
      </c>
      <c r="F1669" s="2">
        <v>43</v>
      </c>
      <c r="G1669" s="2">
        <v>43</v>
      </c>
      <c r="H1669" s="2">
        <v>41</v>
      </c>
      <c r="I1669" s="2">
        <f t="shared" si="253"/>
        <v>2</v>
      </c>
      <c r="J1669" s="44" t="s">
        <v>1568</v>
      </c>
      <c r="K1669" s="2">
        <v>100</v>
      </c>
      <c r="L1669" s="2">
        <v>1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1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/>
      <c r="AM1669" s="2" t="s">
        <v>1568</v>
      </c>
      <c r="AN1669" s="2">
        <f t="shared" si="254"/>
        <v>1</v>
      </c>
      <c r="AO1669" s="2">
        <f t="shared" si="255"/>
        <v>1</v>
      </c>
      <c r="AP1669" s="2">
        <f t="shared" si="256"/>
        <v>0</v>
      </c>
      <c r="AQ1669" s="2">
        <f t="shared" si="257"/>
        <v>0</v>
      </c>
      <c r="AR1669" s="2">
        <f t="shared" si="258"/>
        <v>0</v>
      </c>
      <c r="AS1669" s="2">
        <f t="shared" si="259"/>
        <v>0</v>
      </c>
      <c r="AT1669" s="25">
        <f t="shared" si="260"/>
        <v>0</v>
      </c>
    </row>
    <row r="1670" spans="1:46">
      <c r="A1670" s="24">
        <v>46139</v>
      </c>
      <c r="B1670" s="23">
        <f t="shared" si="252"/>
        <v>46113</v>
      </c>
      <c r="C1670" s="2" t="s">
        <v>62</v>
      </c>
      <c r="D1670" s="2" t="s">
        <v>130</v>
      </c>
      <c r="E1670" s="2">
        <v>2656</v>
      </c>
      <c r="F1670" s="2">
        <v>31</v>
      </c>
      <c r="G1670" s="2">
        <v>31</v>
      </c>
      <c r="H1670" s="2">
        <v>30</v>
      </c>
      <c r="I1670" s="2">
        <f t="shared" si="253"/>
        <v>1</v>
      </c>
      <c r="J1670" s="44" t="s">
        <v>1568</v>
      </c>
      <c r="K1670" s="2">
        <v>100</v>
      </c>
      <c r="L1670" s="2">
        <v>1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/>
      <c r="AM1670" s="2" t="s">
        <v>1568</v>
      </c>
      <c r="AN1670" s="2">
        <f t="shared" si="254"/>
        <v>1</v>
      </c>
      <c r="AO1670" s="2">
        <f t="shared" si="255"/>
        <v>0</v>
      </c>
      <c r="AP1670" s="2">
        <f t="shared" si="256"/>
        <v>0</v>
      </c>
      <c r="AQ1670" s="2">
        <f t="shared" si="257"/>
        <v>0</v>
      </c>
      <c r="AR1670" s="2">
        <f t="shared" si="258"/>
        <v>0</v>
      </c>
      <c r="AS1670" s="2">
        <f t="shared" si="259"/>
        <v>0</v>
      </c>
      <c r="AT1670" s="25">
        <f t="shared" si="260"/>
        <v>0</v>
      </c>
    </row>
    <row r="1671" spans="1:46">
      <c r="A1671" s="24">
        <v>46139</v>
      </c>
      <c r="B1671" s="23">
        <f t="shared" si="252"/>
        <v>46113</v>
      </c>
      <c r="C1671" s="2" t="s">
        <v>66</v>
      </c>
      <c r="D1671" s="2" t="s">
        <v>167</v>
      </c>
      <c r="E1671" s="2">
        <v>2638</v>
      </c>
      <c r="F1671" s="2">
        <v>41</v>
      </c>
      <c r="G1671" s="2">
        <v>41</v>
      </c>
      <c r="H1671" s="2">
        <v>41</v>
      </c>
      <c r="I1671" s="2">
        <f t="shared" si="253"/>
        <v>0</v>
      </c>
      <c r="J1671" s="44" t="s">
        <v>110</v>
      </c>
      <c r="K1671" s="2">
        <v>100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/>
      <c r="AM1671" s="2" t="s">
        <v>110</v>
      </c>
      <c r="AN1671" s="2">
        <f t="shared" si="254"/>
        <v>0</v>
      </c>
      <c r="AO1671" s="2">
        <f t="shared" si="255"/>
        <v>0</v>
      </c>
      <c r="AP1671" s="2">
        <f t="shared" si="256"/>
        <v>0</v>
      </c>
      <c r="AQ1671" s="2">
        <f t="shared" si="257"/>
        <v>0</v>
      </c>
      <c r="AR1671" s="2">
        <f t="shared" si="258"/>
        <v>0</v>
      </c>
      <c r="AS1671" s="2">
        <f t="shared" si="259"/>
        <v>0</v>
      </c>
      <c r="AT1671" s="25">
        <f t="shared" si="260"/>
        <v>0</v>
      </c>
    </row>
    <row r="1672" spans="1:46">
      <c r="A1672" s="24">
        <v>46140</v>
      </c>
      <c r="B1672" s="23">
        <f t="shared" si="252"/>
        <v>46113</v>
      </c>
      <c r="C1672" s="2" t="s">
        <v>62</v>
      </c>
      <c r="D1672" s="2" t="s">
        <v>293</v>
      </c>
      <c r="E1672" s="2">
        <v>3247</v>
      </c>
      <c r="F1672" s="2">
        <v>47</v>
      </c>
      <c r="G1672" s="2">
        <v>47</v>
      </c>
      <c r="H1672" s="2">
        <v>42</v>
      </c>
      <c r="I1672" s="2">
        <f t="shared" si="253"/>
        <v>5</v>
      </c>
      <c r="J1672" s="44" t="s">
        <v>77</v>
      </c>
      <c r="K1672" s="2">
        <v>100</v>
      </c>
      <c r="L1672" s="2">
        <v>5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/>
      <c r="AM1672" s="2" t="s">
        <v>77</v>
      </c>
      <c r="AN1672" s="2">
        <f t="shared" si="254"/>
        <v>5</v>
      </c>
      <c r="AO1672" s="2">
        <f t="shared" si="255"/>
        <v>0</v>
      </c>
      <c r="AP1672" s="2">
        <f t="shared" si="256"/>
        <v>0</v>
      </c>
      <c r="AQ1672" s="2">
        <f t="shared" si="257"/>
        <v>0</v>
      </c>
      <c r="AR1672" s="2">
        <f t="shared" si="258"/>
        <v>0</v>
      </c>
      <c r="AS1672" s="2">
        <f t="shared" si="259"/>
        <v>0</v>
      </c>
      <c r="AT1672" s="25">
        <f t="shared" si="260"/>
        <v>0</v>
      </c>
    </row>
    <row r="1673" spans="1:46">
      <c r="A1673" s="24">
        <v>46140</v>
      </c>
      <c r="B1673" s="23">
        <f t="shared" si="252"/>
        <v>46113</v>
      </c>
      <c r="C1673" s="2" t="s">
        <v>62</v>
      </c>
      <c r="D1673" s="2" t="s">
        <v>286</v>
      </c>
      <c r="E1673" s="2">
        <v>3242</v>
      </c>
      <c r="F1673" s="2">
        <v>26</v>
      </c>
      <c r="G1673" s="2">
        <v>26</v>
      </c>
      <c r="H1673" s="2">
        <v>21</v>
      </c>
      <c r="I1673" s="2">
        <f t="shared" si="253"/>
        <v>5</v>
      </c>
      <c r="J1673" s="44" t="s">
        <v>77</v>
      </c>
      <c r="K1673" s="2">
        <v>100</v>
      </c>
      <c r="L1673" s="2">
        <v>5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/>
      <c r="AM1673" s="2" t="s">
        <v>77</v>
      </c>
      <c r="AN1673" s="2">
        <f t="shared" si="254"/>
        <v>5</v>
      </c>
      <c r="AO1673" s="2">
        <f t="shared" si="255"/>
        <v>0</v>
      </c>
      <c r="AP1673" s="2">
        <f t="shared" si="256"/>
        <v>0</v>
      </c>
      <c r="AQ1673" s="2">
        <f t="shared" si="257"/>
        <v>0</v>
      </c>
      <c r="AR1673" s="2">
        <f t="shared" si="258"/>
        <v>0</v>
      </c>
      <c r="AS1673" s="2">
        <f t="shared" si="259"/>
        <v>0</v>
      </c>
      <c r="AT1673" s="25">
        <f t="shared" si="260"/>
        <v>0</v>
      </c>
    </row>
    <row r="1674" spans="1:46">
      <c r="A1674" s="24">
        <v>46140</v>
      </c>
      <c r="B1674" s="23">
        <f t="shared" si="252"/>
        <v>46113</v>
      </c>
      <c r="C1674" s="2" t="s">
        <v>62</v>
      </c>
      <c r="D1674" s="2" t="s">
        <v>359</v>
      </c>
      <c r="E1674" s="2">
        <v>3246</v>
      </c>
      <c r="F1674" s="2">
        <v>101</v>
      </c>
      <c r="G1674" s="2">
        <v>101</v>
      </c>
      <c r="H1674" s="2">
        <v>101</v>
      </c>
      <c r="I1674" s="2">
        <f t="shared" si="253"/>
        <v>0</v>
      </c>
      <c r="J1674" s="44" t="s">
        <v>77</v>
      </c>
      <c r="K1674" s="2">
        <v>100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/>
      <c r="AM1674" s="2" t="s">
        <v>77</v>
      </c>
      <c r="AN1674" s="2">
        <f t="shared" si="254"/>
        <v>0</v>
      </c>
      <c r="AO1674" s="2">
        <f t="shared" si="255"/>
        <v>0</v>
      </c>
      <c r="AP1674" s="2">
        <f t="shared" si="256"/>
        <v>0</v>
      </c>
      <c r="AQ1674" s="2">
        <f t="shared" si="257"/>
        <v>0</v>
      </c>
      <c r="AR1674" s="2">
        <f t="shared" si="258"/>
        <v>0</v>
      </c>
      <c r="AS1674" s="2">
        <f t="shared" si="259"/>
        <v>0</v>
      </c>
      <c r="AT1674" s="25">
        <f t="shared" si="260"/>
        <v>0</v>
      </c>
    </row>
    <row r="1675" spans="1:46">
      <c r="A1675" s="24">
        <v>46140</v>
      </c>
      <c r="B1675" s="23">
        <f t="shared" si="252"/>
        <v>46113</v>
      </c>
      <c r="C1675" s="2" t="s">
        <v>160</v>
      </c>
      <c r="D1675" s="2" t="s">
        <v>381</v>
      </c>
      <c r="E1675" s="2">
        <v>3287</v>
      </c>
      <c r="F1675" s="2">
        <v>37</v>
      </c>
      <c r="G1675" s="2">
        <v>37</v>
      </c>
      <c r="H1675" s="2">
        <v>37</v>
      </c>
      <c r="I1675" s="2">
        <f t="shared" si="253"/>
        <v>0</v>
      </c>
      <c r="J1675" s="44" t="s">
        <v>77</v>
      </c>
      <c r="K1675" s="2">
        <v>100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/>
      <c r="AM1675" s="2" t="s">
        <v>77</v>
      </c>
      <c r="AN1675" s="2">
        <f t="shared" si="254"/>
        <v>0</v>
      </c>
      <c r="AO1675" s="2">
        <f t="shared" si="255"/>
        <v>0</v>
      </c>
      <c r="AP1675" s="2">
        <f t="shared" si="256"/>
        <v>0</v>
      </c>
      <c r="AQ1675" s="2">
        <f t="shared" si="257"/>
        <v>0</v>
      </c>
      <c r="AR1675" s="2">
        <f t="shared" si="258"/>
        <v>0</v>
      </c>
      <c r="AS1675" s="2">
        <f t="shared" si="259"/>
        <v>0</v>
      </c>
      <c r="AT1675" s="25">
        <f t="shared" si="260"/>
        <v>0</v>
      </c>
    </row>
    <row r="1676" spans="1:46">
      <c r="A1676" s="24">
        <v>46140</v>
      </c>
      <c r="B1676" s="23">
        <f t="shared" si="252"/>
        <v>46113</v>
      </c>
      <c r="C1676" s="2" t="s">
        <v>160</v>
      </c>
      <c r="D1676" s="2" t="s">
        <v>348</v>
      </c>
      <c r="E1676" s="2">
        <v>3287</v>
      </c>
      <c r="F1676" s="2">
        <v>49</v>
      </c>
      <c r="G1676" s="2">
        <v>49</v>
      </c>
      <c r="H1676" s="2">
        <v>48</v>
      </c>
      <c r="I1676" s="2">
        <f t="shared" si="253"/>
        <v>1</v>
      </c>
      <c r="J1676" s="44" t="s">
        <v>77</v>
      </c>
      <c r="K1676" s="2">
        <v>100</v>
      </c>
      <c r="L1676" s="2">
        <v>1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/>
      <c r="AM1676" s="2" t="s">
        <v>77</v>
      </c>
      <c r="AN1676" s="2">
        <f t="shared" si="254"/>
        <v>1</v>
      </c>
      <c r="AO1676" s="2">
        <f t="shared" si="255"/>
        <v>0</v>
      </c>
      <c r="AP1676" s="2">
        <f t="shared" si="256"/>
        <v>0</v>
      </c>
      <c r="AQ1676" s="2">
        <f t="shared" si="257"/>
        <v>0</v>
      </c>
      <c r="AR1676" s="2">
        <f t="shared" si="258"/>
        <v>0</v>
      </c>
      <c r="AS1676" s="2">
        <f t="shared" si="259"/>
        <v>0</v>
      </c>
      <c r="AT1676" s="25">
        <f t="shared" si="260"/>
        <v>0</v>
      </c>
    </row>
    <row r="1677" spans="1:46">
      <c r="A1677" s="24">
        <v>46140</v>
      </c>
      <c r="B1677" s="23">
        <f t="shared" si="252"/>
        <v>46113</v>
      </c>
      <c r="C1677" s="2" t="s">
        <v>72</v>
      </c>
      <c r="D1677" s="2" t="s">
        <v>1447</v>
      </c>
      <c r="E1677" s="2">
        <v>3273</v>
      </c>
      <c r="F1677" s="2">
        <v>283</v>
      </c>
      <c r="G1677" s="2">
        <v>283</v>
      </c>
      <c r="H1677" s="2">
        <v>272</v>
      </c>
      <c r="I1677" s="2">
        <f t="shared" si="253"/>
        <v>11</v>
      </c>
      <c r="J1677" s="44" t="s">
        <v>77</v>
      </c>
      <c r="K1677" s="2">
        <v>100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11</v>
      </c>
      <c r="AH1677" s="2">
        <v>0</v>
      </c>
      <c r="AI1677" s="2">
        <v>0</v>
      </c>
      <c r="AJ1677" s="2">
        <v>0</v>
      </c>
      <c r="AK1677" s="2">
        <v>0</v>
      </c>
      <c r="AL1677" s="2"/>
      <c r="AM1677" s="2" t="s">
        <v>77</v>
      </c>
      <c r="AN1677" s="2">
        <f t="shared" si="254"/>
        <v>0</v>
      </c>
      <c r="AO1677" s="2">
        <f t="shared" si="255"/>
        <v>0</v>
      </c>
      <c r="AP1677" s="2">
        <f t="shared" si="256"/>
        <v>0</v>
      </c>
      <c r="AQ1677" s="2">
        <f t="shared" si="257"/>
        <v>0</v>
      </c>
      <c r="AR1677" s="2">
        <f t="shared" si="258"/>
        <v>0</v>
      </c>
      <c r="AS1677" s="2">
        <f t="shared" si="259"/>
        <v>11</v>
      </c>
      <c r="AT1677" s="25">
        <f t="shared" si="260"/>
        <v>0</v>
      </c>
    </row>
    <row r="1678" spans="1:46">
      <c r="A1678" s="24">
        <v>46140</v>
      </c>
      <c r="B1678" s="23">
        <f t="shared" si="252"/>
        <v>46113</v>
      </c>
      <c r="C1678" s="2" t="s">
        <v>160</v>
      </c>
      <c r="D1678" s="2" t="s">
        <v>388</v>
      </c>
      <c r="E1678" s="2">
        <v>3089</v>
      </c>
      <c r="F1678" s="2">
        <v>37</v>
      </c>
      <c r="G1678" s="2">
        <v>37</v>
      </c>
      <c r="H1678" s="2">
        <v>35</v>
      </c>
      <c r="I1678" s="2">
        <f t="shared" si="253"/>
        <v>2</v>
      </c>
      <c r="J1678" s="44" t="s">
        <v>77</v>
      </c>
      <c r="K1678" s="2">
        <v>100</v>
      </c>
      <c r="L1678" s="2">
        <v>2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/>
      <c r="AM1678" s="2" t="s">
        <v>77</v>
      </c>
      <c r="AN1678" s="2">
        <f t="shared" si="254"/>
        <v>2</v>
      </c>
      <c r="AO1678" s="2">
        <f t="shared" si="255"/>
        <v>0</v>
      </c>
      <c r="AP1678" s="2">
        <f t="shared" si="256"/>
        <v>0</v>
      </c>
      <c r="AQ1678" s="2">
        <f t="shared" si="257"/>
        <v>0</v>
      </c>
      <c r="AR1678" s="2">
        <f t="shared" si="258"/>
        <v>0</v>
      </c>
      <c r="AS1678" s="2">
        <f t="shared" si="259"/>
        <v>0</v>
      </c>
      <c r="AT1678" s="25">
        <f t="shared" si="260"/>
        <v>0</v>
      </c>
    </row>
    <row r="1679" spans="1:46">
      <c r="A1679" s="24">
        <v>46140</v>
      </c>
      <c r="B1679" s="23">
        <f t="shared" ref="B1679:B1742" si="261">EOMONTH(A1679,-1)+1</f>
        <v>46113</v>
      </c>
      <c r="C1679" s="2" t="s">
        <v>160</v>
      </c>
      <c r="D1679" s="2" t="s">
        <v>239</v>
      </c>
      <c r="E1679" s="2">
        <v>3089</v>
      </c>
      <c r="F1679" s="2">
        <v>13</v>
      </c>
      <c r="G1679" s="2">
        <v>13</v>
      </c>
      <c r="H1679" s="2">
        <v>12</v>
      </c>
      <c r="I1679" s="2">
        <f t="shared" ref="I1679:I1742" si="262">F1679-H1679</f>
        <v>1</v>
      </c>
      <c r="J1679" s="44" t="s">
        <v>77</v>
      </c>
      <c r="K1679" s="2">
        <v>100</v>
      </c>
      <c r="L1679" s="2">
        <v>1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/>
      <c r="AM1679" s="2" t="s">
        <v>77</v>
      </c>
      <c r="AN1679" s="2">
        <f t="shared" ref="AN1679:AN1742" si="263">+L1679+AI1679</f>
        <v>1</v>
      </c>
      <c r="AO1679" s="2">
        <f t="shared" ref="AO1679:AO1742" si="264">+M1679+N1679+O1679+P1679+Q1679+R1679+S1679+T1679+U1679+V1679</f>
        <v>0</v>
      </c>
      <c r="AP1679" s="2">
        <f t="shared" ref="AP1679:AP1742" si="265">+AE1679+AF1679</f>
        <v>0</v>
      </c>
      <c r="AQ1679" s="2">
        <f t="shared" ref="AQ1679:AQ1742" si="266">+AK1679+AD1679+AC1679+AJ1679</f>
        <v>0</v>
      </c>
      <c r="AR1679" s="2">
        <f t="shared" ref="AR1679:AR1742" si="267">+W1679+X1679+Y1679+Z1679+AA1679+AB1679</f>
        <v>0</v>
      </c>
      <c r="AS1679" s="2">
        <f t="shared" ref="AS1679:AS1742" si="268">+AG1679</f>
        <v>0</v>
      </c>
      <c r="AT1679" s="25">
        <f t="shared" ref="AT1679:AT1742" si="269">+AH1679</f>
        <v>0</v>
      </c>
    </row>
    <row r="1680" spans="1:46">
      <c r="A1680" s="24">
        <v>46140</v>
      </c>
      <c r="B1680" s="23">
        <f t="shared" si="261"/>
        <v>46113</v>
      </c>
      <c r="C1680" s="2" t="s">
        <v>72</v>
      </c>
      <c r="D1680" s="2" t="s">
        <v>1447</v>
      </c>
      <c r="E1680" s="2">
        <v>3273</v>
      </c>
      <c r="F1680" s="2">
        <v>55</v>
      </c>
      <c r="G1680" s="2">
        <v>55</v>
      </c>
      <c r="H1680" s="2">
        <v>53</v>
      </c>
      <c r="I1680" s="2">
        <f t="shared" si="262"/>
        <v>2</v>
      </c>
      <c r="J1680" s="44" t="s">
        <v>77</v>
      </c>
      <c r="K1680" s="2">
        <v>100</v>
      </c>
      <c r="L1680" s="2">
        <v>2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/>
      <c r="AM1680" s="2" t="s">
        <v>77</v>
      </c>
      <c r="AN1680" s="2">
        <f t="shared" si="263"/>
        <v>2</v>
      </c>
      <c r="AO1680" s="2">
        <f t="shared" si="264"/>
        <v>0</v>
      </c>
      <c r="AP1680" s="2">
        <f t="shared" si="265"/>
        <v>0</v>
      </c>
      <c r="AQ1680" s="2">
        <f t="shared" si="266"/>
        <v>0</v>
      </c>
      <c r="AR1680" s="2">
        <f t="shared" si="267"/>
        <v>0</v>
      </c>
      <c r="AS1680" s="2">
        <f t="shared" si="268"/>
        <v>0</v>
      </c>
      <c r="AT1680" s="25">
        <f t="shared" si="269"/>
        <v>0</v>
      </c>
    </row>
    <row r="1681" spans="1:46">
      <c r="A1681" s="24">
        <v>46140</v>
      </c>
      <c r="B1681" s="23">
        <f t="shared" si="261"/>
        <v>46113</v>
      </c>
      <c r="C1681" s="2" t="s">
        <v>63</v>
      </c>
      <c r="D1681" s="2" t="s">
        <v>299</v>
      </c>
      <c r="E1681" s="2">
        <v>2679</v>
      </c>
      <c r="F1681" s="2">
        <v>32</v>
      </c>
      <c r="G1681" s="2">
        <v>32</v>
      </c>
      <c r="H1681" s="2">
        <v>31</v>
      </c>
      <c r="I1681" s="2">
        <f t="shared" si="262"/>
        <v>1</v>
      </c>
      <c r="J1681" s="44" t="s">
        <v>77</v>
      </c>
      <c r="K1681" s="2">
        <v>100</v>
      </c>
      <c r="L1681" s="2">
        <v>1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/>
      <c r="AM1681" s="2" t="s">
        <v>77</v>
      </c>
      <c r="AN1681" s="2">
        <f t="shared" si="263"/>
        <v>1</v>
      </c>
      <c r="AO1681" s="2">
        <f t="shared" si="264"/>
        <v>0</v>
      </c>
      <c r="AP1681" s="2">
        <f t="shared" si="265"/>
        <v>0</v>
      </c>
      <c r="AQ1681" s="2">
        <f t="shared" si="266"/>
        <v>0</v>
      </c>
      <c r="AR1681" s="2">
        <f t="shared" si="267"/>
        <v>0</v>
      </c>
      <c r="AS1681" s="2">
        <f t="shared" si="268"/>
        <v>0</v>
      </c>
      <c r="AT1681" s="25">
        <f t="shared" si="269"/>
        <v>0</v>
      </c>
    </row>
    <row r="1682" spans="1:46">
      <c r="A1682" s="24">
        <v>46140</v>
      </c>
      <c r="B1682" s="23">
        <f t="shared" si="261"/>
        <v>46113</v>
      </c>
      <c r="C1682" s="2" t="s">
        <v>160</v>
      </c>
      <c r="D1682" s="2" t="s">
        <v>378</v>
      </c>
      <c r="E1682" s="2">
        <v>1474</v>
      </c>
      <c r="F1682" s="2">
        <v>113</v>
      </c>
      <c r="G1682" s="2">
        <v>113</v>
      </c>
      <c r="H1682" s="2">
        <v>94</v>
      </c>
      <c r="I1682" s="2">
        <f t="shared" si="262"/>
        <v>19</v>
      </c>
      <c r="J1682" s="44" t="s">
        <v>80</v>
      </c>
      <c r="K1682" s="2">
        <v>100</v>
      </c>
      <c r="L1682" s="2">
        <v>11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8</v>
      </c>
      <c r="AH1682" s="2">
        <v>0</v>
      </c>
      <c r="AI1682" s="2">
        <v>0</v>
      </c>
      <c r="AJ1682" s="2">
        <v>0</v>
      </c>
      <c r="AK1682" s="2">
        <v>0</v>
      </c>
      <c r="AL1682" s="2"/>
      <c r="AM1682" s="2" t="s">
        <v>80</v>
      </c>
      <c r="AN1682" s="2">
        <f t="shared" si="263"/>
        <v>11</v>
      </c>
      <c r="AO1682" s="2">
        <f t="shared" si="264"/>
        <v>0</v>
      </c>
      <c r="AP1682" s="2">
        <f t="shared" si="265"/>
        <v>0</v>
      </c>
      <c r="AQ1682" s="2">
        <f t="shared" si="266"/>
        <v>0</v>
      </c>
      <c r="AR1682" s="2">
        <f t="shared" si="267"/>
        <v>0</v>
      </c>
      <c r="AS1682" s="2">
        <f t="shared" si="268"/>
        <v>8</v>
      </c>
      <c r="AT1682" s="25">
        <f t="shared" si="269"/>
        <v>0</v>
      </c>
    </row>
    <row r="1683" spans="1:46">
      <c r="A1683" s="24">
        <v>46140</v>
      </c>
      <c r="B1683" s="23">
        <f t="shared" si="261"/>
        <v>46113</v>
      </c>
      <c r="C1683" s="2" t="s">
        <v>160</v>
      </c>
      <c r="D1683" s="2" t="s">
        <v>355</v>
      </c>
      <c r="E1683" s="2">
        <v>1474</v>
      </c>
      <c r="F1683" s="2">
        <v>38</v>
      </c>
      <c r="G1683" s="2">
        <v>38</v>
      </c>
      <c r="H1683" s="2">
        <v>37</v>
      </c>
      <c r="I1683" s="2">
        <f t="shared" si="262"/>
        <v>1</v>
      </c>
      <c r="J1683" s="44" t="s">
        <v>80</v>
      </c>
      <c r="K1683" s="2">
        <v>100</v>
      </c>
      <c r="L1683" s="2">
        <v>0</v>
      </c>
      <c r="M1683" s="2">
        <v>0</v>
      </c>
      <c r="N1683" s="2">
        <v>1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/>
      <c r="AM1683" s="2" t="s">
        <v>80</v>
      </c>
      <c r="AN1683" s="2">
        <f t="shared" si="263"/>
        <v>0</v>
      </c>
      <c r="AO1683" s="2">
        <f t="shared" si="264"/>
        <v>1</v>
      </c>
      <c r="AP1683" s="2">
        <f t="shared" si="265"/>
        <v>0</v>
      </c>
      <c r="AQ1683" s="2">
        <f t="shared" si="266"/>
        <v>0</v>
      </c>
      <c r="AR1683" s="2">
        <f t="shared" si="267"/>
        <v>0</v>
      </c>
      <c r="AS1683" s="2">
        <f t="shared" si="268"/>
        <v>0</v>
      </c>
      <c r="AT1683" s="25">
        <f t="shared" si="269"/>
        <v>0</v>
      </c>
    </row>
    <row r="1684" spans="1:46">
      <c r="A1684" s="24">
        <v>46140</v>
      </c>
      <c r="B1684" s="23">
        <f t="shared" si="261"/>
        <v>46113</v>
      </c>
      <c r="C1684" s="2" t="s">
        <v>160</v>
      </c>
      <c r="D1684" s="2" t="s">
        <v>370</v>
      </c>
      <c r="E1684" s="2">
        <v>6237</v>
      </c>
      <c r="F1684" s="2">
        <v>60</v>
      </c>
      <c r="G1684" s="2">
        <v>60</v>
      </c>
      <c r="H1684" s="2">
        <v>55</v>
      </c>
      <c r="I1684" s="2">
        <f t="shared" si="262"/>
        <v>5</v>
      </c>
      <c r="J1684" s="44" t="s">
        <v>80</v>
      </c>
      <c r="K1684" s="2">
        <v>100</v>
      </c>
      <c r="L1684" s="2">
        <v>1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4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/>
      <c r="AM1684" s="2" t="s">
        <v>80</v>
      </c>
      <c r="AN1684" s="2">
        <f t="shared" si="263"/>
        <v>1</v>
      </c>
      <c r="AO1684" s="2">
        <f t="shared" si="264"/>
        <v>0</v>
      </c>
      <c r="AP1684" s="2">
        <f t="shared" si="265"/>
        <v>0</v>
      </c>
      <c r="AQ1684" s="2">
        <f t="shared" si="266"/>
        <v>4</v>
      </c>
      <c r="AR1684" s="2">
        <f t="shared" si="267"/>
        <v>0</v>
      </c>
      <c r="AS1684" s="2">
        <f t="shared" si="268"/>
        <v>0</v>
      </c>
      <c r="AT1684" s="25">
        <f t="shared" si="269"/>
        <v>0</v>
      </c>
    </row>
    <row r="1685" spans="1:46">
      <c r="A1685" s="24">
        <v>46140</v>
      </c>
      <c r="B1685" s="23">
        <f t="shared" si="261"/>
        <v>46113</v>
      </c>
      <c r="C1685" s="2" t="s">
        <v>72</v>
      </c>
      <c r="D1685" s="2" t="s">
        <v>408</v>
      </c>
      <c r="E1685" s="2">
        <v>9315</v>
      </c>
      <c r="F1685" s="2">
        <v>89</v>
      </c>
      <c r="G1685" s="2">
        <v>89</v>
      </c>
      <c r="H1685" s="2">
        <v>88</v>
      </c>
      <c r="I1685" s="2">
        <f t="shared" si="262"/>
        <v>1</v>
      </c>
      <c r="J1685" s="44" t="s">
        <v>80</v>
      </c>
      <c r="K1685" s="2">
        <v>100</v>
      </c>
      <c r="L1685" s="2">
        <v>1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/>
      <c r="AM1685" s="2" t="s">
        <v>80</v>
      </c>
      <c r="AN1685" s="2">
        <f t="shared" si="263"/>
        <v>1</v>
      </c>
      <c r="AO1685" s="2">
        <f t="shared" si="264"/>
        <v>0</v>
      </c>
      <c r="AP1685" s="2">
        <f t="shared" si="265"/>
        <v>0</v>
      </c>
      <c r="AQ1685" s="2">
        <f t="shared" si="266"/>
        <v>0</v>
      </c>
      <c r="AR1685" s="2">
        <f t="shared" si="267"/>
        <v>0</v>
      </c>
      <c r="AS1685" s="2">
        <f t="shared" si="268"/>
        <v>0</v>
      </c>
      <c r="AT1685" s="25">
        <f t="shared" si="269"/>
        <v>0</v>
      </c>
    </row>
    <row r="1686" spans="1:46">
      <c r="A1686" s="24">
        <v>46140</v>
      </c>
      <c r="B1686" s="23">
        <f t="shared" si="261"/>
        <v>46113</v>
      </c>
      <c r="C1686" s="2" t="s">
        <v>62</v>
      </c>
      <c r="D1686" s="2" t="s">
        <v>332</v>
      </c>
      <c r="E1686" s="2">
        <v>2594</v>
      </c>
      <c r="F1686" s="2">
        <v>1007</v>
      </c>
      <c r="G1686" s="2">
        <v>1007</v>
      </c>
      <c r="H1686" s="2">
        <v>988</v>
      </c>
      <c r="I1686" s="2">
        <f t="shared" si="262"/>
        <v>19</v>
      </c>
      <c r="J1686" s="44" t="s">
        <v>1568</v>
      </c>
      <c r="K1686" s="2">
        <v>100</v>
      </c>
      <c r="L1686" s="2">
        <v>16</v>
      </c>
      <c r="M1686" s="2">
        <v>0</v>
      </c>
      <c r="N1686" s="2">
        <v>0</v>
      </c>
      <c r="O1686" s="2">
        <v>0</v>
      </c>
      <c r="P1686" s="2">
        <v>0</v>
      </c>
      <c r="Q1686" s="2">
        <v>1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2</v>
      </c>
      <c r="AH1686" s="2">
        <v>0</v>
      </c>
      <c r="AI1686" s="2">
        <v>0</v>
      </c>
      <c r="AJ1686" s="2">
        <v>0</v>
      </c>
      <c r="AK1686" s="2">
        <v>0</v>
      </c>
      <c r="AL1686" s="2"/>
      <c r="AM1686" s="2" t="s">
        <v>1568</v>
      </c>
      <c r="AN1686" s="2">
        <f t="shared" si="263"/>
        <v>16</v>
      </c>
      <c r="AO1686" s="2">
        <f t="shared" si="264"/>
        <v>1</v>
      </c>
      <c r="AP1686" s="2">
        <f t="shared" si="265"/>
        <v>0</v>
      </c>
      <c r="AQ1686" s="2">
        <f t="shared" si="266"/>
        <v>0</v>
      </c>
      <c r="AR1686" s="2">
        <f t="shared" si="267"/>
        <v>0</v>
      </c>
      <c r="AS1686" s="2">
        <f t="shared" si="268"/>
        <v>2</v>
      </c>
      <c r="AT1686" s="25">
        <f t="shared" si="269"/>
        <v>0</v>
      </c>
    </row>
    <row r="1687" spans="1:46">
      <c r="A1687" s="24">
        <v>46140</v>
      </c>
      <c r="B1687" s="23">
        <f t="shared" si="261"/>
        <v>46113</v>
      </c>
      <c r="C1687" s="2" t="s">
        <v>62</v>
      </c>
      <c r="D1687" s="2" t="s">
        <v>332</v>
      </c>
      <c r="E1687" s="2">
        <v>2594</v>
      </c>
      <c r="F1687" s="2">
        <v>80</v>
      </c>
      <c r="G1687" s="2">
        <v>80</v>
      </c>
      <c r="H1687" s="2">
        <v>77</v>
      </c>
      <c r="I1687" s="2">
        <f t="shared" si="262"/>
        <v>3</v>
      </c>
      <c r="J1687" s="44" t="s">
        <v>1568</v>
      </c>
      <c r="K1687" s="2">
        <v>100</v>
      </c>
      <c r="L1687" s="2">
        <v>3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/>
      <c r="AM1687" s="2" t="s">
        <v>1568</v>
      </c>
      <c r="AN1687" s="2">
        <f t="shared" si="263"/>
        <v>3</v>
      </c>
      <c r="AO1687" s="2">
        <f t="shared" si="264"/>
        <v>0</v>
      </c>
      <c r="AP1687" s="2">
        <f t="shared" si="265"/>
        <v>0</v>
      </c>
      <c r="AQ1687" s="2">
        <f t="shared" si="266"/>
        <v>0</v>
      </c>
      <c r="AR1687" s="2">
        <f t="shared" si="267"/>
        <v>0</v>
      </c>
      <c r="AS1687" s="2">
        <f t="shared" si="268"/>
        <v>0</v>
      </c>
      <c r="AT1687" s="25">
        <f t="shared" si="269"/>
        <v>0</v>
      </c>
    </row>
    <row r="1688" spans="1:46">
      <c r="A1688" s="24">
        <v>46140</v>
      </c>
      <c r="B1688" s="23">
        <f t="shared" si="261"/>
        <v>46113</v>
      </c>
      <c r="C1688" s="2" t="s">
        <v>114</v>
      </c>
      <c r="D1688" s="2" t="s">
        <v>381</v>
      </c>
      <c r="E1688" s="2">
        <v>3287</v>
      </c>
      <c r="F1688" s="2">
        <v>117</v>
      </c>
      <c r="G1688" s="2">
        <v>117</v>
      </c>
      <c r="H1688" s="2">
        <v>116</v>
      </c>
      <c r="I1688" s="2">
        <f t="shared" si="262"/>
        <v>1</v>
      </c>
      <c r="J1688" s="44" t="s">
        <v>103</v>
      </c>
      <c r="K1688" s="2">
        <v>100</v>
      </c>
      <c r="L1688" s="2">
        <v>1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/>
      <c r="AM1688" s="2" t="s">
        <v>103</v>
      </c>
      <c r="AN1688" s="2">
        <f t="shared" si="263"/>
        <v>1</v>
      </c>
      <c r="AO1688" s="2">
        <f t="shared" si="264"/>
        <v>0</v>
      </c>
      <c r="AP1688" s="2">
        <f t="shared" si="265"/>
        <v>0</v>
      </c>
      <c r="AQ1688" s="2">
        <f t="shared" si="266"/>
        <v>0</v>
      </c>
      <c r="AR1688" s="2">
        <f t="shared" si="267"/>
        <v>0</v>
      </c>
      <c r="AS1688" s="2">
        <f t="shared" si="268"/>
        <v>0</v>
      </c>
      <c r="AT1688" s="25">
        <f t="shared" si="269"/>
        <v>0</v>
      </c>
    </row>
    <row r="1689" spans="1:46">
      <c r="A1689" s="24">
        <v>46140</v>
      </c>
      <c r="B1689" s="23">
        <f t="shared" si="261"/>
        <v>46113</v>
      </c>
      <c r="C1689" s="2" t="s">
        <v>114</v>
      </c>
      <c r="D1689" s="2" t="s">
        <v>1387</v>
      </c>
      <c r="E1689" s="2">
        <v>3327</v>
      </c>
      <c r="F1689" s="2">
        <v>30</v>
      </c>
      <c r="G1689" s="2">
        <v>30</v>
      </c>
      <c r="H1689" s="2">
        <v>28</v>
      </c>
      <c r="I1689" s="2">
        <f t="shared" si="262"/>
        <v>2</v>
      </c>
      <c r="J1689" s="44" t="s">
        <v>103</v>
      </c>
      <c r="K1689" s="2">
        <v>100</v>
      </c>
      <c r="L1689" s="2">
        <v>1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1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/>
      <c r="AM1689" s="2" t="s">
        <v>103</v>
      </c>
      <c r="AN1689" s="2">
        <f t="shared" si="263"/>
        <v>1</v>
      </c>
      <c r="AO1689" s="2">
        <f t="shared" si="264"/>
        <v>1</v>
      </c>
      <c r="AP1689" s="2">
        <f t="shared" si="265"/>
        <v>0</v>
      </c>
      <c r="AQ1689" s="2">
        <f t="shared" si="266"/>
        <v>0</v>
      </c>
      <c r="AR1689" s="2">
        <f t="shared" si="267"/>
        <v>0</v>
      </c>
      <c r="AS1689" s="2">
        <f t="shared" si="268"/>
        <v>0</v>
      </c>
      <c r="AT1689" s="25">
        <f t="shared" si="269"/>
        <v>0</v>
      </c>
    </row>
    <row r="1690" spans="1:46">
      <c r="A1690" s="24">
        <v>46140</v>
      </c>
      <c r="B1690" s="23">
        <f t="shared" si="261"/>
        <v>46113</v>
      </c>
      <c r="C1690" s="2" t="s">
        <v>72</v>
      </c>
      <c r="D1690" s="2" t="s">
        <v>385</v>
      </c>
      <c r="E1690" s="2">
        <v>3273</v>
      </c>
      <c r="F1690" s="2">
        <v>433</v>
      </c>
      <c r="G1690" s="2">
        <v>433</v>
      </c>
      <c r="H1690" s="2">
        <v>419</v>
      </c>
      <c r="I1690" s="2">
        <f t="shared" si="262"/>
        <v>14</v>
      </c>
      <c r="J1690" s="44" t="s">
        <v>103</v>
      </c>
      <c r="K1690" s="2">
        <v>100</v>
      </c>
      <c r="L1690" s="2">
        <v>2</v>
      </c>
      <c r="M1690" s="2">
        <v>0</v>
      </c>
      <c r="N1690" s="2">
        <v>0</v>
      </c>
      <c r="O1690" s="2">
        <v>0</v>
      </c>
      <c r="P1690" s="2">
        <v>12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/>
      <c r="AM1690" s="2" t="s">
        <v>103</v>
      </c>
      <c r="AN1690" s="2">
        <f t="shared" si="263"/>
        <v>2</v>
      </c>
      <c r="AO1690" s="2">
        <f t="shared" si="264"/>
        <v>12</v>
      </c>
      <c r="AP1690" s="2">
        <f t="shared" si="265"/>
        <v>0</v>
      </c>
      <c r="AQ1690" s="2">
        <f t="shared" si="266"/>
        <v>0</v>
      </c>
      <c r="AR1690" s="2">
        <f t="shared" si="267"/>
        <v>0</v>
      </c>
      <c r="AS1690" s="2">
        <f t="shared" si="268"/>
        <v>0</v>
      </c>
      <c r="AT1690" s="25">
        <f t="shared" si="269"/>
        <v>0</v>
      </c>
    </row>
    <row r="1691" spans="1:46">
      <c r="A1691" s="24">
        <v>46140</v>
      </c>
      <c r="B1691" s="23">
        <f t="shared" si="261"/>
        <v>46113</v>
      </c>
      <c r="C1691" s="2" t="s">
        <v>72</v>
      </c>
      <c r="D1691" s="2" t="s">
        <v>344</v>
      </c>
      <c r="E1691" s="2">
        <v>3273</v>
      </c>
      <c r="F1691" s="2">
        <v>15</v>
      </c>
      <c r="G1691" s="2">
        <v>15</v>
      </c>
      <c r="H1691" s="2">
        <v>12</v>
      </c>
      <c r="I1691" s="2">
        <f t="shared" si="262"/>
        <v>3</v>
      </c>
      <c r="J1691" s="44" t="s">
        <v>103</v>
      </c>
      <c r="K1691" s="2">
        <v>100</v>
      </c>
      <c r="L1691" s="2">
        <v>3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/>
      <c r="AM1691" s="2" t="s">
        <v>103</v>
      </c>
      <c r="AN1691" s="2">
        <f t="shared" si="263"/>
        <v>3</v>
      </c>
      <c r="AO1691" s="2">
        <f t="shared" si="264"/>
        <v>0</v>
      </c>
      <c r="AP1691" s="2">
        <f t="shared" si="265"/>
        <v>0</v>
      </c>
      <c r="AQ1691" s="2">
        <f t="shared" si="266"/>
        <v>0</v>
      </c>
      <c r="AR1691" s="2">
        <f t="shared" si="267"/>
        <v>0</v>
      </c>
      <c r="AS1691" s="2">
        <f t="shared" si="268"/>
        <v>0</v>
      </c>
      <c r="AT1691" s="25">
        <f t="shared" si="269"/>
        <v>0</v>
      </c>
    </row>
    <row r="1692" spans="1:46">
      <c r="A1692" s="24">
        <v>46140</v>
      </c>
      <c r="B1692" s="23">
        <f t="shared" si="261"/>
        <v>46113</v>
      </c>
      <c r="C1692" s="2" t="s">
        <v>160</v>
      </c>
      <c r="D1692" s="2" t="s">
        <v>100</v>
      </c>
      <c r="E1692" s="2">
        <v>6237</v>
      </c>
      <c r="F1692" s="2">
        <v>515</v>
      </c>
      <c r="G1692" s="2">
        <v>515</v>
      </c>
      <c r="H1692" s="2">
        <v>513</v>
      </c>
      <c r="I1692" s="2">
        <f t="shared" si="262"/>
        <v>2</v>
      </c>
      <c r="J1692" s="44" t="s">
        <v>93</v>
      </c>
      <c r="K1692" s="2">
        <v>100</v>
      </c>
      <c r="L1692" s="2">
        <v>1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1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/>
      <c r="AM1692" s="2" t="s">
        <v>93</v>
      </c>
      <c r="AN1692" s="2">
        <f t="shared" si="263"/>
        <v>1</v>
      </c>
      <c r="AO1692" s="2">
        <f t="shared" si="264"/>
        <v>0</v>
      </c>
      <c r="AP1692" s="2">
        <f t="shared" si="265"/>
        <v>0</v>
      </c>
      <c r="AQ1692" s="2">
        <f t="shared" si="266"/>
        <v>1</v>
      </c>
      <c r="AR1692" s="2">
        <f t="shared" si="267"/>
        <v>0</v>
      </c>
      <c r="AS1692" s="2">
        <f t="shared" si="268"/>
        <v>0</v>
      </c>
      <c r="AT1692" s="25">
        <f t="shared" si="269"/>
        <v>0</v>
      </c>
    </row>
    <row r="1693" spans="1:46">
      <c r="A1693" s="24">
        <v>46140</v>
      </c>
      <c r="B1693" s="23">
        <f t="shared" si="261"/>
        <v>46113</v>
      </c>
      <c r="C1693" s="2" t="s">
        <v>160</v>
      </c>
      <c r="D1693" s="2" t="s">
        <v>100</v>
      </c>
      <c r="E1693" s="2">
        <v>6237</v>
      </c>
      <c r="F1693" s="2">
        <v>465</v>
      </c>
      <c r="G1693" s="2">
        <v>465</v>
      </c>
      <c r="H1693" s="2">
        <v>462</v>
      </c>
      <c r="I1693" s="2">
        <f t="shared" si="262"/>
        <v>3</v>
      </c>
      <c r="J1693" s="44" t="s">
        <v>93</v>
      </c>
      <c r="K1693" s="2">
        <v>100</v>
      </c>
      <c r="L1693" s="2">
        <v>2</v>
      </c>
      <c r="M1693" s="2">
        <v>0</v>
      </c>
      <c r="N1693" s="2">
        <v>0</v>
      </c>
      <c r="O1693" s="2">
        <v>0</v>
      </c>
      <c r="P1693" s="2">
        <v>1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/>
      <c r="AM1693" s="2" t="s">
        <v>93</v>
      </c>
      <c r="AN1693" s="2">
        <f t="shared" si="263"/>
        <v>2</v>
      </c>
      <c r="AO1693" s="2">
        <f t="shared" si="264"/>
        <v>1</v>
      </c>
      <c r="AP1693" s="2">
        <f t="shared" si="265"/>
        <v>0</v>
      </c>
      <c r="AQ1693" s="2">
        <f t="shared" si="266"/>
        <v>0</v>
      </c>
      <c r="AR1693" s="2">
        <f t="shared" si="267"/>
        <v>0</v>
      </c>
      <c r="AS1693" s="2">
        <f t="shared" si="268"/>
        <v>0</v>
      </c>
      <c r="AT1693" s="25">
        <f t="shared" si="269"/>
        <v>0</v>
      </c>
    </row>
    <row r="1694" spans="1:46">
      <c r="A1694" s="24">
        <v>46140</v>
      </c>
      <c r="B1694" s="23">
        <f t="shared" si="261"/>
        <v>46113</v>
      </c>
      <c r="C1694" s="2" t="s">
        <v>66</v>
      </c>
      <c r="D1694" s="2" t="s">
        <v>1466</v>
      </c>
      <c r="E1694" s="2">
        <v>6283</v>
      </c>
      <c r="F1694" s="2">
        <v>39</v>
      </c>
      <c r="G1694" s="2">
        <v>39</v>
      </c>
      <c r="H1694" s="2">
        <v>39</v>
      </c>
      <c r="I1694" s="2">
        <f t="shared" si="262"/>
        <v>0</v>
      </c>
      <c r="J1694" s="44" t="s">
        <v>110</v>
      </c>
      <c r="K1694" s="2">
        <v>100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/>
      <c r="AM1694" s="2" t="s">
        <v>110</v>
      </c>
      <c r="AN1694" s="2">
        <f t="shared" si="263"/>
        <v>0</v>
      </c>
      <c r="AO1694" s="2">
        <f t="shared" si="264"/>
        <v>0</v>
      </c>
      <c r="AP1694" s="2">
        <f t="shared" si="265"/>
        <v>0</v>
      </c>
      <c r="AQ1694" s="2">
        <f t="shared" si="266"/>
        <v>0</v>
      </c>
      <c r="AR1694" s="2">
        <f t="shared" si="267"/>
        <v>0</v>
      </c>
      <c r="AS1694" s="2">
        <f t="shared" si="268"/>
        <v>0</v>
      </c>
      <c r="AT1694" s="25">
        <f t="shared" si="269"/>
        <v>0</v>
      </c>
    </row>
    <row r="1695" spans="1:46">
      <c r="A1695" s="24">
        <v>46140</v>
      </c>
      <c r="B1695" s="23">
        <f t="shared" si="261"/>
        <v>46113</v>
      </c>
      <c r="C1695" s="2" t="s">
        <v>66</v>
      </c>
      <c r="D1695" s="2" t="s">
        <v>377</v>
      </c>
      <c r="E1695" s="2">
        <v>1585</v>
      </c>
      <c r="F1695" s="2">
        <v>35</v>
      </c>
      <c r="G1695" s="2">
        <v>35</v>
      </c>
      <c r="H1695" s="2">
        <v>35</v>
      </c>
      <c r="I1695" s="2">
        <f t="shared" si="262"/>
        <v>0</v>
      </c>
      <c r="J1695" s="44" t="s">
        <v>110</v>
      </c>
      <c r="K1695" s="2">
        <v>100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/>
      <c r="AM1695" s="2" t="s">
        <v>110</v>
      </c>
      <c r="AN1695" s="2">
        <f t="shared" si="263"/>
        <v>0</v>
      </c>
      <c r="AO1695" s="2">
        <f t="shared" si="264"/>
        <v>0</v>
      </c>
      <c r="AP1695" s="2">
        <f t="shared" si="265"/>
        <v>0</v>
      </c>
      <c r="AQ1695" s="2">
        <f t="shared" si="266"/>
        <v>0</v>
      </c>
      <c r="AR1695" s="2">
        <f t="shared" si="267"/>
        <v>0</v>
      </c>
      <c r="AS1695" s="2">
        <f t="shared" si="268"/>
        <v>0</v>
      </c>
      <c r="AT1695" s="25">
        <f t="shared" si="269"/>
        <v>0</v>
      </c>
    </row>
    <row r="1696" spans="1:46">
      <c r="A1696" s="24">
        <v>46140</v>
      </c>
      <c r="B1696" s="23">
        <f t="shared" si="261"/>
        <v>46113</v>
      </c>
      <c r="C1696" s="2" t="s">
        <v>97</v>
      </c>
      <c r="D1696" s="2" t="s">
        <v>402</v>
      </c>
      <c r="E1696" s="2">
        <v>6237</v>
      </c>
      <c r="F1696" s="2">
        <v>30</v>
      </c>
      <c r="G1696" s="2">
        <v>30</v>
      </c>
      <c r="H1696" s="2">
        <v>28</v>
      </c>
      <c r="I1696" s="2">
        <f t="shared" si="262"/>
        <v>2</v>
      </c>
      <c r="J1696" s="44" t="s">
        <v>110</v>
      </c>
      <c r="K1696" s="2">
        <v>100</v>
      </c>
      <c r="L1696" s="2">
        <v>1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1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/>
      <c r="AM1696" s="2" t="s">
        <v>110</v>
      </c>
      <c r="AN1696" s="2">
        <f t="shared" si="263"/>
        <v>1</v>
      </c>
      <c r="AO1696" s="2">
        <f t="shared" si="264"/>
        <v>0</v>
      </c>
      <c r="AP1696" s="2">
        <f t="shared" si="265"/>
        <v>1</v>
      </c>
      <c r="AQ1696" s="2">
        <f t="shared" si="266"/>
        <v>0</v>
      </c>
      <c r="AR1696" s="2">
        <f t="shared" si="267"/>
        <v>0</v>
      </c>
      <c r="AS1696" s="2">
        <f t="shared" si="268"/>
        <v>0</v>
      </c>
      <c r="AT1696" s="25">
        <f t="shared" si="269"/>
        <v>0</v>
      </c>
    </row>
    <row r="1697" spans="1:46">
      <c r="A1697" s="24">
        <v>46140</v>
      </c>
      <c r="B1697" s="23">
        <f t="shared" si="261"/>
        <v>46113</v>
      </c>
      <c r="C1697" s="2" t="s">
        <v>97</v>
      </c>
      <c r="D1697" s="2" t="s">
        <v>384</v>
      </c>
      <c r="E1697" s="2">
        <v>7147</v>
      </c>
      <c r="F1697" s="2">
        <v>26</v>
      </c>
      <c r="G1697" s="2">
        <v>26</v>
      </c>
      <c r="H1697" s="2">
        <v>26</v>
      </c>
      <c r="I1697" s="2">
        <f t="shared" si="262"/>
        <v>0</v>
      </c>
      <c r="J1697" s="44" t="s">
        <v>110</v>
      </c>
      <c r="K1697" s="2">
        <v>100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/>
      <c r="AM1697" s="2" t="s">
        <v>110</v>
      </c>
      <c r="AN1697" s="2">
        <f t="shared" si="263"/>
        <v>0</v>
      </c>
      <c r="AO1697" s="2">
        <f t="shared" si="264"/>
        <v>0</v>
      </c>
      <c r="AP1697" s="2">
        <f t="shared" si="265"/>
        <v>0</v>
      </c>
      <c r="AQ1697" s="2">
        <f t="shared" si="266"/>
        <v>0</v>
      </c>
      <c r="AR1697" s="2">
        <f t="shared" si="267"/>
        <v>0</v>
      </c>
      <c r="AS1697" s="2">
        <f t="shared" si="268"/>
        <v>0</v>
      </c>
      <c r="AT1697" s="25">
        <f t="shared" si="269"/>
        <v>0</v>
      </c>
    </row>
    <row r="1698" spans="1:46">
      <c r="A1698" s="24">
        <v>46140</v>
      </c>
      <c r="B1698" s="23">
        <f t="shared" si="261"/>
        <v>46113</v>
      </c>
      <c r="C1698" s="2" t="s">
        <v>95</v>
      </c>
      <c r="D1698" s="2" t="s">
        <v>92</v>
      </c>
      <c r="E1698" s="2">
        <v>2481</v>
      </c>
      <c r="F1698" s="2">
        <v>36</v>
      </c>
      <c r="G1698" s="2">
        <v>36</v>
      </c>
      <c r="H1698" s="2">
        <v>36</v>
      </c>
      <c r="I1698" s="2">
        <f t="shared" si="262"/>
        <v>0</v>
      </c>
      <c r="J1698" s="44" t="s">
        <v>1567</v>
      </c>
      <c r="K1698" s="2">
        <v>100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/>
      <c r="AM1698" s="2" t="s">
        <v>1567</v>
      </c>
      <c r="AN1698" s="2">
        <f t="shared" si="263"/>
        <v>0</v>
      </c>
      <c r="AO1698" s="2">
        <f t="shared" si="264"/>
        <v>0</v>
      </c>
      <c r="AP1698" s="2">
        <f t="shared" si="265"/>
        <v>0</v>
      </c>
      <c r="AQ1698" s="2">
        <f t="shared" si="266"/>
        <v>0</v>
      </c>
      <c r="AR1698" s="2">
        <f t="shared" si="267"/>
        <v>0</v>
      </c>
      <c r="AS1698" s="2">
        <f t="shared" si="268"/>
        <v>0</v>
      </c>
      <c r="AT1698" s="25">
        <f t="shared" si="269"/>
        <v>0</v>
      </c>
    </row>
    <row r="1699" spans="1:46">
      <c r="A1699" s="24">
        <v>46140</v>
      </c>
      <c r="B1699" s="23">
        <f t="shared" si="261"/>
        <v>46113</v>
      </c>
      <c r="C1699" s="2" t="s">
        <v>55</v>
      </c>
      <c r="D1699" s="2" t="s">
        <v>332</v>
      </c>
      <c r="E1699" s="2">
        <v>2594</v>
      </c>
      <c r="F1699" s="2">
        <v>32</v>
      </c>
      <c r="G1699" s="2">
        <v>32</v>
      </c>
      <c r="H1699" s="2">
        <v>31</v>
      </c>
      <c r="I1699" s="2">
        <f t="shared" si="262"/>
        <v>1</v>
      </c>
      <c r="J1699" s="44" t="s">
        <v>1566</v>
      </c>
      <c r="K1699" s="2">
        <v>100</v>
      </c>
      <c r="L1699" s="2">
        <v>1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/>
      <c r="AM1699" s="2" t="s">
        <v>1566</v>
      </c>
      <c r="AN1699" s="2">
        <f t="shared" si="263"/>
        <v>1</v>
      </c>
      <c r="AO1699" s="2">
        <f t="shared" si="264"/>
        <v>0</v>
      </c>
      <c r="AP1699" s="2">
        <f t="shared" si="265"/>
        <v>0</v>
      </c>
      <c r="AQ1699" s="2">
        <f t="shared" si="266"/>
        <v>0</v>
      </c>
      <c r="AR1699" s="2">
        <f t="shared" si="267"/>
        <v>0</v>
      </c>
      <c r="AS1699" s="2">
        <f t="shared" si="268"/>
        <v>0</v>
      </c>
      <c r="AT1699" s="25">
        <f t="shared" si="269"/>
        <v>0</v>
      </c>
    </row>
    <row r="1700" spans="1:46">
      <c r="A1700" s="24">
        <v>46140</v>
      </c>
      <c r="B1700" s="23">
        <f t="shared" si="261"/>
        <v>46113</v>
      </c>
      <c r="C1700" s="2" t="s">
        <v>55</v>
      </c>
      <c r="D1700" s="2" t="s">
        <v>170</v>
      </c>
      <c r="E1700" s="2">
        <v>2593</v>
      </c>
      <c r="F1700" s="2">
        <v>32</v>
      </c>
      <c r="G1700" s="2">
        <v>32</v>
      </c>
      <c r="H1700" s="2">
        <v>31</v>
      </c>
      <c r="I1700" s="2">
        <f t="shared" si="262"/>
        <v>1</v>
      </c>
      <c r="J1700" s="44" t="s">
        <v>1566</v>
      </c>
      <c r="K1700" s="2">
        <v>100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1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/>
      <c r="AM1700" s="2" t="s">
        <v>1566</v>
      </c>
      <c r="AN1700" s="2">
        <f t="shared" si="263"/>
        <v>0</v>
      </c>
      <c r="AO1700" s="2">
        <f t="shared" si="264"/>
        <v>1</v>
      </c>
      <c r="AP1700" s="2">
        <f t="shared" si="265"/>
        <v>0</v>
      </c>
      <c r="AQ1700" s="2">
        <f t="shared" si="266"/>
        <v>0</v>
      </c>
      <c r="AR1700" s="2">
        <f t="shared" si="267"/>
        <v>0</v>
      </c>
      <c r="AS1700" s="2">
        <f t="shared" si="268"/>
        <v>0</v>
      </c>
      <c r="AT1700" s="25">
        <f t="shared" si="269"/>
        <v>0</v>
      </c>
    </row>
    <row r="1701" spans="1:46">
      <c r="A1701" s="24">
        <v>46140</v>
      </c>
      <c r="B1701" s="23">
        <f t="shared" si="261"/>
        <v>46113</v>
      </c>
      <c r="C1701" s="2" t="s">
        <v>55</v>
      </c>
      <c r="D1701" s="2" t="s">
        <v>1225</v>
      </c>
      <c r="E1701" s="2">
        <v>6314</v>
      </c>
      <c r="F1701" s="2">
        <v>46</v>
      </c>
      <c r="G1701" s="2">
        <v>46</v>
      </c>
      <c r="H1701" s="2">
        <v>39</v>
      </c>
      <c r="I1701" s="2">
        <f t="shared" si="262"/>
        <v>7</v>
      </c>
      <c r="J1701" s="44" t="s">
        <v>1566</v>
      </c>
      <c r="K1701" s="2">
        <v>100</v>
      </c>
      <c r="L1701" s="2">
        <v>7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/>
      <c r="AM1701" s="2" t="s">
        <v>1566</v>
      </c>
      <c r="AN1701" s="2">
        <f t="shared" si="263"/>
        <v>7</v>
      </c>
      <c r="AO1701" s="2">
        <f t="shared" si="264"/>
        <v>0</v>
      </c>
      <c r="AP1701" s="2">
        <f t="shared" si="265"/>
        <v>0</v>
      </c>
      <c r="AQ1701" s="2">
        <f t="shared" si="266"/>
        <v>0</v>
      </c>
      <c r="AR1701" s="2">
        <f t="shared" si="267"/>
        <v>0</v>
      </c>
      <c r="AS1701" s="2">
        <f t="shared" si="268"/>
        <v>0</v>
      </c>
      <c r="AT1701" s="25">
        <f t="shared" si="269"/>
        <v>0</v>
      </c>
    </row>
    <row r="1702" spans="1:46">
      <c r="A1702" s="24">
        <v>46141</v>
      </c>
      <c r="B1702" s="23">
        <f t="shared" si="261"/>
        <v>46113</v>
      </c>
      <c r="C1702" s="2" t="s">
        <v>62</v>
      </c>
      <c r="D1702" s="2" t="s">
        <v>359</v>
      </c>
      <c r="E1702" s="2">
        <v>3246</v>
      </c>
      <c r="F1702" s="2">
        <v>63</v>
      </c>
      <c r="G1702" s="2">
        <v>63</v>
      </c>
      <c r="H1702" s="2">
        <v>63</v>
      </c>
      <c r="I1702" s="2">
        <f t="shared" si="262"/>
        <v>0</v>
      </c>
      <c r="J1702" s="44" t="s">
        <v>77</v>
      </c>
      <c r="K1702" s="2">
        <v>100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/>
      <c r="AM1702" s="2" t="s">
        <v>77</v>
      </c>
      <c r="AN1702" s="2">
        <f t="shared" si="263"/>
        <v>0</v>
      </c>
      <c r="AO1702" s="2">
        <f t="shared" si="264"/>
        <v>0</v>
      </c>
      <c r="AP1702" s="2">
        <f t="shared" si="265"/>
        <v>0</v>
      </c>
      <c r="AQ1702" s="2">
        <f t="shared" si="266"/>
        <v>0</v>
      </c>
      <c r="AR1702" s="2">
        <f t="shared" si="267"/>
        <v>0</v>
      </c>
      <c r="AS1702" s="2">
        <f t="shared" si="268"/>
        <v>0</v>
      </c>
      <c r="AT1702" s="25">
        <f t="shared" si="269"/>
        <v>0</v>
      </c>
    </row>
    <row r="1703" spans="1:46">
      <c r="A1703" s="24">
        <v>46141</v>
      </c>
      <c r="B1703" s="23">
        <f t="shared" si="261"/>
        <v>46113</v>
      </c>
      <c r="C1703" s="2" t="s">
        <v>63</v>
      </c>
      <c r="D1703" s="2" t="s">
        <v>293</v>
      </c>
      <c r="E1703" s="2">
        <v>3247</v>
      </c>
      <c r="F1703" s="2">
        <v>295</v>
      </c>
      <c r="G1703" s="2">
        <v>295</v>
      </c>
      <c r="H1703" s="2">
        <v>278</v>
      </c>
      <c r="I1703" s="2">
        <f t="shared" si="262"/>
        <v>17</v>
      </c>
      <c r="J1703" s="44" t="s">
        <v>77</v>
      </c>
      <c r="K1703" s="2">
        <v>100</v>
      </c>
      <c r="L1703" s="2">
        <v>15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2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/>
      <c r="AM1703" s="2" t="s">
        <v>77</v>
      </c>
      <c r="AN1703" s="2">
        <f t="shared" si="263"/>
        <v>15</v>
      </c>
      <c r="AO1703" s="2">
        <f t="shared" si="264"/>
        <v>2</v>
      </c>
      <c r="AP1703" s="2">
        <f t="shared" si="265"/>
        <v>0</v>
      </c>
      <c r="AQ1703" s="2">
        <f t="shared" si="266"/>
        <v>0</v>
      </c>
      <c r="AR1703" s="2">
        <f t="shared" si="267"/>
        <v>0</v>
      </c>
      <c r="AS1703" s="2">
        <f t="shared" si="268"/>
        <v>0</v>
      </c>
      <c r="AT1703" s="25">
        <f t="shared" si="269"/>
        <v>0</v>
      </c>
    </row>
    <row r="1704" spans="1:46">
      <c r="A1704" s="24">
        <v>46141</v>
      </c>
      <c r="B1704" s="23">
        <f t="shared" si="261"/>
        <v>46113</v>
      </c>
      <c r="C1704" s="2" t="s">
        <v>62</v>
      </c>
      <c r="D1704" s="2" t="s">
        <v>124</v>
      </c>
      <c r="E1704" s="2">
        <v>3245</v>
      </c>
      <c r="F1704" s="2">
        <v>48</v>
      </c>
      <c r="G1704" s="2">
        <v>48</v>
      </c>
      <c r="H1704" s="2">
        <v>47</v>
      </c>
      <c r="I1704" s="2">
        <f t="shared" si="262"/>
        <v>1</v>
      </c>
      <c r="J1704" s="44" t="s">
        <v>77</v>
      </c>
      <c r="K1704" s="2">
        <v>100</v>
      </c>
      <c r="L1704" s="2">
        <v>1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/>
      <c r="AM1704" s="2" t="s">
        <v>77</v>
      </c>
      <c r="AN1704" s="2">
        <f t="shared" si="263"/>
        <v>1</v>
      </c>
      <c r="AO1704" s="2">
        <f t="shared" si="264"/>
        <v>0</v>
      </c>
      <c r="AP1704" s="2">
        <f t="shared" si="265"/>
        <v>0</v>
      </c>
      <c r="AQ1704" s="2">
        <f t="shared" si="266"/>
        <v>0</v>
      </c>
      <c r="AR1704" s="2">
        <f t="shared" si="267"/>
        <v>0</v>
      </c>
      <c r="AS1704" s="2">
        <f t="shared" si="268"/>
        <v>0</v>
      </c>
      <c r="AT1704" s="25">
        <f t="shared" si="269"/>
        <v>0</v>
      </c>
    </row>
    <row r="1705" spans="1:46">
      <c r="A1705" s="24">
        <v>46141</v>
      </c>
      <c r="B1705" s="23">
        <f t="shared" si="261"/>
        <v>46113</v>
      </c>
      <c r="C1705" s="2" t="s">
        <v>62</v>
      </c>
      <c r="D1705" s="2" t="s">
        <v>410</v>
      </c>
      <c r="E1705" s="2">
        <v>6284</v>
      </c>
      <c r="F1705" s="2">
        <v>26</v>
      </c>
      <c r="G1705" s="2">
        <v>26</v>
      </c>
      <c r="H1705" s="2">
        <v>26</v>
      </c>
      <c r="I1705" s="2">
        <f t="shared" si="262"/>
        <v>0</v>
      </c>
      <c r="J1705" s="44" t="s">
        <v>80</v>
      </c>
      <c r="K1705" s="2">
        <v>100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/>
      <c r="AM1705" s="2" t="s">
        <v>80</v>
      </c>
      <c r="AN1705" s="2">
        <f t="shared" si="263"/>
        <v>0</v>
      </c>
      <c r="AO1705" s="2">
        <f t="shared" si="264"/>
        <v>0</v>
      </c>
      <c r="AP1705" s="2">
        <f t="shared" si="265"/>
        <v>0</v>
      </c>
      <c r="AQ1705" s="2">
        <f t="shared" si="266"/>
        <v>0</v>
      </c>
      <c r="AR1705" s="2">
        <f t="shared" si="267"/>
        <v>0</v>
      </c>
      <c r="AS1705" s="2">
        <f t="shared" si="268"/>
        <v>0</v>
      </c>
      <c r="AT1705" s="25">
        <f t="shared" si="269"/>
        <v>0</v>
      </c>
    </row>
    <row r="1706" spans="1:46">
      <c r="A1706" s="24">
        <v>46141</v>
      </c>
      <c r="B1706" s="23">
        <f t="shared" si="261"/>
        <v>46113</v>
      </c>
      <c r="C1706" s="2" t="s">
        <v>62</v>
      </c>
      <c r="D1706" s="2" t="s">
        <v>411</v>
      </c>
      <c r="E1706" s="2">
        <v>6284</v>
      </c>
      <c r="F1706" s="2">
        <v>29</v>
      </c>
      <c r="G1706" s="2">
        <v>29</v>
      </c>
      <c r="H1706" s="2">
        <v>28</v>
      </c>
      <c r="I1706" s="2">
        <f t="shared" si="262"/>
        <v>1</v>
      </c>
      <c r="J1706" s="44" t="s">
        <v>80</v>
      </c>
      <c r="K1706" s="2">
        <v>100</v>
      </c>
      <c r="L1706" s="2">
        <v>1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/>
      <c r="AM1706" s="2" t="s">
        <v>80</v>
      </c>
      <c r="AN1706" s="2">
        <f t="shared" si="263"/>
        <v>1</v>
      </c>
      <c r="AO1706" s="2">
        <f t="shared" si="264"/>
        <v>0</v>
      </c>
      <c r="AP1706" s="2">
        <f t="shared" si="265"/>
        <v>0</v>
      </c>
      <c r="AQ1706" s="2">
        <f t="shared" si="266"/>
        <v>0</v>
      </c>
      <c r="AR1706" s="2">
        <f t="shared" si="267"/>
        <v>0</v>
      </c>
      <c r="AS1706" s="2">
        <f t="shared" si="268"/>
        <v>0</v>
      </c>
      <c r="AT1706" s="25">
        <f t="shared" si="269"/>
        <v>0</v>
      </c>
    </row>
    <row r="1707" spans="1:46">
      <c r="A1707" s="24">
        <v>46141</v>
      </c>
      <c r="B1707" s="23">
        <f t="shared" si="261"/>
        <v>46113</v>
      </c>
      <c r="C1707" s="2" t="s">
        <v>97</v>
      </c>
      <c r="D1707" s="2" t="s">
        <v>419</v>
      </c>
      <c r="E1707" s="2">
        <v>6237</v>
      </c>
      <c r="F1707" s="2">
        <v>36</v>
      </c>
      <c r="G1707" s="2">
        <v>36</v>
      </c>
      <c r="H1707" s="2">
        <v>26</v>
      </c>
      <c r="I1707" s="2">
        <f t="shared" si="262"/>
        <v>10</v>
      </c>
      <c r="J1707" s="44" t="s">
        <v>80</v>
      </c>
      <c r="K1707" s="2">
        <v>100</v>
      </c>
      <c r="L1707" s="2">
        <v>2</v>
      </c>
      <c r="M1707" s="2">
        <v>0</v>
      </c>
      <c r="N1707" s="2">
        <v>0</v>
      </c>
      <c r="O1707" s="2">
        <v>0</v>
      </c>
      <c r="P1707" s="2">
        <v>4</v>
      </c>
      <c r="Q1707" s="2">
        <v>0</v>
      </c>
      <c r="R1707" s="2">
        <v>0</v>
      </c>
      <c r="S1707" s="2">
        <v>0</v>
      </c>
      <c r="T1707" s="2">
        <v>4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/>
      <c r="AM1707" s="2" t="s">
        <v>80</v>
      </c>
      <c r="AN1707" s="2">
        <f t="shared" si="263"/>
        <v>2</v>
      </c>
      <c r="AO1707" s="2">
        <f t="shared" si="264"/>
        <v>8</v>
      </c>
      <c r="AP1707" s="2">
        <f t="shared" si="265"/>
        <v>0</v>
      </c>
      <c r="AQ1707" s="2">
        <f t="shared" si="266"/>
        <v>0</v>
      </c>
      <c r="AR1707" s="2">
        <f t="shared" si="267"/>
        <v>0</v>
      </c>
      <c r="AS1707" s="2">
        <f t="shared" si="268"/>
        <v>0</v>
      </c>
      <c r="AT1707" s="25">
        <f t="shared" si="269"/>
        <v>0</v>
      </c>
    </row>
    <row r="1708" spans="1:46">
      <c r="A1708" s="24">
        <v>46141</v>
      </c>
      <c r="B1708" s="23">
        <f t="shared" si="261"/>
        <v>46113</v>
      </c>
      <c r="C1708" s="2" t="s">
        <v>55</v>
      </c>
      <c r="D1708" s="2" t="s">
        <v>332</v>
      </c>
      <c r="E1708" s="2">
        <v>2594</v>
      </c>
      <c r="F1708" s="2">
        <v>290</v>
      </c>
      <c r="G1708" s="2">
        <v>290</v>
      </c>
      <c r="H1708" s="2">
        <v>288</v>
      </c>
      <c r="I1708" s="2">
        <f t="shared" si="262"/>
        <v>2</v>
      </c>
      <c r="J1708" s="44" t="s">
        <v>80</v>
      </c>
      <c r="K1708" s="2">
        <v>100</v>
      </c>
      <c r="L1708" s="2">
        <v>2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/>
      <c r="AM1708" s="2" t="s">
        <v>80</v>
      </c>
      <c r="AN1708" s="2">
        <f t="shared" si="263"/>
        <v>2</v>
      </c>
      <c r="AO1708" s="2">
        <f t="shared" si="264"/>
        <v>0</v>
      </c>
      <c r="AP1708" s="2">
        <f t="shared" si="265"/>
        <v>0</v>
      </c>
      <c r="AQ1708" s="2">
        <f t="shared" si="266"/>
        <v>0</v>
      </c>
      <c r="AR1708" s="2">
        <f t="shared" si="267"/>
        <v>0</v>
      </c>
      <c r="AS1708" s="2">
        <f t="shared" si="268"/>
        <v>0</v>
      </c>
      <c r="AT1708" s="25">
        <f t="shared" si="269"/>
        <v>0</v>
      </c>
    </row>
    <row r="1709" spans="1:46">
      <c r="A1709" s="24">
        <v>46141</v>
      </c>
      <c r="B1709" s="23">
        <f t="shared" si="261"/>
        <v>46113</v>
      </c>
      <c r="C1709" s="2" t="s">
        <v>62</v>
      </c>
      <c r="D1709" s="2" t="s">
        <v>411</v>
      </c>
      <c r="E1709" s="2">
        <v>6284</v>
      </c>
      <c r="F1709" s="2">
        <v>50</v>
      </c>
      <c r="G1709" s="2">
        <v>50</v>
      </c>
      <c r="H1709" s="2">
        <v>50</v>
      </c>
      <c r="I1709" s="2">
        <f t="shared" si="262"/>
        <v>0</v>
      </c>
      <c r="J1709" s="44" t="s">
        <v>80</v>
      </c>
      <c r="K1709" s="2">
        <v>100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/>
      <c r="AM1709" s="2" t="s">
        <v>80</v>
      </c>
      <c r="AN1709" s="2">
        <f t="shared" si="263"/>
        <v>0</v>
      </c>
      <c r="AO1709" s="2">
        <f t="shared" si="264"/>
        <v>0</v>
      </c>
      <c r="AP1709" s="2">
        <f t="shared" si="265"/>
        <v>0</v>
      </c>
      <c r="AQ1709" s="2">
        <f t="shared" si="266"/>
        <v>0</v>
      </c>
      <c r="AR1709" s="2">
        <f t="shared" si="267"/>
        <v>0</v>
      </c>
      <c r="AS1709" s="2">
        <f t="shared" si="268"/>
        <v>0</v>
      </c>
      <c r="AT1709" s="25">
        <f t="shared" si="269"/>
        <v>0</v>
      </c>
    </row>
    <row r="1710" spans="1:46">
      <c r="A1710" s="24">
        <v>46141</v>
      </c>
      <c r="B1710" s="23">
        <f t="shared" si="261"/>
        <v>46113</v>
      </c>
      <c r="C1710" s="2" t="s">
        <v>55</v>
      </c>
      <c r="D1710" s="2" t="s">
        <v>332</v>
      </c>
      <c r="E1710" s="2">
        <v>2594</v>
      </c>
      <c r="F1710" s="2">
        <v>79</v>
      </c>
      <c r="G1710" s="2">
        <v>79</v>
      </c>
      <c r="H1710" s="2">
        <v>79</v>
      </c>
      <c r="I1710" s="2">
        <f t="shared" si="262"/>
        <v>0</v>
      </c>
      <c r="J1710" s="44" t="s">
        <v>80</v>
      </c>
      <c r="K1710" s="2">
        <v>100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/>
      <c r="AM1710" s="2" t="s">
        <v>80</v>
      </c>
      <c r="AN1710" s="2">
        <f t="shared" si="263"/>
        <v>0</v>
      </c>
      <c r="AO1710" s="2">
        <f t="shared" si="264"/>
        <v>0</v>
      </c>
      <c r="AP1710" s="2">
        <f t="shared" si="265"/>
        <v>0</v>
      </c>
      <c r="AQ1710" s="2">
        <f t="shared" si="266"/>
        <v>0</v>
      </c>
      <c r="AR1710" s="2">
        <f t="shared" si="267"/>
        <v>0</v>
      </c>
      <c r="AS1710" s="2">
        <f t="shared" si="268"/>
        <v>0</v>
      </c>
      <c r="AT1710" s="25">
        <f t="shared" si="269"/>
        <v>0</v>
      </c>
    </row>
    <row r="1711" spans="1:46">
      <c r="A1711" s="24">
        <v>46141</v>
      </c>
      <c r="B1711" s="23">
        <f t="shared" si="261"/>
        <v>46113</v>
      </c>
      <c r="C1711" s="2" t="s">
        <v>95</v>
      </c>
      <c r="D1711" s="2" t="s">
        <v>347</v>
      </c>
      <c r="E1711" s="2">
        <v>3240</v>
      </c>
      <c r="F1711" s="2">
        <v>978</v>
      </c>
      <c r="G1711" s="2">
        <v>978</v>
      </c>
      <c r="H1711" s="2">
        <v>948</v>
      </c>
      <c r="I1711" s="2">
        <f t="shared" si="262"/>
        <v>30</v>
      </c>
      <c r="J1711" s="44" t="s">
        <v>1567</v>
      </c>
      <c r="K1711" s="2">
        <v>100</v>
      </c>
      <c r="L1711" s="2">
        <v>27</v>
      </c>
      <c r="M1711" s="2">
        <v>3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/>
      <c r="AM1711" s="2" t="s">
        <v>1567</v>
      </c>
      <c r="AN1711" s="2">
        <f t="shared" si="263"/>
        <v>27</v>
      </c>
      <c r="AO1711" s="2">
        <f t="shared" si="264"/>
        <v>3</v>
      </c>
      <c r="AP1711" s="2">
        <f t="shared" si="265"/>
        <v>0</v>
      </c>
      <c r="AQ1711" s="2">
        <f t="shared" si="266"/>
        <v>0</v>
      </c>
      <c r="AR1711" s="2">
        <f t="shared" si="267"/>
        <v>0</v>
      </c>
      <c r="AS1711" s="2">
        <f t="shared" si="268"/>
        <v>0</v>
      </c>
      <c r="AT1711" s="25">
        <f t="shared" si="269"/>
        <v>0</v>
      </c>
    </row>
    <row r="1712" spans="1:46">
      <c r="A1712" s="24">
        <v>46141</v>
      </c>
      <c r="B1712" s="23">
        <f t="shared" si="261"/>
        <v>46113</v>
      </c>
      <c r="C1712" s="2" t="s">
        <v>46</v>
      </c>
      <c r="D1712" s="2" t="s">
        <v>392</v>
      </c>
      <c r="E1712" s="2">
        <v>3236</v>
      </c>
      <c r="F1712" s="2">
        <v>43</v>
      </c>
      <c r="G1712" s="2">
        <v>43</v>
      </c>
      <c r="H1712" s="2">
        <v>42</v>
      </c>
      <c r="I1712" s="2">
        <f t="shared" si="262"/>
        <v>1</v>
      </c>
      <c r="J1712" s="44" t="s">
        <v>1567</v>
      </c>
      <c r="K1712" s="2">
        <v>100</v>
      </c>
      <c r="L1712" s="2">
        <v>1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/>
      <c r="AM1712" s="2" t="s">
        <v>1567</v>
      </c>
      <c r="AN1712" s="2">
        <f t="shared" si="263"/>
        <v>1</v>
      </c>
      <c r="AO1712" s="2">
        <f t="shared" si="264"/>
        <v>0</v>
      </c>
      <c r="AP1712" s="2">
        <f t="shared" si="265"/>
        <v>0</v>
      </c>
      <c r="AQ1712" s="2">
        <f t="shared" si="266"/>
        <v>0</v>
      </c>
      <c r="AR1712" s="2">
        <f t="shared" si="267"/>
        <v>0</v>
      </c>
      <c r="AS1712" s="2">
        <f t="shared" si="268"/>
        <v>0</v>
      </c>
      <c r="AT1712" s="25">
        <f t="shared" si="269"/>
        <v>0</v>
      </c>
    </row>
    <row r="1713" spans="1:46">
      <c r="A1713" s="24">
        <v>46141</v>
      </c>
      <c r="B1713" s="23">
        <f t="shared" si="261"/>
        <v>46113</v>
      </c>
      <c r="C1713" s="2" t="s">
        <v>95</v>
      </c>
      <c r="D1713" s="2" t="s">
        <v>250</v>
      </c>
      <c r="E1713" s="2">
        <v>1865</v>
      </c>
      <c r="F1713" s="2">
        <v>32</v>
      </c>
      <c r="G1713" s="2">
        <v>32</v>
      </c>
      <c r="H1713" s="2">
        <v>32</v>
      </c>
      <c r="I1713" s="2">
        <f t="shared" si="262"/>
        <v>0</v>
      </c>
      <c r="J1713" s="44" t="s">
        <v>1567</v>
      </c>
      <c r="K1713" s="2">
        <v>100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/>
      <c r="AM1713" s="2" t="s">
        <v>1567</v>
      </c>
      <c r="AN1713" s="2">
        <f t="shared" si="263"/>
        <v>0</v>
      </c>
      <c r="AO1713" s="2">
        <f t="shared" si="264"/>
        <v>0</v>
      </c>
      <c r="AP1713" s="2">
        <f t="shared" si="265"/>
        <v>0</v>
      </c>
      <c r="AQ1713" s="2">
        <f t="shared" si="266"/>
        <v>0</v>
      </c>
      <c r="AR1713" s="2">
        <f t="shared" si="267"/>
        <v>0</v>
      </c>
      <c r="AS1713" s="2">
        <f t="shared" si="268"/>
        <v>0</v>
      </c>
      <c r="AT1713" s="25">
        <f t="shared" si="269"/>
        <v>0</v>
      </c>
    </row>
    <row r="1714" spans="1:46">
      <c r="A1714" s="24">
        <v>46141</v>
      </c>
      <c r="B1714" s="23">
        <f t="shared" si="261"/>
        <v>46113</v>
      </c>
      <c r="C1714" s="2" t="s">
        <v>114</v>
      </c>
      <c r="D1714" s="2" t="s">
        <v>1413</v>
      </c>
      <c r="E1714" s="2">
        <v>6206</v>
      </c>
      <c r="F1714" s="2">
        <v>31</v>
      </c>
      <c r="G1714" s="2">
        <v>31</v>
      </c>
      <c r="H1714" s="2">
        <v>27</v>
      </c>
      <c r="I1714" s="2">
        <f t="shared" si="262"/>
        <v>4</v>
      </c>
      <c r="J1714" s="44" t="s">
        <v>103</v>
      </c>
      <c r="K1714" s="2">
        <v>100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4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/>
      <c r="AM1714" s="2" t="s">
        <v>103</v>
      </c>
      <c r="AN1714" s="2">
        <f t="shared" si="263"/>
        <v>0</v>
      </c>
      <c r="AO1714" s="2">
        <f t="shared" si="264"/>
        <v>4</v>
      </c>
      <c r="AP1714" s="2">
        <f t="shared" si="265"/>
        <v>0</v>
      </c>
      <c r="AQ1714" s="2">
        <f t="shared" si="266"/>
        <v>0</v>
      </c>
      <c r="AR1714" s="2">
        <f t="shared" si="267"/>
        <v>0</v>
      </c>
      <c r="AS1714" s="2">
        <f t="shared" si="268"/>
        <v>0</v>
      </c>
      <c r="AT1714" s="25">
        <f t="shared" si="269"/>
        <v>0</v>
      </c>
    </row>
    <row r="1715" spans="1:46">
      <c r="A1715" s="24">
        <v>46141</v>
      </c>
      <c r="B1715" s="23">
        <f t="shared" si="261"/>
        <v>46113</v>
      </c>
      <c r="C1715" s="2" t="s">
        <v>72</v>
      </c>
      <c r="D1715" s="2" t="s">
        <v>358</v>
      </c>
      <c r="E1715" s="2">
        <v>3273</v>
      </c>
      <c r="F1715" s="2">
        <v>51</v>
      </c>
      <c r="G1715" s="2">
        <v>51</v>
      </c>
      <c r="H1715" s="2">
        <v>50</v>
      </c>
      <c r="I1715" s="2">
        <f t="shared" si="262"/>
        <v>1</v>
      </c>
      <c r="J1715" s="44" t="s">
        <v>103</v>
      </c>
      <c r="K1715" s="2">
        <v>100</v>
      </c>
      <c r="L1715" s="2">
        <v>1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/>
      <c r="AM1715" s="2" t="s">
        <v>103</v>
      </c>
      <c r="AN1715" s="2">
        <f t="shared" si="263"/>
        <v>1</v>
      </c>
      <c r="AO1715" s="2">
        <f t="shared" si="264"/>
        <v>0</v>
      </c>
      <c r="AP1715" s="2">
        <f t="shared" si="265"/>
        <v>0</v>
      </c>
      <c r="AQ1715" s="2">
        <f t="shared" si="266"/>
        <v>0</v>
      </c>
      <c r="AR1715" s="2">
        <f t="shared" si="267"/>
        <v>0</v>
      </c>
      <c r="AS1715" s="2">
        <f t="shared" si="268"/>
        <v>0</v>
      </c>
      <c r="AT1715" s="25">
        <f t="shared" si="269"/>
        <v>0</v>
      </c>
    </row>
    <row r="1716" spans="1:46">
      <c r="A1716" s="24">
        <v>46141</v>
      </c>
      <c r="B1716" s="23">
        <f t="shared" si="261"/>
        <v>46113</v>
      </c>
      <c r="C1716" s="2" t="s">
        <v>114</v>
      </c>
      <c r="D1716" s="2" t="s">
        <v>180</v>
      </c>
      <c r="E1716" s="2">
        <v>3165</v>
      </c>
      <c r="F1716" s="2">
        <v>41</v>
      </c>
      <c r="G1716" s="2">
        <v>41</v>
      </c>
      <c r="H1716" s="2">
        <v>40</v>
      </c>
      <c r="I1716" s="2">
        <f t="shared" si="262"/>
        <v>1</v>
      </c>
      <c r="J1716" s="44" t="s">
        <v>103</v>
      </c>
      <c r="K1716" s="2">
        <v>100</v>
      </c>
      <c r="L1716" s="2">
        <v>1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/>
      <c r="AM1716" s="2" t="s">
        <v>103</v>
      </c>
      <c r="AN1716" s="2">
        <f t="shared" si="263"/>
        <v>1</v>
      </c>
      <c r="AO1716" s="2">
        <f t="shared" si="264"/>
        <v>0</v>
      </c>
      <c r="AP1716" s="2">
        <f t="shared" si="265"/>
        <v>0</v>
      </c>
      <c r="AQ1716" s="2">
        <f t="shared" si="266"/>
        <v>0</v>
      </c>
      <c r="AR1716" s="2">
        <f t="shared" si="267"/>
        <v>0</v>
      </c>
      <c r="AS1716" s="2">
        <f t="shared" si="268"/>
        <v>0</v>
      </c>
      <c r="AT1716" s="25">
        <f t="shared" si="269"/>
        <v>0</v>
      </c>
    </row>
    <row r="1717" spans="1:46">
      <c r="A1717" s="24">
        <v>46141</v>
      </c>
      <c r="B1717" s="23">
        <f t="shared" si="261"/>
        <v>46113</v>
      </c>
      <c r="C1717" s="2" t="s">
        <v>114</v>
      </c>
      <c r="D1717" s="2" t="s">
        <v>115</v>
      </c>
      <c r="E1717" s="2">
        <v>6208</v>
      </c>
      <c r="F1717" s="2">
        <v>50</v>
      </c>
      <c r="G1717" s="2">
        <v>50</v>
      </c>
      <c r="H1717" s="2">
        <v>50</v>
      </c>
      <c r="I1717" s="2">
        <f t="shared" si="262"/>
        <v>0</v>
      </c>
      <c r="J1717" s="44" t="s">
        <v>103</v>
      </c>
      <c r="K1717" s="2">
        <v>100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/>
      <c r="AM1717" s="2" t="s">
        <v>103</v>
      </c>
      <c r="AN1717" s="2">
        <f t="shared" si="263"/>
        <v>0</v>
      </c>
      <c r="AO1717" s="2">
        <f t="shared" si="264"/>
        <v>0</v>
      </c>
      <c r="AP1717" s="2">
        <f t="shared" si="265"/>
        <v>0</v>
      </c>
      <c r="AQ1717" s="2">
        <f t="shared" si="266"/>
        <v>0</v>
      </c>
      <c r="AR1717" s="2">
        <f t="shared" si="267"/>
        <v>0</v>
      </c>
      <c r="AS1717" s="2">
        <f t="shared" si="268"/>
        <v>0</v>
      </c>
      <c r="AT1717" s="25">
        <f t="shared" si="269"/>
        <v>0</v>
      </c>
    </row>
    <row r="1718" spans="1:46">
      <c r="A1718" s="24">
        <v>46141</v>
      </c>
      <c r="B1718" s="23">
        <f t="shared" si="261"/>
        <v>46113</v>
      </c>
      <c r="C1718" s="2" t="s">
        <v>114</v>
      </c>
      <c r="D1718" s="2" t="s">
        <v>365</v>
      </c>
      <c r="E1718" s="2">
        <v>3287</v>
      </c>
      <c r="F1718" s="2">
        <v>45</v>
      </c>
      <c r="G1718" s="2">
        <v>45</v>
      </c>
      <c r="H1718" s="2">
        <v>43</v>
      </c>
      <c r="I1718" s="2">
        <f t="shared" si="262"/>
        <v>2</v>
      </c>
      <c r="J1718" s="44" t="s">
        <v>1569</v>
      </c>
      <c r="K1718" s="2">
        <v>100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2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/>
      <c r="AM1718" s="2" t="s">
        <v>1569</v>
      </c>
      <c r="AN1718" s="2">
        <f t="shared" si="263"/>
        <v>0</v>
      </c>
      <c r="AO1718" s="2">
        <f t="shared" si="264"/>
        <v>0</v>
      </c>
      <c r="AP1718" s="2">
        <f t="shared" si="265"/>
        <v>0</v>
      </c>
      <c r="AQ1718" s="2">
        <f t="shared" si="266"/>
        <v>0</v>
      </c>
      <c r="AR1718" s="2">
        <f t="shared" si="267"/>
        <v>2</v>
      </c>
      <c r="AS1718" s="2">
        <f t="shared" si="268"/>
        <v>0</v>
      </c>
      <c r="AT1718" s="25">
        <f t="shared" si="269"/>
        <v>0</v>
      </c>
    </row>
    <row r="1719" spans="1:46">
      <c r="A1719" s="24">
        <v>46141</v>
      </c>
      <c r="B1719" s="23">
        <f t="shared" si="261"/>
        <v>46113</v>
      </c>
      <c r="C1719" s="2" t="s">
        <v>55</v>
      </c>
      <c r="D1719" s="2" t="s">
        <v>332</v>
      </c>
      <c r="E1719" s="2">
        <v>2594</v>
      </c>
      <c r="F1719" s="2">
        <v>372</v>
      </c>
      <c r="G1719" s="2">
        <v>372</v>
      </c>
      <c r="H1719" s="2">
        <v>356</v>
      </c>
      <c r="I1719" s="2">
        <f t="shared" si="262"/>
        <v>16</v>
      </c>
      <c r="J1719" s="44" t="s">
        <v>1566</v>
      </c>
      <c r="K1719" s="2">
        <v>100</v>
      </c>
      <c r="L1719" s="2">
        <v>16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/>
      <c r="AM1719" s="2" t="s">
        <v>1566</v>
      </c>
      <c r="AN1719" s="2">
        <f t="shared" si="263"/>
        <v>16</v>
      </c>
      <c r="AO1719" s="2">
        <f t="shared" si="264"/>
        <v>0</v>
      </c>
      <c r="AP1719" s="2">
        <f t="shared" si="265"/>
        <v>0</v>
      </c>
      <c r="AQ1719" s="2">
        <f t="shared" si="266"/>
        <v>0</v>
      </c>
      <c r="AR1719" s="2">
        <f t="shared" si="267"/>
        <v>0</v>
      </c>
      <c r="AS1719" s="2">
        <f t="shared" si="268"/>
        <v>0</v>
      </c>
      <c r="AT1719" s="25">
        <f t="shared" si="269"/>
        <v>0</v>
      </c>
    </row>
    <row r="1720" spans="1:46">
      <c r="A1720" s="24">
        <v>46141</v>
      </c>
      <c r="B1720" s="23">
        <f t="shared" si="261"/>
        <v>46113</v>
      </c>
      <c r="C1720" s="2" t="s">
        <v>62</v>
      </c>
      <c r="D1720" s="2" t="s">
        <v>106</v>
      </c>
      <c r="E1720" s="2">
        <v>3305</v>
      </c>
      <c r="F1720" s="2">
        <v>44</v>
      </c>
      <c r="G1720" s="2">
        <v>44</v>
      </c>
      <c r="H1720" s="2">
        <v>43</v>
      </c>
      <c r="I1720" s="2">
        <f t="shared" si="262"/>
        <v>1</v>
      </c>
      <c r="J1720" s="44" t="s">
        <v>1568</v>
      </c>
      <c r="K1720" s="2">
        <v>100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1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/>
      <c r="AM1720" s="2" t="s">
        <v>1568</v>
      </c>
      <c r="AN1720" s="2">
        <f t="shared" si="263"/>
        <v>0</v>
      </c>
      <c r="AO1720" s="2">
        <f t="shared" si="264"/>
        <v>1</v>
      </c>
      <c r="AP1720" s="2">
        <f t="shared" si="265"/>
        <v>0</v>
      </c>
      <c r="AQ1720" s="2">
        <f t="shared" si="266"/>
        <v>0</v>
      </c>
      <c r="AR1720" s="2">
        <f t="shared" si="267"/>
        <v>0</v>
      </c>
      <c r="AS1720" s="2">
        <f t="shared" si="268"/>
        <v>0</v>
      </c>
      <c r="AT1720" s="25">
        <f t="shared" si="269"/>
        <v>0</v>
      </c>
    </row>
    <row r="1721" spans="1:46">
      <c r="A1721" s="24">
        <v>46141</v>
      </c>
      <c r="B1721" s="23">
        <f t="shared" si="261"/>
        <v>46113</v>
      </c>
      <c r="C1721" s="2" t="s">
        <v>62</v>
      </c>
      <c r="D1721" s="2" t="s">
        <v>141</v>
      </c>
      <c r="E1721" s="2">
        <v>6282</v>
      </c>
      <c r="F1721" s="2">
        <v>40</v>
      </c>
      <c r="G1721" s="2">
        <v>40</v>
      </c>
      <c r="H1721" s="2">
        <v>40</v>
      </c>
      <c r="I1721" s="2">
        <f t="shared" si="262"/>
        <v>0</v>
      </c>
      <c r="J1721" s="44" t="s">
        <v>1568</v>
      </c>
      <c r="K1721" s="2">
        <v>100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/>
      <c r="AM1721" s="2" t="s">
        <v>1568</v>
      </c>
      <c r="AN1721" s="2">
        <f t="shared" si="263"/>
        <v>0</v>
      </c>
      <c r="AO1721" s="2">
        <f t="shared" si="264"/>
        <v>0</v>
      </c>
      <c r="AP1721" s="2">
        <f t="shared" si="265"/>
        <v>0</v>
      </c>
      <c r="AQ1721" s="2">
        <f t="shared" si="266"/>
        <v>0</v>
      </c>
      <c r="AR1721" s="2">
        <f t="shared" si="267"/>
        <v>0</v>
      </c>
      <c r="AS1721" s="2">
        <f t="shared" si="268"/>
        <v>0</v>
      </c>
      <c r="AT1721" s="25">
        <f t="shared" si="269"/>
        <v>0</v>
      </c>
    </row>
    <row r="1722" spans="1:46">
      <c r="A1722" s="24">
        <v>46141</v>
      </c>
      <c r="B1722" s="23">
        <f t="shared" si="261"/>
        <v>46113</v>
      </c>
      <c r="C1722" s="2" t="s">
        <v>62</v>
      </c>
      <c r="D1722" s="2" t="s">
        <v>208</v>
      </c>
      <c r="E1722" s="2">
        <v>3305</v>
      </c>
      <c r="F1722" s="2">
        <v>28</v>
      </c>
      <c r="G1722" s="2">
        <v>28</v>
      </c>
      <c r="H1722" s="2">
        <v>27</v>
      </c>
      <c r="I1722" s="2">
        <f t="shared" si="262"/>
        <v>1</v>
      </c>
      <c r="J1722" s="44" t="s">
        <v>1568</v>
      </c>
      <c r="K1722" s="2">
        <v>100</v>
      </c>
      <c r="L1722" s="2">
        <v>1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/>
      <c r="AM1722" s="2" t="s">
        <v>1568</v>
      </c>
      <c r="AN1722" s="2">
        <f t="shared" si="263"/>
        <v>1</v>
      </c>
      <c r="AO1722" s="2">
        <f t="shared" si="264"/>
        <v>0</v>
      </c>
      <c r="AP1722" s="2">
        <f t="shared" si="265"/>
        <v>0</v>
      </c>
      <c r="AQ1722" s="2">
        <f t="shared" si="266"/>
        <v>0</v>
      </c>
      <c r="AR1722" s="2">
        <f t="shared" si="267"/>
        <v>0</v>
      </c>
      <c r="AS1722" s="2">
        <f t="shared" si="268"/>
        <v>0</v>
      </c>
      <c r="AT1722" s="25">
        <f t="shared" si="269"/>
        <v>0</v>
      </c>
    </row>
    <row r="1723" spans="1:46">
      <c r="A1723" s="24">
        <v>46141</v>
      </c>
      <c r="B1723" s="23">
        <f t="shared" si="261"/>
        <v>46113</v>
      </c>
      <c r="C1723" s="2" t="s">
        <v>62</v>
      </c>
      <c r="D1723" s="2" t="s">
        <v>149</v>
      </c>
      <c r="E1723" s="2">
        <v>3305</v>
      </c>
      <c r="F1723" s="2">
        <v>43</v>
      </c>
      <c r="G1723" s="2">
        <v>43</v>
      </c>
      <c r="H1723" s="2">
        <v>43</v>
      </c>
      <c r="I1723" s="2">
        <f t="shared" si="262"/>
        <v>0</v>
      </c>
      <c r="J1723" s="44" t="s">
        <v>1568</v>
      </c>
      <c r="K1723" s="2">
        <v>100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/>
      <c r="AM1723" s="2" t="s">
        <v>1568</v>
      </c>
      <c r="AN1723" s="2">
        <f t="shared" si="263"/>
        <v>0</v>
      </c>
      <c r="AO1723" s="2">
        <f t="shared" si="264"/>
        <v>0</v>
      </c>
      <c r="AP1723" s="2">
        <f t="shared" si="265"/>
        <v>0</v>
      </c>
      <c r="AQ1723" s="2">
        <f t="shared" si="266"/>
        <v>0</v>
      </c>
      <c r="AR1723" s="2">
        <f t="shared" si="267"/>
        <v>0</v>
      </c>
      <c r="AS1723" s="2">
        <f t="shared" si="268"/>
        <v>0</v>
      </c>
      <c r="AT1723" s="25">
        <f t="shared" si="269"/>
        <v>0</v>
      </c>
    </row>
    <row r="1724" spans="1:46">
      <c r="A1724" s="24">
        <v>46141</v>
      </c>
      <c r="B1724" s="23">
        <f t="shared" si="261"/>
        <v>46113</v>
      </c>
      <c r="C1724" s="2" t="s">
        <v>62</v>
      </c>
      <c r="D1724" s="2" t="s">
        <v>293</v>
      </c>
      <c r="E1724" s="2">
        <v>3247</v>
      </c>
      <c r="F1724" s="2">
        <v>73</v>
      </c>
      <c r="G1724" s="2">
        <v>73</v>
      </c>
      <c r="H1724" s="2">
        <v>70</v>
      </c>
      <c r="I1724" s="2">
        <f t="shared" si="262"/>
        <v>3</v>
      </c>
      <c r="J1724" s="44" t="s">
        <v>1568</v>
      </c>
      <c r="K1724" s="2">
        <v>100</v>
      </c>
      <c r="L1724" s="2">
        <v>3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/>
      <c r="AM1724" s="2" t="s">
        <v>1568</v>
      </c>
      <c r="AN1724" s="2">
        <f t="shared" si="263"/>
        <v>3</v>
      </c>
      <c r="AO1724" s="2">
        <f t="shared" si="264"/>
        <v>0</v>
      </c>
      <c r="AP1724" s="2">
        <f t="shared" si="265"/>
        <v>0</v>
      </c>
      <c r="AQ1724" s="2">
        <f t="shared" si="266"/>
        <v>0</v>
      </c>
      <c r="AR1724" s="2">
        <f t="shared" si="267"/>
        <v>0</v>
      </c>
      <c r="AS1724" s="2">
        <f t="shared" si="268"/>
        <v>0</v>
      </c>
      <c r="AT1724" s="25">
        <f t="shared" si="269"/>
        <v>0</v>
      </c>
    </row>
    <row r="1725" spans="1:46">
      <c r="A1725" s="24">
        <v>46141</v>
      </c>
      <c r="B1725" s="23">
        <f t="shared" si="261"/>
        <v>46113</v>
      </c>
      <c r="C1725" s="2" t="s">
        <v>62</v>
      </c>
      <c r="D1725" s="2" t="s">
        <v>334</v>
      </c>
      <c r="E1725" s="2">
        <v>3246</v>
      </c>
      <c r="F1725" s="2">
        <v>429</v>
      </c>
      <c r="G1725" s="2">
        <v>429</v>
      </c>
      <c r="H1725" s="2">
        <v>416</v>
      </c>
      <c r="I1725" s="2">
        <f t="shared" si="262"/>
        <v>13</v>
      </c>
      <c r="J1725" s="44" t="s">
        <v>1568</v>
      </c>
      <c r="K1725" s="2">
        <v>100</v>
      </c>
      <c r="L1725" s="2">
        <v>12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1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/>
      <c r="AM1725" s="2" t="s">
        <v>1568</v>
      </c>
      <c r="AN1725" s="2">
        <f t="shared" si="263"/>
        <v>12</v>
      </c>
      <c r="AO1725" s="2">
        <f t="shared" si="264"/>
        <v>1</v>
      </c>
      <c r="AP1725" s="2">
        <f t="shared" si="265"/>
        <v>0</v>
      </c>
      <c r="AQ1725" s="2">
        <f t="shared" si="266"/>
        <v>0</v>
      </c>
      <c r="AR1725" s="2">
        <f t="shared" si="267"/>
        <v>0</v>
      </c>
      <c r="AS1725" s="2">
        <f t="shared" si="268"/>
        <v>0</v>
      </c>
      <c r="AT1725" s="25">
        <f t="shared" si="269"/>
        <v>0</v>
      </c>
    </row>
    <row r="1726" spans="1:46">
      <c r="A1726" s="24">
        <v>46141</v>
      </c>
      <c r="B1726" s="23">
        <f t="shared" si="261"/>
        <v>46113</v>
      </c>
      <c r="C1726" s="2" t="s">
        <v>62</v>
      </c>
      <c r="D1726" s="2" t="s">
        <v>1407</v>
      </c>
      <c r="E1726" s="2">
        <v>3330</v>
      </c>
      <c r="F1726" s="2">
        <v>18</v>
      </c>
      <c r="G1726" s="2">
        <v>18</v>
      </c>
      <c r="H1726" s="2">
        <v>18</v>
      </c>
      <c r="I1726" s="2">
        <f t="shared" si="262"/>
        <v>0</v>
      </c>
      <c r="J1726" s="44" t="s">
        <v>1568</v>
      </c>
      <c r="K1726" s="2">
        <v>100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/>
      <c r="AM1726" s="2" t="s">
        <v>1568</v>
      </c>
      <c r="AN1726" s="2">
        <f t="shared" si="263"/>
        <v>0</v>
      </c>
      <c r="AO1726" s="2">
        <f t="shared" si="264"/>
        <v>0</v>
      </c>
      <c r="AP1726" s="2">
        <f t="shared" si="265"/>
        <v>0</v>
      </c>
      <c r="AQ1726" s="2">
        <f t="shared" si="266"/>
        <v>0</v>
      </c>
      <c r="AR1726" s="2">
        <f t="shared" si="267"/>
        <v>0</v>
      </c>
      <c r="AS1726" s="2">
        <f t="shared" si="268"/>
        <v>0</v>
      </c>
      <c r="AT1726" s="25">
        <f t="shared" si="269"/>
        <v>0</v>
      </c>
    </row>
    <row r="1727" spans="1:46">
      <c r="A1727" s="24">
        <v>46141</v>
      </c>
      <c r="B1727" s="23">
        <f t="shared" si="261"/>
        <v>46113</v>
      </c>
      <c r="C1727" s="2" t="s">
        <v>66</v>
      </c>
      <c r="D1727" s="2" t="s">
        <v>1311</v>
      </c>
      <c r="E1727" s="2">
        <v>7140</v>
      </c>
      <c r="F1727" s="2">
        <v>32</v>
      </c>
      <c r="G1727" s="2">
        <v>32</v>
      </c>
      <c r="H1727" s="2">
        <v>31</v>
      </c>
      <c r="I1727" s="2">
        <f t="shared" si="262"/>
        <v>1</v>
      </c>
      <c r="J1727" s="44" t="s">
        <v>110</v>
      </c>
      <c r="K1727" s="2">
        <v>100</v>
      </c>
      <c r="L1727" s="2">
        <v>1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/>
      <c r="AM1727" s="2" t="s">
        <v>110</v>
      </c>
      <c r="AN1727" s="2">
        <f t="shared" si="263"/>
        <v>1</v>
      </c>
      <c r="AO1727" s="2">
        <f t="shared" si="264"/>
        <v>0</v>
      </c>
      <c r="AP1727" s="2">
        <f t="shared" si="265"/>
        <v>0</v>
      </c>
      <c r="AQ1727" s="2">
        <f t="shared" si="266"/>
        <v>0</v>
      </c>
      <c r="AR1727" s="2">
        <f t="shared" si="267"/>
        <v>0</v>
      </c>
      <c r="AS1727" s="2">
        <f t="shared" si="268"/>
        <v>0</v>
      </c>
      <c r="AT1727" s="25">
        <f t="shared" si="269"/>
        <v>0</v>
      </c>
    </row>
    <row r="1728" spans="1:46">
      <c r="A1728" s="24">
        <v>46141</v>
      </c>
      <c r="B1728" s="23">
        <f t="shared" si="261"/>
        <v>46113</v>
      </c>
      <c r="C1728" s="2" t="s">
        <v>66</v>
      </c>
      <c r="D1728" s="2" t="s">
        <v>218</v>
      </c>
      <c r="E1728" s="2">
        <v>7140</v>
      </c>
      <c r="F1728" s="2">
        <v>25</v>
      </c>
      <c r="G1728" s="2">
        <v>25</v>
      </c>
      <c r="H1728" s="2">
        <v>25</v>
      </c>
      <c r="I1728" s="2">
        <f t="shared" si="262"/>
        <v>0</v>
      </c>
      <c r="J1728" s="44" t="s">
        <v>110</v>
      </c>
      <c r="K1728" s="2">
        <v>100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/>
      <c r="AM1728" s="2" t="s">
        <v>110</v>
      </c>
      <c r="AN1728" s="2">
        <f t="shared" si="263"/>
        <v>0</v>
      </c>
      <c r="AO1728" s="2">
        <f t="shared" si="264"/>
        <v>0</v>
      </c>
      <c r="AP1728" s="2">
        <f t="shared" si="265"/>
        <v>0</v>
      </c>
      <c r="AQ1728" s="2">
        <f t="shared" si="266"/>
        <v>0</v>
      </c>
      <c r="AR1728" s="2">
        <f t="shared" si="267"/>
        <v>0</v>
      </c>
      <c r="AS1728" s="2">
        <f t="shared" si="268"/>
        <v>0</v>
      </c>
      <c r="AT1728" s="25">
        <f t="shared" si="269"/>
        <v>0</v>
      </c>
    </row>
    <row r="1729" spans="1:46">
      <c r="A1729" s="24">
        <v>46141</v>
      </c>
      <c r="B1729" s="23">
        <f t="shared" si="261"/>
        <v>46113</v>
      </c>
      <c r="C1729" s="2" t="s">
        <v>97</v>
      </c>
      <c r="D1729" s="2" t="s">
        <v>122</v>
      </c>
      <c r="E1729" s="2">
        <v>3326</v>
      </c>
      <c r="F1729" s="2">
        <v>36</v>
      </c>
      <c r="G1729" s="2">
        <v>36</v>
      </c>
      <c r="H1729" s="2">
        <v>25</v>
      </c>
      <c r="I1729" s="2">
        <f t="shared" si="262"/>
        <v>11</v>
      </c>
      <c r="J1729" s="44" t="s">
        <v>110</v>
      </c>
      <c r="K1729" s="2">
        <v>100</v>
      </c>
      <c r="L1729" s="2">
        <v>1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10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/>
      <c r="AM1729" s="2" t="s">
        <v>110</v>
      </c>
      <c r="AN1729" s="2">
        <f t="shared" si="263"/>
        <v>1</v>
      </c>
      <c r="AO1729" s="2">
        <f t="shared" si="264"/>
        <v>10</v>
      </c>
      <c r="AP1729" s="2">
        <f t="shared" si="265"/>
        <v>0</v>
      </c>
      <c r="AQ1729" s="2">
        <f t="shared" si="266"/>
        <v>0</v>
      </c>
      <c r="AR1729" s="2">
        <f t="shared" si="267"/>
        <v>0</v>
      </c>
      <c r="AS1729" s="2">
        <f t="shared" si="268"/>
        <v>0</v>
      </c>
      <c r="AT1729" s="25">
        <f t="shared" si="269"/>
        <v>0</v>
      </c>
    </row>
    <row r="1730" spans="1:46">
      <c r="A1730" s="24">
        <v>46141</v>
      </c>
      <c r="B1730" s="23">
        <f t="shared" si="261"/>
        <v>46113</v>
      </c>
      <c r="C1730" s="2" t="s">
        <v>97</v>
      </c>
      <c r="D1730" s="2" t="s">
        <v>122</v>
      </c>
      <c r="E1730" s="2">
        <v>3326</v>
      </c>
      <c r="F1730" s="2">
        <v>25</v>
      </c>
      <c r="G1730" s="2">
        <v>25</v>
      </c>
      <c r="H1730" s="2">
        <v>19</v>
      </c>
      <c r="I1730" s="2">
        <f t="shared" si="262"/>
        <v>6</v>
      </c>
      <c r="J1730" s="44" t="s">
        <v>110</v>
      </c>
      <c r="K1730" s="2">
        <v>100</v>
      </c>
      <c r="L1730" s="2">
        <v>1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5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/>
      <c r="AM1730" s="2" t="s">
        <v>110</v>
      </c>
      <c r="AN1730" s="2">
        <f t="shared" si="263"/>
        <v>1</v>
      </c>
      <c r="AO1730" s="2">
        <f t="shared" si="264"/>
        <v>5</v>
      </c>
      <c r="AP1730" s="2">
        <f t="shared" si="265"/>
        <v>0</v>
      </c>
      <c r="AQ1730" s="2">
        <f t="shared" si="266"/>
        <v>0</v>
      </c>
      <c r="AR1730" s="2">
        <f t="shared" si="267"/>
        <v>0</v>
      </c>
      <c r="AS1730" s="2">
        <f t="shared" si="268"/>
        <v>0</v>
      </c>
      <c r="AT1730" s="25">
        <f t="shared" si="269"/>
        <v>0</v>
      </c>
    </row>
    <row r="1731" spans="1:46">
      <c r="A1731" s="24">
        <v>46141</v>
      </c>
      <c r="B1731" s="23">
        <f t="shared" si="261"/>
        <v>46113</v>
      </c>
      <c r="C1731" s="2" t="s">
        <v>66</v>
      </c>
      <c r="D1731" s="2" t="s">
        <v>397</v>
      </c>
      <c r="E1731" s="2">
        <v>6283</v>
      </c>
      <c r="F1731" s="2">
        <v>40</v>
      </c>
      <c r="G1731" s="2">
        <v>40</v>
      </c>
      <c r="H1731" s="2">
        <v>40</v>
      </c>
      <c r="I1731" s="2">
        <f t="shared" si="262"/>
        <v>0</v>
      </c>
      <c r="J1731" s="44" t="s">
        <v>110</v>
      </c>
      <c r="K1731" s="2">
        <v>100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/>
      <c r="AM1731" s="2" t="s">
        <v>110</v>
      </c>
      <c r="AN1731" s="2">
        <f t="shared" si="263"/>
        <v>0</v>
      </c>
      <c r="AO1731" s="2">
        <f t="shared" si="264"/>
        <v>0</v>
      </c>
      <c r="AP1731" s="2">
        <f t="shared" si="265"/>
        <v>0</v>
      </c>
      <c r="AQ1731" s="2">
        <f t="shared" si="266"/>
        <v>0</v>
      </c>
      <c r="AR1731" s="2">
        <f t="shared" si="267"/>
        <v>0</v>
      </c>
      <c r="AS1731" s="2">
        <f t="shared" si="268"/>
        <v>0</v>
      </c>
      <c r="AT1731" s="25">
        <f t="shared" si="269"/>
        <v>0</v>
      </c>
    </row>
    <row r="1732" spans="1:46">
      <c r="A1732" s="24">
        <v>46141</v>
      </c>
      <c r="B1732" s="23">
        <f t="shared" si="261"/>
        <v>46113</v>
      </c>
      <c r="C1732" s="2" t="s">
        <v>97</v>
      </c>
      <c r="D1732" s="2" t="s">
        <v>1316</v>
      </c>
      <c r="E1732" s="2">
        <v>3240</v>
      </c>
      <c r="F1732" s="2">
        <v>69</v>
      </c>
      <c r="G1732" s="2">
        <v>69</v>
      </c>
      <c r="H1732" s="2">
        <v>68</v>
      </c>
      <c r="I1732" s="2">
        <f t="shared" si="262"/>
        <v>1</v>
      </c>
      <c r="J1732" s="44" t="s">
        <v>110</v>
      </c>
      <c r="K1732" s="2">
        <v>100</v>
      </c>
      <c r="L1732" s="2">
        <v>1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/>
      <c r="AM1732" s="2" t="s">
        <v>110</v>
      </c>
      <c r="AN1732" s="2">
        <f t="shared" si="263"/>
        <v>1</v>
      </c>
      <c r="AO1732" s="2">
        <f t="shared" si="264"/>
        <v>0</v>
      </c>
      <c r="AP1732" s="2">
        <f t="shared" si="265"/>
        <v>0</v>
      </c>
      <c r="AQ1732" s="2">
        <f t="shared" si="266"/>
        <v>0</v>
      </c>
      <c r="AR1732" s="2">
        <f t="shared" si="267"/>
        <v>0</v>
      </c>
      <c r="AS1732" s="2">
        <f t="shared" si="268"/>
        <v>0</v>
      </c>
      <c r="AT1732" s="25">
        <f t="shared" si="269"/>
        <v>0</v>
      </c>
    </row>
    <row r="1733" spans="1:46">
      <c r="A1733" s="24">
        <v>46141</v>
      </c>
      <c r="B1733" s="23">
        <f t="shared" si="261"/>
        <v>46113</v>
      </c>
      <c r="C1733" s="2" t="s">
        <v>66</v>
      </c>
      <c r="D1733" s="2" t="s">
        <v>347</v>
      </c>
      <c r="E1733" s="2">
        <v>3240</v>
      </c>
      <c r="F1733" s="2">
        <v>260</v>
      </c>
      <c r="G1733" s="2">
        <v>260</v>
      </c>
      <c r="H1733" s="2">
        <v>256</v>
      </c>
      <c r="I1733" s="2">
        <f t="shared" si="262"/>
        <v>4</v>
      </c>
      <c r="J1733" s="44" t="s">
        <v>110</v>
      </c>
      <c r="K1733" s="2">
        <v>100</v>
      </c>
      <c r="L1733" s="2">
        <v>1</v>
      </c>
      <c r="M1733" s="2">
        <v>1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2</v>
      </c>
      <c r="AL1733" s="2"/>
      <c r="AM1733" s="2" t="s">
        <v>110</v>
      </c>
      <c r="AN1733" s="2">
        <f t="shared" si="263"/>
        <v>1</v>
      </c>
      <c r="AO1733" s="2">
        <f t="shared" si="264"/>
        <v>1</v>
      </c>
      <c r="AP1733" s="2">
        <f t="shared" si="265"/>
        <v>0</v>
      </c>
      <c r="AQ1733" s="2">
        <f t="shared" si="266"/>
        <v>2</v>
      </c>
      <c r="AR1733" s="2">
        <f t="shared" si="267"/>
        <v>0</v>
      </c>
      <c r="AS1733" s="2">
        <f t="shared" si="268"/>
        <v>0</v>
      </c>
      <c r="AT1733" s="25">
        <f t="shared" si="269"/>
        <v>0</v>
      </c>
    </row>
    <row r="1734" spans="1:46">
      <c r="A1734" s="24">
        <v>46141</v>
      </c>
      <c r="B1734" s="23">
        <f t="shared" si="261"/>
        <v>46113</v>
      </c>
      <c r="C1734" s="2" t="s">
        <v>97</v>
      </c>
      <c r="D1734" s="2" t="s">
        <v>419</v>
      </c>
      <c r="E1734" s="2">
        <v>6237</v>
      </c>
      <c r="F1734" s="2">
        <v>25</v>
      </c>
      <c r="G1734" s="2">
        <v>25</v>
      </c>
      <c r="H1734" s="2">
        <v>21</v>
      </c>
      <c r="I1734" s="2">
        <f t="shared" si="262"/>
        <v>4</v>
      </c>
      <c r="J1734" s="44" t="s">
        <v>110</v>
      </c>
      <c r="K1734" s="2">
        <v>100</v>
      </c>
      <c r="L1734" s="2">
        <v>0</v>
      </c>
      <c r="M1734" s="2">
        <v>0</v>
      </c>
      <c r="N1734" s="2">
        <v>0</v>
      </c>
      <c r="O1734" s="2">
        <v>0</v>
      </c>
      <c r="P1734" s="2">
        <v>4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/>
      <c r="AM1734" s="2" t="s">
        <v>110</v>
      </c>
      <c r="AN1734" s="2">
        <f t="shared" si="263"/>
        <v>0</v>
      </c>
      <c r="AO1734" s="2">
        <f t="shared" si="264"/>
        <v>4</v>
      </c>
      <c r="AP1734" s="2">
        <f t="shared" si="265"/>
        <v>0</v>
      </c>
      <c r="AQ1734" s="2">
        <f t="shared" si="266"/>
        <v>0</v>
      </c>
      <c r="AR1734" s="2">
        <f t="shared" si="267"/>
        <v>0</v>
      </c>
      <c r="AS1734" s="2">
        <f t="shared" si="268"/>
        <v>0</v>
      </c>
      <c r="AT1734" s="25">
        <f t="shared" si="269"/>
        <v>0</v>
      </c>
    </row>
    <row r="1735" spans="1:46">
      <c r="A1735" s="24">
        <v>46142</v>
      </c>
      <c r="B1735" s="23">
        <f t="shared" si="261"/>
        <v>46113</v>
      </c>
      <c r="C1735" s="2" t="s">
        <v>160</v>
      </c>
      <c r="D1735" s="2" t="s">
        <v>395</v>
      </c>
      <c r="E1735" s="2">
        <v>9151</v>
      </c>
      <c r="F1735" s="2">
        <v>323</v>
      </c>
      <c r="G1735" s="2">
        <v>323</v>
      </c>
      <c r="H1735" s="2">
        <v>279</v>
      </c>
      <c r="I1735" s="2">
        <f t="shared" si="262"/>
        <v>44</v>
      </c>
      <c r="J1735" s="44" t="s">
        <v>80</v>
      </c>
      <c r="K1735" s="2">
        <v>100</v>
      </c>
      <c r="L1735" s="2">
        <v>17</v>
      </c>
      <c r="M1735" s="2">
        <v>0</v>
      </c>
      <c r="N1735" s="2">
        <v>0</v>
      </c>
      <c r="O1735" s="2">
        <v>0</v>
      </c>
      <c r="P1735" s="2">
        <v>26</v>
      </c>
      <c r="Q1735" s="2">
        <v>0</v>
      </c>
      <c r="R1735" s="2">
        <v>0</v>
      </c>
      <c r="S1735" s="2">
        <v>0</v>
      </c>
      <c r="T1735" s="2">
        <v>0</v>
      </c>
      <c r="U1735" s="2">
        <v>1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/>
      <c r="AM1735" s="2" t="s">
        <v>80</v>
      </c>
      <c r="AN1735" s="2">
        <f t="shared" si="263"/>
        <v>17</v>
      </c>
      <c r="AO1735" s="2">
        <f t="shared" si="264"/>
        <v>27</v>
      </c>
      <c r="AP1735" s="2">
        <f t="shared" si="265"/>
        <v>0</v>
      </c>
      <c r="AQ1735" s="2">
        <f t="shared" si="266"/>
        <v>0</v>
      </c>
      <c r="AR1735" s="2">
        <f t="shared" si="267"/>
        <v>0</v>
      </c>
      <c r="AS1735" s="2">
        <f t="shared" si="268"/>
        <v>0</v>
      </c>
      <c r="AT1735" s="25">
        <f t="shared" si="269"/>
        <v>0</v>
      </c>
    </row>
    <row r="1736" spans="1:46">
      <c r="A1736" s="24">
        <v>46142</v>
      </c>
      <c r="B1736" s="23">
        <f t="shared" si="261"/>
        <v>46113</v>
      </c>
      <c r="C1736" s="2" t="s">
        <v>72</v>
      </c>
      <c r="D1736" s="2" t="s">
        <v>408</v>
      </c>
      <c r="E1736" s="2">
        <v>9315</v>
      </c>
      <c r="F1736" s="2">
        <v>118</v>
      </c>
      <c r="G1736" s="2">
        <v>118</v>
      </c>
      <c r="H1736" s="2">
        <v>118</v>
      </c>
      <c r="I1736" s="2">
        <f t="shared" si="262"/>
        <v>0</v>
      </c>
      <c r="J1736" s="44" t="s">
        <v>110</v>
      </c>
      <c r="K1736" s="2">
        <v>100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/>
      <c r="AM1736" s="2" t="s">
        <v>110</v>
      </c>
      <c r="AN1736" s="2">
        <f t="shared" si="263"/>
        <v>0</v>
      </c>
      <c r="AO1736" s="2">
        <f t="shared" si="264"/>
        <v>0</v>
      </c>
      <c r="AP1736" s="2">
        <f t="shared" si="265"/>
        <v>0</v>
      </c>
      <c r="AQ1736" s="2">
        <f t="shared" si="266"/>
        <v>0</v>
      </c>
      <c r="AR1736" s="2">
        <f t="shared" si="267"/>
        <v>0</v>
      </c>
      <c r="AS1736" s="2">
        <f t="shared" si="268"/>
        <v>0</v>
      </c>
      <c r="AT1736" s="25">
        <f t="shared" si="269"/>
        <v>0</v>
      </c>
    </row>
    <row r="1737" spans="1:46">
      <c r="A1737" s="24">
        <v>46142</v>
      </c>
      <c r="B1737" s="23">
        <f t="shared" si="261"/>
        <v>46113</v>
      </c>
      <c r="C1737" s="2" t="s">
        <v>72</v>
      </c>
      <c r="D1737" s="2" t="s">
        <v>363</v>
      </c>
      <c r="E1737" s="2">
        <v>9315</v>
      </c>
      <c r="F1737" s="2">
        <v>131</v>
      </c>
      <c r="G1737" s="2">
        <v>131</v>
      </c>
      <c r="H1737" s="2">
        <v>128</v>
      </c>
      <c r="I1737" s="2">
        <f t="shared" si="262"/>
        <v>3</v>
      </c>
      <c r="J1737" s="44" t="s">
        <v>110</v>
      </c>
      <c r="K1737" s="2">
        <v>100</v>
      </c>
      <c r="L1737" s="2">
        <v>3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/>
      <c r="AM1737" s="2" t="s">
        <v>110</v>
      </c>
      <c r="AN1737" s="2">
        <f t="shared" si="263"/>
        <v>3</v>
      </c>
      <c r="AO1737" s="2">
        <f t="shared" si="264"/>
        <v>0</v>
      </c>
      <c r="AP1737" s="2">
        <f t="shared" si="265"/>
        <v>0</v>
      </c>
      <c r="AQ1737" s="2">
        <f t="shared" si="266"/>
        <v>0</v>
      </c>
      <c r="AR1737" s="2">
        <f t="shared" si="267"/>
        <v>0</v>
      </c>
      <c r="AS1737" s="2">
        <f t="shared" si="268"/>
        <v>0</v>
      </c>
      <c r="AT1737" s="25">
        <f t="shared" si="269"/>
        <v>0</v>
      </c>
    </row>
    <row r="1738" spans="1:46">
      <c r="A1738" s="24">
        <v>46142</v>
      </c>
      <c r="B1738" s="23">
        <f t="shared" si="261"/>
        <v>46113</v>
      </c>
      <c r="C1738" s="2" t="s">
        <v>55</v>
      </c>
      <c r="D1738" s="2" t="s">
        <v>183</v>
      </c>
      <c r="E1738" s="2">
        <v>1729</v>
      </c>
      <c r="F1738" s="2">
        <v>52</v>
      </c>
      <c r="G1738" s="2">
        <v>52</v>
      </c>
      <c r="H1738" s="2">
        <v>46</v>
      </c>
      <c r="I1738" s="2">
        <f t="shared" si="262"/>
        <v>6</v>
      </c>
      <c r="J1738" s="44" t="s">
        <v>1566</v>
      </c>
      <c r="K1738" s="2">
        <v>100</v>
      </c>
      <c r="L1738" s="2">
        <v>6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/>
      <c r="AM1738" s="2" t="s">
        <v>1566</v>
      </c>
      <c r="AN1738" s="2">
        <f t="shared" si="263"/>
        <v>6</v>
      </c>
      <c r="AO1738" s="2">
        <f t="shared" si="264"/>
        <v>0</v>
      </c>
      <c r="AP1738" s="2">
        <f t="shared" si="265"/>
        <v>0</v>
      </c>
      <c r="AQ1738" s="2">
        <f t="shared" si="266"/>
        <v>0</v>
      </c>
      <c r="AR1738" s="2">
        <f t="shared" si="267"/>
        <v>0</v>
      </c>
      <c r="AS1738" s="2">
        <f t="shared" si="268"/>
        <v>0</v>
      </c>
      <c r="AT1738" s="25">
        <f t="shared" si="269"/>
        <v>0</v>
      </c>
    </row>
    <row r="1739" spans="1:46">
      <c r="A1739" s="24">
        <v>46142</v>
      </c>
      <c r="B1739" s="23">
        <f t="shared" si="261"/>
        <v>46113</v>
      </c>
      <c r="C1739" s="2" t="s">
        <v>1484</v>
      </c>
      <c r="D1739" s="2" t="s">
        <v>190</v>
      </c>
      <c r="E1739" s="2">
        <v>3215</v>
      </c>
      <c r="F1739" s="2">
        <v>48</v>
      </c>
      <c r="G1739" s="2">
        <v>48</v>
      </c>
      <c r="H1739" s="2">
        <v>44</v>
      </c>
      <c r="I1739" s="2">
        <f t="shared" si="262"/>
        <v>4</v>
      </c>
      <c r="J1739" s="44" t="s">
        <v>1566</v>
      </c>
      <c r="K1739" s="2">
        <v>100</v>
      </c>
      <c r="L1739" s="2">
        <v>2</v>
      </c>
      <c r="M1739" s="2">
        <v>0</v>
      </c>
      <c r="N1739" s="2">
        <v>1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1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/>
      <c r="AM1739" s="2" t="s">
        <v>1566</v>
      </c>
      <c r="AN1739" s="2">
        <f t="shared" si="263"/>
        <v>2</v>
      </c>
      <c r="AO1739" s="2">
        <f t="shared" si="264"/>
        <v>1</v>
      </c>
      <c r="AP1739" s="2">
        <f t="shared" si="265"/>
        <v>0</v>
      </c>
      <c r="AQ1739" s="2">
        <f t="shared" si="266"/>
        <v>1</v>
      </c>
      <c r="AR1739" s="2">
        <f t="shared" si="267"/>
        <v>0</v>
      </c>
      <c r="AS1739" s="2">
        <f t="shared" si="268"/>
        <v>0</v>
      </c>
      <c r="AT1739" s="25">
        <f t="shared" si="269"/>
        <v>0</v>
      </c>
    </row>
    <row r="1740" spans="1:46">
      <c r="A1740" s="24">
        <v>46142</v>
      </c>
      <c r="B1740" s="23">
        <f t="shared" si="261"/>
        <v>46113</v>
      </c>
      <c r="C1740" s="2" t="s">
        <v>1484</v>
      </c>
      <c r="D1740" s="2" t="s">
        <v>382</v>
      </c>
      <c r="E1740" s="2">
        <v>3184</v>
      </c>
      <c r="F1740" s="2">
        <v>38</v>
      </c>
      <c r="G1740" s="2">
        <v>38</v>
      </c>
      <c r="H1740" s="2">
        <v>38</v>
      </c>
      <c r="I1740" s="2">
        <f t="shared" si="262"/>
        <v>0</v>
      </c>
      <c r="J1740" s="44" t="s">
        <v>1566</v>
      </c>
      <c r="K1740" s="2">
        <v>100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/>
      <c r="AM1740" s="2" t="s">
        <v>1566</v>
      </c>
      <c r="AN1740" s="2">
        <f t="shared" si="263"/>
        <v>0</v>
      </c>
      <c r="AO1740" s="2">
        <f t="shared" si="264"/>
        <v>0</v>
      </c>
      <c r="AP1740" s="2">
        <f t="shared" si="265"/>
        <v>0</v>
      </c>
      <c r="AQ1740" s="2">
        <f t="shared" si="266"/>
        <v>0</v>
      </c>
      <c r="AR1740" s="2">
        <f t="shared" si="267"/>
        <v>0</v>
      </c>
      <c r="AS1740" s="2">
        <f t="shared" si="268"/>
        <v>0</v>
      </c>
      <c r="AT1740" s="25">
        <f t="shared" si="269"/>
        <v>0</v>
      </c>
    </row>
    <row r="1741" spans="1:46">
      <c r="A1741" s="24">
        <v>46142</v>
      </c>
      <c r="B1741" s="23">
        <f t="shared" si="261"/>
        <v>46113</v>
      </c>
      <c r="C1741" s="2" t="s">
        <v>1484</v>
      </c>
      <c r="D1741" s="2" t="s">
        <v>394</v>
      </c>
      <c r="E1741" s="2">
        <v>6259</v>
      </c>
      <c r="F1741" s="2">
        <v>99</v>
      </c>
      <c r="G1741" s="2">
        <v>99</v>
      </c>
      <c r="H1741" s="2">
        <v>99</v>
      </c>
      <c r="I1741" s="2">
        <f t="shared" si="262"/>
        <v>0</v>
      </c>
      <c r="J1741" s="44" t="s">
        <v>1566</v>
      </c>
      <c r="K1741" s="2">
        <v>100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/>
      <c r="AM1741" s="2" t="s">
        <v>1566</v>
      </c>
      <c r="AN1741" s="2">
        <f t="shared" si="263"/>
        <v>0</v>
      </c>
      <c r="AO1741" s="2">
        <f t="shared" si="264"/>
        <v>0</v>
      </c>
      <c r="AP1741" s="2">
        <f t="shared" si="265"/>
        <v>0</v>
      </c>
      <c r="AQ1741" s="2">
        <f t="shared" si="266"/>
        <v>0</v>
      </c>
      <c r="AR1741" s="2">
        <f t="shared" si="267"/>
        <v>0</v>
      </c>
      <c r="AS1741" s="2">
        <f t="shared" si="268"/>
        <v>0</v>
      </c>
      <c r="AT1741" s="25">
        <f t="shared" si="269"/>
        <v>0</v>
      </c>
    </row>
    <row r="1742" spans="1:46">
      <c r="A1742" s="24">
        <v>46142</v>
      </c>
      <c r="B1742" s="23">
        <f t="shared" si="261"/>
        <v>46113</v>
      </c>
      <c r="C1742" s="2" t="s">
        <v>1484</v>
      </c>
      <c r="D1742" s="2" t="s">
        <v>277</v>
      </c>
      <c r="E1742" s="2">
        <v>3250</v>
      </c>
      <c r="F1742" s="2">
        <v>39</v>
      </c>
      <c r="G1742" s="2">
        <v>39</v>
      </c>
      <c r="H1742" s="2">
        <v>39</v>
      </c>
      <c r="I1742" s="2">
        <f t="shared" si="262"/>
        <v>0</v>
      </c>
      <c r="J1742" s="44" t="s">
        <v>1568</v>
      </c>
      <c r="K1742" s="2">
        <v>100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/>
      <c r="AM1742" s="2" t="s">
        <v>1568</v>
      </c>
      <c r="AN1742" s="2">
        <f t="shared" si="263"/>
        <v>0</v>
      </c>
      <c r="AO1742" s="2">
        <f t="shared" si="264"/>
        <v>0</v>
      </c>
      <c r="AP1742" s="2">
        <f t="shared" si="265"/>
        <v>0</v>
      </c>
      <c r="AQ1742" s="2">
        <f t="shared" si="266"/>
        <v>0</v>
      </c>
      <c r="AR1742" s="2">
        <f t="shared" si="267"/>
        <v>0</v>
      </c>
      <c r="AS1742" s="2">
        <f t="shared" si="268"/>
        <v>0</v>
      </c>
      <c r="AT1742" s="25">
        <f t="shared" si="269"/>
        <v>0</v>
      </c>
    </row>
    <row r="1743" spans="1:46">
      <c r="A1743" s="24">
        <v>46142</v>
      </c>
      <c r="B1743" s="23">
        <f t="shared" ref="B1743:B1749" si="270">EOMONTH(A1743,-1)+1</f>
        <v>46113</v>
      </c>
      <c r="C1743" s="2" t="s">
        <v>63</v>
      </c>
      <c r="D1743" s="2" t="s">
        <v>1586</v>
      </c>
      <c r="E1743" s="2">
        <v>3264</v>
      </c>
      <c r="F1743" s="2">
        <v>237</v>
      </c>
      <c r="G1743" s="2">
        <v>237</v>
      </c>
      <c r="H1743" s="2">
        <v>233</v>
      </c>
      <c r="I1743" s="2">
        <f t="shared" ref="I1743:I1749" si="271">F1743-H1743</f>
        <v>4</v>
      </c>
      <c r="J1743" s="44" t="s">
        <v>1568</v>
      </c>
      <c r="K1743" s="2">
        <v>100</v>
      </c>
      <c r="L1743" s="2">
        <v>1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3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/>
      <c r="AM1743" s="2" t="s">
        <v>1568</v>
      </c>
      <c r="AN1743" s="2">
        <f t="shared" ref="AN1743:AN1749" si="272">+L1743+AI1743</f>
        <v>1</v>
      </c>
      <c r="AO1743" s="2">
        <f t="shared" ref="AO1743:AO1749" si="273">+M1743+N1743+O1743+P1743+Q1743+R1743+S1743+T1743+U1743+V1743</f>
        <v>3</v>
      </c>
      <c r="AP1743" s="2">
        <f t="shared" ref="AP1743:AP1749" si="274">+AE1743+AF1743</f>
        <v>0</v>
      </c>
      <c r="AQ1743" s="2">
        <f t="shared" ref="AQ1743:AQ1749" si="275">+AK1743+AD1743+AC1743+AJ1743</f>
        <v>0</v>
      </c>
      <c r="AR1743" s="2">
        <f t="shared" ref="AR1743:AR1749" si="276">+W1743+X1743+Y1743+Z1743+AA1743+AB1743</f>
        <v>0</v>
      </c>
      <c r="AS1743" s="2">
        <f t="shared" ref="AS1743:AS1749" si="277">+AG1743</f>
        <v>0</v>
      </c>
      <c r="AT1743" s="25">
        <f t="shared" ref="AT1743:AT1749" si="278">+AH1743</f>
        <v>0</v>
      </c>
    </row>
    <row r="1744" spans="1:46">
      <c r="A1744" s="24">
        <v>46142</v>
      </c>
      <c r="B1744" s="23">
        <f t="shared" si="270"/>
        <v>46113</v>
      </c>
      <c r="C1744" s="2" t="s">
        <v>160</v>
      </c>
      <c r="D1744" s="2" t="s">
        <v>267</v>
      </c>
      <c r="E1744" s="2">
        <v>3227</v>
      </c>
      <c r="F1744" s="2">
        <v>42</v>
      </c>
      <c r="G1744" s="2">
        <v>42</v>
      </c>
      <c r="H1744" s="2">
        <v>41</v>
      </c>
      <c r="I1744" s="2">
        <f t="shared" si="271"/>
        <v>1</v>
      </c>
      <c r="J1744" s="44" t="s">
        <v>93</v>
      </c>
      <c r="K1744" s="2">
        <v>100</v>
      </c>
      <c r="L1744" s="2">
        <v>1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/>
      <c r="AM1744" s="2" t="s">
        <v>93</v>
      </c>
      <c r="AN1744" s="2">
        <f t="shared" si="272"/>
        <v>1</v>
      </c>
      <c r="AO1744" s="2">
        <f t="shared" si="273"/>
        <v>0</v>
      </c>
      <c r="AP1744" s="2">
        <f t="shared" si="274"/>
        <v>0</v>
      </c>
      <c r="AQ1744" s="2">
        <f t="shared" si="275"/>
        <v>0</v>
      </c>
      <c r="AR1744" s="2">
        <f t="shared" si="276"/>
        <v>0</v>
      </c>
      <c r="AS1744" s="2">
        <f t="shared" si="277"/>
        <v>0</v>
      </c>
      <c r="AT1744" s="25">
        <f t="shared" si="278"/>
        <v>0</v>
      </c>
    </row>
    <row r="1745" spans="1:46">
      <c r="A1745" s="24">
        <v>46142</v>
      </c>
      <c r="B1745" s="23">
        <f t="shared" si="270"/>
        <v>46113</v>
      </c>
      <c r="C1745" s="2" t="s">
        <v>160</v>
      </c>
      <c r="D1745" s="2" t="s">
        <v>1313</v>
      </c>
      <c r="E1745" s="2">
        <v>3287</v>
      </c>
      <c r="F1745" s="2">
        <v>22</v>
      </c>
      <c r="G1745" s="2">
        <v>22</v>
      </c>
      <c r="H1745" s="2">
        <v>22</v>
      </c>
      <c r="I1745" s="2">
        <f t="shared" si="271"/>
        <v>0</v>
      </c>
      <c r="J1745" s="44" t="s">
        <v>93</v>
      </c>
      <c r="K1745" s="2">
        <v>100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/>
      <c r="AM1745" s="2" t="s">
        <v>93</v>
      </c>
      <c r="AN1745" s="2">
        <f t="shared" si="272"/>
        <v>0</v>
      </c>
      <c r="AO1745" s="2">
        <f t="shared" si="273"/>
        <v>0</v>
      </c>
      <c r="AP1745" s="2">
        <f t="shared" si="274"/>
        <v>0</v>
      </c>
      <c r="AQ1745" s="2">
        <f t="shared" si="275"/>
        <v>0</v>
      </c>
      <c r="AR1745" s="2">
        <f t="shared" si="276"/>
        <v>0</v>
      </c>
      <c r="AS1745" s="2">
        <f t="shared" si="277"/>
        <v>0</v>
      </c>
      <c r="AT1745" s="25">
        <f t="shared" si="278"/>
        <v>0</v>
      </c>
    </row>
    <row r="1746" spans="1:46">
      <c r="A1746" s="24">
        <v>46142</v>
      </c>
      <c r="B1746" s="23">
        <f t="shared" si="270"/>
        <v>46113</v>
      </c>
      <c r="C1746" s="2" t="s">
        <v>82</v>
      </c>
      <c r="D1746" s="2" t="s">
        <v>347</v>
      </c>
      <c r="E1746" s="2">
        <v>3240</v>
      </c>
      <c r="F1746" s="2">
        <v>927</v>
      </c>
      <c r="G1746" s="2">
        <v>927</v>
      </c>
      <c r="H1746" s="2">
        <v>875</v>
      </c>
      <c r="I1746" s="2">
        <f t="shared" si="271"/>
        <v>52</v>
      </c>
      <c r="J1746" s="44" t="s">
        <v>93</v>
      </c>
      <c r="K1746" s="2">
        <v>100</v>
      </c>
      <c r="L1746" s="2">
        <v>20</v>
      </c>
      <c r="M1746" s="2">
        <v>32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/>
      <c r="AM1746" s="2" t="s">
        <v>93</v>
      </c>
      <c r="AN1746" s="2">
        <f t="shared" si="272"/>
        <v>20</v>
      </c>
      <c r="AO1746" s="2">
        <f t="shared" si="273"/>
        <v>32</v>
      </c>
      <c r="AP1746" s="2">
        <f t="shared" si="274"/>
        <v>0</v>
      </c>
      <c r="AQ1746" s="2">
        <f t="shared" si="275"/>
        <v>0</v>
      </c>
      <c r="AR1746" s="2">
        <f t="shared" si="276"/>
        <v>0</v>
      </c>
      <c r="AS1746" s="2">
        <f t="shared" si="277"/>
        <v>0</v>
      </c>
      <c r="AT1746" s="25">
        <f t="shared" si="278"/>
        <v>0</v>
      </c>
    </row>
    <row r="1747" spans="1:46">
      <c r="A1747" s="24">
        <v>46142</v>
      </c>
      <c r="B1747" s="23">
        <f t="shared" si="270"/>
        <v>46113</v>
      </c>
      <c r="C1747" s="2" t="s">
        <v>46</v>
      </c>
      <c r="D1747" s="2" t="s">
        <v>360</v>
      </c>
      <c r="E1747" s="2">
        <v>90024</v>
      </c>
      <c r="F1747" s="2">
        <v>8</v>
      </c>
      <c r="G1747" s="2">
        <v>8</v>
      </c>
      <c r="H1747" s="2">
        <v>8</v>
      </c>
      <c r="I1747" s="2">
        <f t="shared" si="271"/>
        <v>0</v>
      </c>
      <c r="J1747" s="44" t="s">
        <v>1567</v>
      </c>
      <c r="K1747" s="2">
        <v>100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/>
      <c r="AM1747" s="2" t="s">
        <v>1567</v>
      </c>
      <c r="AN1747" s="2">
        <f t="shared" si="272"/>
        <v>0</v>
      </c>
      <c r="AO1747" s="2">
        <f t="shared" si="273"/>
        <v>0</v>
      </c>
      <c r="AP1747" s="2">
        <f t="shared" si="274"/>
        <v>0</v>
      </c>
      <c r="AQ1747" s="2">
        <f t="shared" si="275"/>
        <v>0</v>
      </c>
      <c r="AR1747" s="2">
        <f t="shared" si="276"/>
        <v>0</v>
      </c>
      <c r="AS1747" s="2">
        <f t="shared" si="277"/>
        <v>0</v>
      </c>
      <c r="AT1747" s="25">
        <f t="shared" si="278"/>
        <v>0</v>
      </c>
    </row>
    <row r="1748" spans="1:46">
      <c r="A1748" s="24">
        <v>46142</v>
      </c>
      <c r="B1748" s="23">
        <f t="shared" si="270"/>
        <v>46113</v>
      </c>
      <c r="C1748" s="2" t="s">
        <v>72</v>
      </c>
      <c r="D1748" s="2" t="s">
        <v>184</v>
      </c>
      <c r="E1748" s="2">
        <v>3317</v>
      </c>
      <c r="F1748" s="2">
        <v>23</v>
      </c>
      <c r="G1748" s="2">
        <v>23</v>
      </c>
      <c r="H1748" s="2">
        <v>23</v>
      </c>
      <c r="I1748" s="2">
        <f t="shared" si="271"/>
        <v>0</v>
      </c>
      <c r="J1748" s="44" t="s">
        <v>77</v>
      </c>
      <c r="K1748" s="2">
        <v>100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/>
      <c r="AM1748" s="2" t="s">
        <v>77</v>
      </c>
      <c r="AN1748" s="2">
        <f t="shared" si="272"/>
        <v>0</v>
      </c>
      <c r="AO1748" s="2">
        <f t="shared" si="273"/>
        <v>0</v>
      </c>
      <c r="AP1748" s="2">
        <f t="shared" si="274"/>
        <v>0</v>
      </c>
      <c r="AQ1748" s="2">
        <f t="shared" si="275"/>
        <v>0</v>
      </c>
      <c r="AR1748" s="2">
        <f t="shared" si="276"/>
        <v>0</v>
      </c>
      <c r="AS1748" s="2">
        <f t="shared" si="277"/>
        <v>0</v>
      </c>
      <c r="AT1748" s="25">
        <f t="shared" si="278"/>
        <v>0</v>
      </c>
    </row>
    <row r="1749" spans="1:46">
      <c r="A1749" s="31">
        <v>46142</v>
      </c>
      <c r="B1749" s="32">
        <f t="shared" si="270"/>
        <v>46113</v>
      </c>
      <c r="C1749" s="2" t="s">
        <v>72</v>
      </c>
      <c r="D1749" s="2" t="s">
        <v>346</v>
      </c>
      <c r="E1749" s="2">
        <v>3273</v>
      </c>
      <c r="F1749" s="2">
        <v>44</v>
      </c>
      <c r="G1749" s="2">
        <v>44</v>
      </c>
      <c r="H1749" s="2">
        <v>44</v>
      </c>
      <c r="I1749" s="33">
        <f t="shared" si="271"/>
        <v>0</v>
      </c>
      <c r="J1749" s="44" t="s">
        <v>77</v>
      </c>
      <c r="K1749" s="2">
        <v>100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33"/>
      <c r="AM1749" s="2" t="s">
        <v>77</v>
      </c>
      <c r="AN1749" s="33">
        <f t="shared" si="272"/>
        <v>0</v>
      </c>
      <c r="AO1749" s="33">
        <f t="shared" si="273"/>
        <v>0</v>
      </c>
      <c r="AP1749" s="33">
        <f t="shared" si="274"/>
        <v>0</v>
      </c>
      <c r="AQ1749" s="33">
        <f t="shared" si="275"/>
        <v>0</v>
      </c>
      <c r="AR1749" s="33">
        <f t="shared" si="276"/>
        <v>0</v>
      </c>
      <c r="AS1749" s="33">
        <f t="shared" si="277"/>
        <v>0</v>
      </c>
      <c r="AT1749" s="34">
        <f t="shared" si="278"/>
        <v>0</v>
      </c>
    </row>
  </sheetData>
  <pageMargins left="0.7" right="0.7" top="0.75" bottom="0.75" header="0.3" footer="0.3"/>
  <headerFooter>
    <oddFooter>&amp;L_x000D_&amp;1#&amp;"Calibri"&amp;8&amp;K000000 Sensitivity: 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59DA-1751-4A36-9E72-D276A09178B9}">
  <dimension ref="A1:AQ1074"/>
  <sheetViews>
    <sheetView topLeftCell="A4" workbookViewId="0">
      <selection activeCell="J16" sqref="J16"/>
    </sheetView>
  </sheetViews>
  <sheetFormatPr defaultRowHeight="15"/>
  <cols>
    <col min="1" max="1" width="10.140625" bestFit="1" customWidth="1"/>
    <col min="3" max="3" width="10.42578125" customWidth="1"/>
    <col min="4" max="4" width="18.85546875" customWidth="1"/>
    <col min="9" max="9" width="15.85546875" customWidth="1"/>
    <col min="10" max="10" width="20.42578125" customWidth="1"/>
    <col min="11" max="11" width="18" customWidth="1"/>
    <col min="12" max="12" width="20.5703125" customWidth="1"/>
    <col min="13" max="13" width="14.140625" customWidth="1"/>
    <col min="14" max="14" width="15.7109375" customWidth="1"/>
    <col min="15" max="15" width="14.28515625" customWidth="1"/>
    <col min="16" max="16" width="12.28515625" customWidth="1"/>
    <col min="17" max="17" width="14.28515625" customWidth="1"/>
    <col min="18" max="18" width="16.5703125" customWidth="1"/>
    <col min="19" max="19" width="12.7109375" customWidth="1"/>
    <col min="20" max="20" width="10.42578125" customWidth="1"/>
    <col min="21" max="21" width="18.85546875" customWidth="1"/>
    <col min="22" max="22" width="10.7109375" customWidth="1"/>
    <col min="23" max="23" width="13.28515625" customWidth="1"/>
    <col min="24" max="24" width="10.7109375" customWidth="1"/>
    <col min="26" max="26" width="15" customWidth="1"/>
    <col min="27" max="27" width="10.7109375" customWidth="1"/>
    <col min="28" max="28" width="14.7109375" customWidth="1"/>
    <col min="29" max="29" width="14.85546875" customWidth="1"/>
    <col min="30" max="30" width="12.5703125" customWidth="1"/>
    <col min="31" max="31" width="14.85546875" customWidth="1"/>
    <col min="32" max="32" width="18" customWidth="1"/>
    <col min="33" max="33" width="10.7109375" customWidth="1"/>
    <col min="35" max="35" width="14.5703125" customWidth="1"/>
    <col min="36" max="36" width="9.85546875" customWidth="1"/>
  </cols>
  <sheetData>
    <row r="1" spans="1:43">
      <c r="A1" s="35" t="s">
        <v>0</v>
      </c>
      <c r="B1" s="36" t="s">
        <v>1</v>
      </c>
      <c r="C1" s="36" t="s">
        <v>421</v>
      </c>
      <c r="D1" s="36" t="s">
        <v>422</v>
      </c>
      <c r="E1" s="36" t="s">
        <v>4</v>
      </c>
      <c r="F1" s="36" t="s">
        <v>5</v>
      </c>
      <c r="G1" s="36" t="s">
        <v>7</v>
      </c>
      <c r="H1" s="36" t="s">
        <v>8</v>
      </c>
      <c r="I1" s="26" t="s">
        <v>11</v>
      </c>
      <c r="J1" s="26" t="s">
        <v>12</v>
      </c>
      <c r="K1" s="26" t="s">
        <v>13</v>
      </c>
      <c r="L1" s="26" t="s">
        <v>14</v>
      </c>
      <c r="M1" s="26" t="s">
        <v>15</v>
      </c>
      <c r="N1" s="26" t="s">
        <v>16</v>
      </c>
      <c r="O1" s="26" t="s">
        <v>17</v>
      </c>
      <c r="P1" s="26" t="s">
        <v>18</v>
      </c>
      <c r="Q1" s="26" t="s">
        <v>19</v>
      </c>
      <c r="R1" s="26" t="s">
        <v>20</v>
      </c>
      <c r="S1" s="26" t="s">
        <v>21</v>
      </c>
      <c r="T1" s="26" t="s">
        <v>22</v>
      </c>
      <c r="U1" s="26" t="s">
        <v>23</v>
      </c>
      <c r="V1" s="26" t="s">
        <v>24</v>
      </c>
      <c r="W1" s="26" t="s">
        <v>25</v>
      </c>
      <c r="X1" s="26" t="s">
        <v>26</v>
      </c>
      <c r="Y1" s="26" t="s">
        <v>27</v>
      </c>
      <c r="Z1" s="26" t="s">
        <v>28</v>
      </c>
      <c r="AA1" s="26" t="s">
        <v>29</v>
      </c>
      <c r="AB1" s="26" t="s">
        <v>30</v>
      </c>
      <c r="AC1" s="26" t="s">
        <v>31</v>
      </c>
      <c r="AD1" s="26" t="s">
        <v>32</v>
      </c>
      <c r="AE1" s="26" t="s">
        <v>33</v>
      </c>
      <c r="AF1" s="26" t="s">
        <v>34</v>
      </c>
      <c r="AG1" s="26" t="s">
        <v>35</v>
      </c>
      <c r="AH1" s="26" t="s">
        <v>36</v>
      </c>
      <c r="AI1" s="26" t="s">
        <v>423</v>
      </c>
      <c r="AJ1" s="27" t="s">
        <v>424</v>
      </c>
      <c r="AK1" s="28" t="s">
        <v>39</v>
      </c>
      <c r="AL1" s="28" t="s">
        <v>40</v>
      </c>
      <c r="AM1" s="29" t="s">
        <v>41</v>
      </c>
      <c r="AN1" s="29" t="s">
        <v>42</v>
      </c>
      <c r="AO1" s="28" t="s">
        <v>43</v>
      </c>
      <c r="AP1" s="28" t="s">
        <v>44</v>
      </c>
      <c r="AQ1" s="30" t="s">
        <v>45</v>
      </c>
    </row>
    <row r="2" spans="1:43">
      <c r="A2" s="24">
        <v>46114</v>
      </c>
      <c r="B2" s="23">
        <f t="shared" ref="B2:B65" si="0">EOMONTH(A2,-1)+1</f>
        <v>46113</v>
      </c>
      <c r="C2" s="2" t="s">
        <v>82</v>
      </c>
      <c r="D2" s="2" t="s">
        <v>1190</v>
      </c>
      <c r="E2" s="2">
        <v>2774</v>
      </c>
      <c r="F2" s="2">
        <v>427</v>
      </c>
      <c r="G2" s="2">
        <v>325</v>
      </c>
      <c r="H2" s="2">
        <f>F2-G2</f>
        <v>102</v>
      </c>
      <c r="I2" s="2">
        <v>9</v>
      </c>
      <c r="J2" s="2">
        <v>0</v>
      </c>
      <c r="K2" s="2">
        <v>0</v>
      </c>
      <c r="L2" s="2">
        <v>0</v>
      </c>
      <c r="M2" s="2">
        <v>20</v>
      </c>
      <c r="N2" s="2">
        <v>0</v>
      </c>
      <c r="O2" s="2">
        <v>73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/>
      <c r="AJ2" s="2" t="s">
        <v>80</v>
      </c>
      <c r="AK2" s="2">
        <f t="shared" ref="AK2:AK65" si="1">+I2+AF2</f>
        <v>9</v>
      </c>
      <c r="AL2" s="2">
        <f t="shared" ref="AL2:AL65" si="2">+J2+K2+O2+N2+P2+R2+S2+Q2+M2+L2</f>
        <v>93</v>
      </c>
      <c r="AM2" s="2">
        <f t="shared" ref="AM2:AM65" si="3">+AB2+AC2</f>
        <v>0</v>
      </c>
      <c r="AN2" s="2">
        <f t="shared" ref="AN2:AN65" si="4">+AH2+AG2+AA2+Z2</f>
        <v>0</v>
      </c>
      <c r="AO2" s="2">
        <f t="shared" ref="AO2:AO65" si="5">+X2+W2+V2+U2+T2+Y2</f>
        <v>0</v>
      </c>
      <c r="AP2" s="2">
        <f t="shared" ref="AP2:AP65" si="6">+AD2</f>
        <v>0</v>
      </c>
      <c r="AQ2" s="25">
        <f t="shared" ref="AQ2:AQ65" si="7">+AE2</f>
        <v>0</v>
      </c>
    </row>
    <row r="3" spans="1:43">
      <c r="A3" s="24">
        <v>46114</v>
      </c>
      <c r="B3" s="23">
        <f t="shared" si="0"/>
        <v>46113</v>
      </c>
      <c r="C3" s="2" t="s">
        <v>72</v>
      </c>
      <c r="D3" s="2" t="s">
        <v>1540</v>
      </c>
      <c r="E3" s="2">
        <v>1767</v>
      </c>
      <c r="F3" s="2">
        <v>56</v>
      </c>
      <c r="G3" s="2">
        <v>54</v>
      </c>
      <c r="H3" s="2">
        <f t="shared" ref="H3:H66" si="8">F3-G3</f>
        <v>2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/>
      <c r="AJ3" s="2" t="s">
        <v>80</v>
      </c>
      <c r="AK3" s="2">
        <f t="shared" si="1"/>
        <v>1</v>
      </c>
      <c r="AL3" s="2">
        <f t="shared" si="2"/>
        <v>1</v>
      </c>
      <c r="AM3" s="2">
        <f t="shared" si="3"/>
        <v>0</v>
      </c>
      <c r="AN3" s="2">
        <f t="shared" si="4"/>
        <v>0</v>
      </c>
      <c r="AO3" s="2">
        <f t="shared" si="5"/>
        <v>0</v>
      </c>
      <c r="AP3" s="2">
        <f t="shared" si="6"/>
        <v>0</v>
      </c>
      <c r="AQ3" s="25">
        <f t="shared" si="7"/>
        <v>0</v>
      </c>
    </row>
    <row r="4" spans="1:43">
      <c r="A4" s="24">
        <v>46114</v>
      </c>
      <c r="B4" s="23">
        <f t="shared" si="0"/>
        <v>46113</v>
      </c>
      <c r="C4" s="2" t="s">
        <v>82</v>
      </c>
      <c r="D4" s="2" t="s">
        <v>1419</v>
      </c>
      <c r="E4" s="2">
        <v>2664</v>
      </c>
      <c r="F4" s="2">
        <v>126</v>
      </c>
      <c r="G4" s="2">
        <v>123</v>
      </c>
      <c r="H4" s="2">
        <f t="shared" si="8"/>
        <v>3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3</v>
      </c>
      <c r="AE4" s="2">
        <v>0</v>
      </c>
      <c r="AF4" s="2">
        <v>0</v>
      </c>
      <c r="AG4" s="2">
        <v>0</v>
      </c>
      <c r="AH4" s="2">
        <v>0</v>
      </c>
      <c r="AI4" s="2"/>
      <c r="AJ4" s="2" t="s">
        <v>80</v>
      </c>
      <c r="AK4" s="2">
        <f t="shared" si="1"/>
        <v>0</v>
      </c>
      <c r="AL4" s="2">
        <f t="shared" si="2"/>
        <v>0</v>
      </c>
      <c r="AM4" s="2">
        <f t="shared" si="3"/>
        <v>0</v>
      </c>
      <c r="AN4" s="2">
        <f t="shared" si="4"/>
        <v>0</v>
      </c>
      <c r="AO4" s="2">
        <f t="shared" si="5"/>
        <v>0</v>
      </c>
      <c r="AP4" s="2">
        <f t="shared" si="6"/>
        <v>3</v>
      </c>
      <c r="AQ4" s="25">
        <f t="shared" si="7"/>
        <v>0</v>
      </c>
    </row>
    <row r="5" spans="1:43">
      <c r="A5" s="24">
        <v>46114</v>
      </c>
      <c r="B5" s="23">
        <f t="shared" si="0"/>
        <v>46113</v>
      </c>
      <c r="C5" s="2" t="s">
        <v>66</v>
      </c>
      <c r="D5" s="2" t="s">
        <v>1290</v>
      </c>
      <c r="E5" s="2">
        <v>1636</v>
      </c>
      <c r="F5" s="2">
        <v>63</v>
      </c>
      <c r="G5" s="2">
        <v>55</v>
      </c>
      <c r="H5" s="2">
        <f t="shared" si="8"/>
        <v>8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3</v>
      </c>
      <c r="AA5" s="2">
        <v>0</v>
      </c>
      <c r="AB5" s="2">
        <v>5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/>
      <c r="AJ5" s="2" t="s">
        <v>80</v>
      </c>
      <c r="AK5" s="2">
        <f t="shared" si="1"/>
        <v>0</v>
      </c>
      <c r="AL5" s="2">
        <f t="shared" si="2"/>
        <v>0</v>
      </c>
      <c r="AM5" s="2">
        <f t="shared" si="3"/>
        <v>5</v>
      </c>
      <c r="AN5" s="2">
        <f t="shared" si="4"/>
        <v>3</v>
      </c>
      <c r="AO5" s="2">
        <f t="shared" si="5"/>
        <v>0</v>
      </c>
      <c r="AP5" s="2">
        <f t="shared" si="6"/>
        <v>0</v>
      </c>
      <c r="AQ5" s="25">
        <f t="shared" si="7"/>
        <v>0</v>
      </c>
    </row>
    <row r="6" spans="1:43">
      <c r="A6" s="24">
        <v>46114</v>
      </c>
      <c r="B6" s="23">
        <f t="shared" si="0"/>
        <v>46113</v>
      </c>
      <c r="C6" s="2" t="s">
        <v>82</v>
      </c>
      <c r="D6" s="2" t="s">
        <v>1190</v>
      </c>
      <c r="E6" s="2">
        <v>2774</v>
      </c>
      <c r="F6" s="2">
        <v>32</v>
      </c>
      <c r="G6" s="2">
        <v>0</v>
      </c>
      <c r="H6" s="2">
        <f t="shared" si="8"/>
        <v>32</v>
      </c>
      <c r="I6" s="2">
        <v>0</v>
      </c>
      <c r="J6" s="2">
        <v>0</v>
      </c>
      <c r="K6" s="2">
        <v>0</v>
      </c>
      <c r="L6" s="2">
        <v>0</v>
      </c>
      <c r="M6" s="2">
        <v>16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16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/>
      <c r="AJ6" s="2" t="s">
        <v>80</v>
      </c>
      <c r="AK6" s="2">
        <f t="shared" si="1"/>
        <v>0</v>
      </c>
      <c r="AL6" s="2">
        <f t="shared" si="2"/>
        <v>16</v>
      </c>
      <c r="AM6" s="2">
        <f t="shared" si="3"/>
        <v>0</v>
      </c>
      <c r="AN6" s="2">
        <f t="shared" si="4"/>
        <v>16</v>
      </c>
      <c r="AO6" s="2">
        <f t="shared" si="5"/>
        <v>0</v>
      </c>
      <c r="AP6" s="2">
        <f t="shared" si="6"/>
        <v>0</v>
      </c>
      <c r="AQ6" s="25">
        <f t="shared" si="7"/>
        <v>0</v>
      </c>
    </row>
    <row r="7" spans="1:43">
      <c r="A7" s="24">
        <v>46114</v>
      </c>
      <c r="B7" s="23">
        <f t="shared" si="0"/>
        <v>46113</v>
      </c>
      <c r="C7" s="2" t="s">
        <v>66</v>
      </c>
      <c r="D7" s="2" t="s">
        <v>1287</v>
      </c>
      <c r="E7" s="2">
        <v>1636</v>
      </c>
      <c r="F7" s="2">
        <v>280</v>
      </c>
      <c r="G7" s="2">
        <v>275</v>
      </c>
      <c r="H7" s="2">
        <f t="shared" si="8"/>
        <v>5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/>
      <c r="AJ7" s="2" t="s">
        <v>80</v>
      </c>
      <c r="AK7" s="2">
        <f t="shared" si="1"/>
        <v>2</v>
      </c>
      <c r="AL7" s="2">
        <f t="shared" si="2"/>
        <v>3</v>
      </c>
      <c r="AM7" s="2">
        <f t="shared" si="3"/>
        <v>0</v>
      </c>
      <c r="AN7" s="2">
        <f t="shared" si="4"/>
        <v>0</v>
      </c>
      <c r="AO7" s="2">
        <f t="shared" si="5"/>
        <v>0</v>
      </c>
      <c r="AP7" s="2">
        <f t="shared" si="6"/>
        <v>0</v>
      </c>
      <c r="AQ7" s="25">
        <f t="shared" si="7"/>
        <v>0</v>
      </c>
    </row>
    <row r="8" spans="1:43">
      <c r="A8" s="24">
        <v>46114</v>
      </c>
      <c r="B8" s="23">
        <f t="shared" si="0"/>
        <v>46113</v>
      </c>
      <c r="C8" s="2" t="s">
        <v>133</v>
      </c>
      <c r="D8" s="2" t="s">
        <v>1538</v>
      </c>
      <c r="E8" s="2">
        <v>10059</v>
      </c>
      <c r="F8" s="2">
        <v>168</v>
      </c>
      <c r="G8" s="2">
        <v>160</v>
      </c>
      <c r="H8" s="2">
        <f t="shared" si="8"/>
        <v>8</v>
      </c>
      <c r="I8" s="2">
        <v>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/>
      <c r="AJ8" s="2" t="s">
        <v>1566</v>
      </c>
      <c r="AK8" s="2">
        <f t="shared" si="1"/>
        <v>8</v>
      </c>
      <c r="AL8" s="2">
        <f t="shared" si="2"/>
        <v>0</v>
      </c>
      <c r="AM8" s="2">
        <f t="shared" si="3"/>
        <v>0</v>
      </c>
      <c r="AN8" s="2">
        <f t="shared" si="4"/>
        <v>0</v>
      </c>
      <c r="AO8" s="2">
        <f t="shared" si="5"/>
        <v>0</v>
      </c>
      <c r="AP8" s="2">
        <f t="shared" si="6"/>
        <v>0</v>
      </c>
      <c r="AQ8" s="25">
        <f t="shared" si="7"/>
        <v>0</v>
      </c>
    </row>
    <row r="9" spans="1:43">
      <c r="A9" s="24">
        <v>46114</v>
      </c>
      <c r="B9" s="23">
        <f t="shared" si="0"/>
        <v>46113</v>
      </c>
      <c r="C9" s="2" t="s">
        <v>72</v>
      </c>
      <c r="D9" s="2" t="s">
        <v>435</v>
      </c>
      <c r="E9" s="2">
        <v>2639</v>
      </c>
      <c r="F9" s="2">
        <v>413</v>
      </c>
      <c r="G9" s="2">
        <v>412</v>
      </c>
      <c r="H9" s="2">
        <f t="shared" si="8"/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/>
      <c r="AJ9" s="2" t="s">
        <v>103</v>
      </c>
      <c r="AK9" s="2">
        <f t="shared" si="1"/>
        <v>1</v>
      </c>
      <c r="AL9" s="2">
        <f t="shared" si="2"/>
        <v>0</v>
      </c>
      <c r="AM9" s="2">
        <f t="shared" si="3"/>
        <v>0</v>
      </c>
      <c r="AN9" s="2">
        <f t="shared" si="4"/>
        <v>0</v>
      </c>
      <c r="AO9" s="2">
        <f t="shared" si="5"/>
        <v>0</v>
      </c>
      <c r="AP9" s="2">
        <f t="shared" si="6"/>
        <v>0</v>
      </c>
      <c r="AQ9" s="25">
        <f t="shared" si="7"/>
        <v>0</v>
      </c>
    </row>
    <row r="10" spans="1:43">
      <c r="A10" s="24">
        <v>46114</v>
      </c>
      <c r="B10" s="23">
        <f t="shared" si="0"/>
        <v>46113</v>
      </c>
      <c r="C10" s="2" t="s">
        <v>72</v>
      </c>
      <c r="D10" s="2" t="s">
        <v>1494</v>
      </c>
      <c r="E10" s="2">
        <v>10063</v>
      </c>
      <c r="F10" s="2">
        <v>47</v>
      </c>
      <c r="G10" s="2">
        <v>45</v>
      </c>
      <c r="H10" s="2">
        <f t="shared" si="8"/>
        <v>2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/>
      <c r="AJ10" s="2" t="s">
        <v>103</v>
      </c>
      <c r="AK10" s="2">
        <f t="shared" si="1"/>
        <v>2</v>
      </c>
      <c r="AL10" s="2">
        <f t="shared" si="2"/>
        <v>0</v>
      </c>
      <c r="AM10" s="2">
        <f t="shared" si="3"/>
        <v>0</v>
      </c>
      <c r="AN10" s="2">
        <f t="shared" si="4"/>
        <v>0</v>
      </c>
      <c r="AO10" s="2">
        <f t="shared" si="5"/>
        <v>0</v>
      </c>
      <c r="AP10" s="2">
        <f t="shared" si="6"/>
        <v>0</v>
      </c>
      <c r="AQ10" s="25">
        <f t="shared" si="7"/>
        <v>0</v>
      </c>
    </row>
    <row r="11" spans="1:43">
      <c r="A11" s="24">
        <v>46114</v>
      </c>
      <c r="B11" s="23">
        <f t="shared" si="0"/>
        <v>46113</v>
      </c>
      <c r="C11" s="2" t="s">
        <v>114</v>
      </c>
      <c r="D11" s="2" t="s">
        <v>1511</v>
      </c>
      <c r="E11" s="2">
        <v>311</v>
      </c>
      <c r="F11" s="2">
        <v>28</v>
      </c>
      <c r="G11" s="2">
        <v>28</v>
      </c>
      <c r="H11" s="2">
        <f t="shared" si="8"/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/>
      <c r="AJ11" s="2" t="s">
        <v>103</v>
      </c>
      <c r="AK11" s="2">
        <f t="shared" si="1"/>
        <v>0</v>
      </c>
      <c r="AL11" s="2">
        <f t="shared" si="2"/>
        <v>0</v>
      </c>
      <c r="AM11" s="2">
        <f t="shared" si="3"/>
        <v>0</v>
      </c>
      <c r="AN11" s="2">
        <f t="shared" si="4"/>
        <v>0</v>
      </c>
      <c r="AO11" s="2">
        <f t="shared" si="5"/>
        <v>0</v>
      </c>
      <c r="AP11" s="2">
        <f t="shared" si="6"/>
        <v>0</v>
      </c>
      <c r="AQ11" s="25">
        <f t="shared" si="7"/>
        <v>0</v>
      </c>
    </row>
    <row r="12" spans="1:43">
      <c r="A12" s="24">
        <v>46114</v>
      </c>
      <c r="B12" s="23">
        <f t="shared" si="0"/>
        <v>46113</v>
      </c>
      <c r="C12" s="2" t="s">
        <v>114</v>
      </c>
      <c r="D12" s="2" t="s">
        <v>1383</v>
      </c>
      <c r="E12" s="2">
        <v>1870</v>
      </c>
      <c r="F12" s="2">
        <v>660</v>
      </c>
      <c r="G12" s="2">
        <v>636</v>
      </c>
      <c r="H12" s="2">
        <f t="shared" si="8"/>
        <v>24</v>
      </c>
      <c r="I12" s="2">
        <v>13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/>
      <c r="AJ12" s="2" t="s">
        <v>103</v>
      </c>
      <c r="AK12" s="2">
        <f t="shared" si="1"/>
        <v>13</v>
      </c>
      <c r="AL12" s="2">
        <f t="shared" si="2"/>
        <v>11</v>
      </c>
      <c r="AM12" s="2">
        <f t="shared" si="3"/>
        <v>0</v>
      </c>
      <c r="AN12" s="2">
        <f t="shared" si="4"/>
        <v>0</v>
      </c>
      <c r="AO12" s="2">
        <f t="shared" si="5"/>
        <v>0</v>
      </c>
      <c r="AP12" s="2">
        <f t="shared" si="6"/>
        <v>0</v>
      </c>
      <c r="AQ12" s="25">
        <f t="shared" si="7"/>
        <v>0</v>
      </c>
    </row>
    <row r="13" spans="1:43">
      <c r="A13" s="24">
        <v>46114</v>
      </c>
      <c r="B13" s="23">
        <f t="shared" si="0"/>
        <v>46113</v>
      </c>
      <c r="C13" s="2" t="s">
        <v>72</v>
      </c>
      <c r="D13" s="2" t="s">
        <v>1295</v>
      </c>
      <c r="E13" s="2">
        <v>2455</v>
      </c>
      <c r="F13" s="2">
        <v>59</v>
      </c>
      <c r="G13" s="2">
        <v>59</v>
      </c>
      <c r="H13" s="2">
        <f t="shared" si="8"/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/>
      <c r="AJ13" s="2" t="s">
        <v>103</v>
      </c>
      <c r="AK13" s="2">
        <f t="shared" si="1"/>
        <v>0</v>
      </c>
      <c r="AL13" s="2">
        <f t="shared" si="2"/>
        <v>0</v>
      </c>
      <c r="AM13" s="2">
        <f t="shared" si="3"/>
        <v>0</v>
      </c>
      <c r="AN13" s="2">
        <f t="shared" si="4"/>
        <v>0</v>
      </c>
      <c r="AO13" s="2">
        <f t="shared" si="5"/>
        <v>0</v>
      </c>
      <c r="AP13" s="2">
        <f t="shared" si="6"/>
        <v>0</v>
      </c>
      <c r="AQ13" s="25">
        <f t="shared" si="7"/>
        <v>0</v>
      </c>
    </row>
    <row r="14" spans="1:43">
      <c r="A14" s="24">
        <v>46114</v>
      </c>
      <c r="B14" s="23">
        <f t="shared" si="0"/>
        <v>46113</v>
      </c>
      <c r="C14" s="2" t="s">
        <v>46</v>
      </c>
      <c r="D14" s="2" t="s">
        <v>584</v>
      </c>
      <c r="E14" s="2">
        <v>2761</v>
      </c>
      <c r="F14" s="2">
        <v>42</v>
      </c>
      <c r="G14" s="2">
        <v>40</v>
      </c>
      <c r="H14" s="2">
        <f t="shared" si="8"/>
        <v>2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/>
      <c r="AJ14" s="2" t="s">
        <v>1567</v>
      </c>
      <c r="AK14" s="2">
        <f t="shared" si="1"/>
        <v>2</v>
      </c>
      <c r="AL14" s="2">
        <f t="shared" si="2"/>
        <v>0</v>
      </c>
      <c r="AM14" s="2">
        <f t="shared" si="3"/>
        <v>0</v>
      </c>
      <c r="AN14" s="2">
        <f t="shared" si="4"/>
        <v>0</v>
      </c>
      <c r="AO14" s="2">
        <f t="shared" si="5"/>
        <v>0</v>
      </c>
      <c r="AP14" s="2">
        <f t="shared" si="6"/>
        <v>0</v>
      </c>
      <c r="AQ14" s="25">
        <f t="shared" si="7"/>
        <v>0</v>
      </c>
    </row>
    <row r="15" spans="1:43">
      <c r="A15" s="24">
        <v>46114</v>
      </c>
      <c r="B15" s="23">
        <f t="shared" si="0"/>
        <v>46113</v>
      </c>
      <c r="C15" s="2" t="s">
        <v>66</v>
      </c>
      <c r="D15" s="2" t="s">
        <v>1540</v>
      </c>
      <c r="E15" s="2">
        <v>1767</v>
      </c>
      <c r="F15" s="2">
        <v>8</v>
      </c>
      <c r="G15" s="2">
        <v>8</v>
      </c>
      <c r="H15" s="2">
        <f t="shared" si="8"/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/>
      <c r="AJ15" s="2" t="s">
        <v>1568</v>
      </c>
      <c r="AK15" s="2">
        <f t="shared" si="1"/>
        <v>0</v>
      </c>
      <c r="AL15" s="2">
        <f t="shared" si="2"/>
        <v>0</v>
      </c>
      <c r="AM15" s="2">
        <f t="shared" si="3"/>
        <v>0</v>
      </c>
      <c r="AN15" s="2">
        <f t="shared" si="4"/>
        <v>0</v>
      </c>
      <c r="AO15" s="2">
        <f t="shared" si="5"/>
        <v>0</v>
      </c>
      <c r="AP15" s="2">
        <f t="shared" si="6"/>
        <v>0</v>
      </c>
      <c r="AQ15" s="25">
        <f t="shared" si="7"/>
        <v>0</v>
      </c>
    </row>
    <row r="16" spans="1:43">
      <c r="A16" s="24">
        <v>46114</v>
      </c>
      <c r="B16" s="23">
        <f t="shared" si="0"/>
        <v>46113</v>
      </c>
      <c r="C16" s="2" t="s">
        <v>63</v>
      </c>
      <c r="D16" s="2" t="s">
        <v>468</v>
      </c>
      <c r="E16" s="2">
        <v>2670</v>
      </c>
      <c r="F16" s="2">
        <v>20</v>
      </c>
      <c r="G16" s="2">
        <v>20</v>
      </c>
      <c r="H16" s="2">
        <f t="shared" si="8"/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/>
      <c r="AJ16" s="2" t="s">
        <v>1568</v>
      </c>
      <c r="AK16" s="2">
        <f t="shared" si="1"/>
        <v>0</v>
      </c>
      <c r="AL16" s="2">
        <f t="shared" si="2"/>
        <v>0</v>
      </c>
      <c r="AM16" s="2">
        <f t="shared" si="3"/>
        <v>0</v>
      </c>
      <c r="AN16" s="2">
        <f t="shared" si="4"/>
        <v>0</v>
      </c>
      <c r="AO16" s="2">
        <f t="shared" si="5"/>
        <v>0</v>
      </c>
      <c r="AP16" s="2">
        <f t="shared" si="6"/>
        <v>0</v>
      </c>
      <c r="AQ16" s="25">
        <f t="shared" si="7"/>
        <v>0</v>
      </c>
    </row>
    <row r="17" spans="1:43">
      <c r="A17" s="24">
        <v>46114</v>
      </c>
      <c r="B17" s="23">
        <f t="shared" si="0"/>
        <v>46113</v>
      </c>
      <c r="C17" s="2" t="s">
        <v>63</v>
      </c>
      <c r="D17" s="2" t="s">
        <v>507</v>
      </c>
      <c r="E17" s="2">
        <v>2725</v>
      </c>
      <c r="F17" s="2">
        <v>192</v>
      </c>
      <c r="G17" s="2">
        <v>192</v>
      </c>
      <c r="H17" s="2">
        <f t="shared" si="8"/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/>
      <c r="AJ17" s="2" t="s">
        <v>1568</v>
      </c>
      <c r="AK17" s="2">
        <f t="shared" si="1"/>
        <v>0</v>
      </c>
      <c r="AL17" s="2">
        <f t="shared" si="2"/>
        <v>0</v>
      </c>
      <c r="AM17" s="2">
        <f t="shared" si="3"/>
        <v>0</v>
      </c>
      <c r="AN17" s="2">
        <f t="shared" si="4"/>
        <v>0</v>
      </c>
      <c r="AO17" s="2">
        <f t="shared" si="5"/>
        <v>0</v>
      </c>
      <c r="AP17" s="2">
        <f t="shared" si="6"/>
        <v>0</v>
      </c>
      <c r="AQ17" s="25">
        <f t="shared" si="7"/>
        <v>0</v>
      </c>
    </row>
    <row r="18" spans="1:43">
      <c r="A18" s="24">
        <v>46115</v>
      </c>
      <c r="B18" s="23">
        <f t="shared" si="0"/>
        <v>46113</v>
      </c>
      <c r="C18" s="2" t="s">
        <v>72</v>
      </c>
      <c r="D18" s="2" t="s">
        <v>429</v>
      </c>
      <c r="E18" s="2">
        <v>2576</v>
      </c>
      <c r="F18" s="2">
        <v>159</v>
      </c>
      <c r="G18" s="2">
        <v>159</v>
      </c>
      <c r="H18" s="2">
        <f t="shared" si="8"/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/>
      <c r="AJ18" s="2" t="s">
        <v>103</v>
      </c>
      <c r="AK18" s="2">
        <f t="shared" si="1"/>
        <v>0</v>
      </c>
      <c r="AL18" s="2">
        <f t="shared" si="2"/>
        <v>0</v>
      </c>
      <c r="AM18" s="2">
        <f t="shared" si="3"/>
        <v>0</v>
      </c>
      <c r="AN18" s="2">
        <f t="shared" si="4"/>
        <v>0</v>
      </c>
      <c r="AO18" s="2">
        <f t="shared" si="5"/>
        <v>0</v>
      </c>
      <c r="AP18" s="2">
        <f t="shared" si="6"/>
        <v>0</v>
      </c>
      <c r="AQ18" s="25">
        <f t="shared" si="7"/>
        <v>0</v>
      </c>
    </row>
    <row r="19" spans="1:43">
      <c r="A19" s="24">
        <v>46115</v>
      </c>
      <c r="B19" s="23">
        <f t="shared" si="0"/>
        <v>46113</v>
      </c>
      <c r="C19" s="2" t="s">
        <v>72</v>
      </c>
      <c r="D19" s="2" t="s">
        <v>551</v>
      </c>
      <c r="E19" s="2">
        <v>1877</v>
      </c>
      <c r="F19" s="2">
        <v>159</v>
      </c>
      <c r="G19" s="2">
        <v>156</v>
      </c>
      <c r="H19" s="2">
        <f t="shared" si="8"/>
        <v>3</v>
      </c>
      <c r="I19" s="2">
        <v>0</v>
      </c>
      <c r="J19" s="2">
        <v>3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/>
      <c r="AJ19" s="2" t="s">
        <v>103</v>
      </c>
      <c r="AK19" s="2">
        <f t="shared" si="1"/>
        <v>0</v>
      </c>
      <c r="AL19" s="2">
        <f t="shared" si="2"/>
        <v>3</v>
      </c>
      <c r="AM19" s="2">
        <f t="shared" si="3"/>
        <v>0</v>
      </c>
      <c r="AN19" s="2">
        <f t="shared" si="4"/>
        <v>0</v>
      </c>
      <c r="AO19" s="2">
        <f t="shared" si="5"/>
        <v>0</v>
      </c>
      <c r="AP19" s="2">
        <f t="shared" si="6"/>
        <v>0</v>
      </c>
      <c r="AQ19" s="25">
        <f t="shared" si="7"/>
        <v>0</v>
      </c>
    </row>
    <row r="20" spans="1:43">
      <c r="A20" s="24">
        <v>46115</v>
      </c>
      <c r="B20" s="23">
        <f t="shared" si="0"/>
        <v>46113</v>
      </c>
      <c r="C20" s="2" t="s">
        <v>114</v>
      </c>
      <c r="D20" s="2" t="s">
        <v>444</v>
      </c>
      <c r="E20" s="2">
        <v>2575</v>
      </c>
      <c r="F20" s="2">
        <v>786</v>
      </c>
      <c r="G20" s="2">
        <v>783</v>
      </c>
      <c r="H20" s="2">
        <f t="shared" si="8"/>
        <v>3</v>
      </c>
      <c r="I20" s="2">
        <v>0</v>
      </c>
      <c r="J20" s="2">
        <v>0</v>
      </c>
      <c r="K20" s="2">
        <v>3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/>
      <c r="AJ20" s="2" t="s">
        <v>103</v>
      </c>
      <c r="AK20" s="2">
        <f t="shared" si="1"/>
        <v>0</v>
      </c>
      <c r="AL20" s="2">
        <f t="shared" si="2"/>
        <v>3</v>
      </c>
      <c r="AM20" s="2">
        <f t="shared" si="3"/>
        <v>0</v>
      </c>
      <c r="AN20" s="2">
        <f t="shared" si="4"/>
        <v>0</v>
      </c>
      <c r="AO20" s="2">
        <f t="shared" si="5"/>
        <v>0</v>
      </c>
      <c r="AP20" s="2">
        <f t="shared" si="6"/>
        <v>0</v>
      </c>
      <c r="AQ20" s="25">
        <f t="shared" si="7"/>
        <v>0</v>
      </c>
    </row>
    <row r="21" spans="1:43">
      <c r="A21" s="24">
        <v>46115</v>
      </c>
      <c r="B21" s="23">
        <f t="shared" si="0"/>
        <v>46113</v>
      </c>
      <c r="C21" s="2" t="s">
        <v>72</v>
      </c>
      <c r="D21" s="2" t="s">
        <v>484</v>
      </c>
      <c r="E21" s="2">
        <v>2648</v>
      </c>
      <c r="F21" s="2">
        <v>138</v>
      </c>
      <c r="G21" s="2">
        <v>137</v>
      </c>
      <c r="H21" s="2">
        <f t="shared" si="8"/>
        <v>1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/>
      <c r="AJ21" s="2" t="s">
        <v>103</v>
      </c>
      <c r="AK21" s="2">
        <f t="shared" si="1"/>
        <v>1</v>
      </c>
      <c r="AL21" s="2">
        <f t="shared" si="2"/>
        <v>0</v>
      </c>
      <c r="AM21" s="2">
        <f t="shared" si="3"/>
        <v>0</v>
      </c>
      <c r="AN21" s="2">
        <f t="shared" si="4"/>
        <v>0</v>
      </c>
      <c r="AO21" s="2">
        <f t="shared" si="5"/>
        <v>0</v>
      </c>
      <c r="AP21" s="2">
        <f t="shared" si="6"/>
        <v>0</v>
      </c>
      <c r="AQ21" s="25">
        <f t="shared" si="7"/>
        <v>0</v>
      </c>
    </row>
    <row r="22" spans="1:43">
      <c r="A22" s="24">
        <v>46115</v>
      </c>
      <c r="B22" s="23">
        <f t="shared" si="0"/>
        <v>46113</v>
      </c>
      <c r="C22" s="2" t="s">
        <v>72</v>
      </c>
      <c r="D22" s="2" t="s">
        <v>536</v>
      </c>
      <c r="E22" s="2">
        <v>2648</v>
      </c>
      <c r="F22" s="2">
        <v>77</v>
      </c>
      <c r="G22" s="2">
        <v>66</v>
      </c>
      <c r="H22" s="2">
        <f t="shared" si="8"/>
        <v>11</v>
      </c>
      <c r="I22" s="2">
        <v>0</v>
      </c>
      <c r="J22" s="2">
        <v>8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3</v>
      </c>
      <c r="AE22" s="2">
        <v>0</v>
      </c>
      <c r="AF22" s="2">
        <v>0</v>
      </c>
      <c r="AG22" s="2">
        <v>0</v>
      </c>
      <c r="AH22" s="2">
        <v>0</v>
      </c>
      <c r="AI22" s="2"/>
      <c r="AJ22" s="2" t="s">
        <v>103</v>
      </c>
      <c r="AK22" s="2">
        <f t="shared" si="1"/>
        <v>0</v>
      </c>
      <c r="AL22" s="2">
        <f t="shared" si="2"/>
        <v>8</v>
      </c>
      <c r="AM22" s="2">
        <f t="shared" si="3"/>
        <v>0</v>
      </c>
      <c r="AN22" s="2">
        <f t="shared" si="4"/>
        <v>0</v>
      </c>
      <c r="AO22" s="2">
        <f t="shared" si="5"/>
        <v>0</v>
      </c>
      <c r="AP22" s="2">
        <f t="shared" si="6"/>
        <v>3</v>
      </c>
      <c r="AQ22" s="25">
        <f t="shared" si="7"/>
        <v>0</v>
      </c>
    </row>
    <row r="23" spans="1:43">
      <c r="A23" s="24">
        <v>46115</v>
      </c>
      <c r="B23" s="23">
        <f t="shared" si="0"/>
        <v>46113</v>
      </c>
      <c r="C23" s="2" t="s">
        <v>97</v>
      </c>
      <c r="D23" s="2" t="s">
        <v>1495</v>
      </c>
      <c r="E23" s="2">
        <v>10063</v>
      </c>
      <c r="F23" s="2">
        <v>43</v>
      </c>
      <c r="G23" s="2">
        <v>39</v>
      </c>
      <c r="H23" s="2">
        <f t="shared" si="8"/>
        <v>4</v>
      </c>
      <c r="I23" s="2">
        <v>4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/>
      <c r="AJ23" s="2" t="s">
        <v>103</v>
      </c>
      <c r="AK23" s="2">
        <f t="shared" si="1"/>
        <v>4</v>
      </c>
      <c r="AL23" s="2">
        <f t="shared" si="2"/>
        <v>0</v>
      </c>
      <c r="AM23" s="2">
        <f t="shared" si="3"/>
        <v>0</v>
      </c>
      <c r="AN23" s="2">
        <f t="shared" si="4"/>
        <v>0</v>
      </c>
      <c r="AO23" s="2">
        <f t="shared" si="5"/>
        <v>0</v>
      </c>
      <c r="AP23" s="2">
        <f t="shared" si="6"/>
        <v>0</v>
      </c>
      <c r="AQ23" s="25">
        <f t="shared" si="7"/>
        <v>0</v>
      </c>
    </row>
    <row r="24" spans="1:43">
      <c r="A24" s="24">
        <v>46115</v>
      </c>
      <c r="B24" s="23">
        <f t="shared" si="0"/>
        <v>46113</v>
      </c>
      <c r="C24" s="2" t="s">
        <v>82</v>
      </c>
      <c r="D24" s="2" t="s">
        <v>1451</v>
      </c>
      <c r="E24" s="2">
        <v>1636</v>
      </c>
      <c r="F24" s="2">
        <v>320</v>
      </c>
      <c r="G24" s="2">
        <v>320</v>
      </c>
      <c r="H24" s="2">
        <f t="shared" si="8"/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/>
      <c r="AJ24" s="2" t="s">
        <v>99</v>
      </c>
      <c r="AK24" s="2">
        <f t="shared" si="1"/>
        <v>0</v>
      </c>
      <c r="AL24" s="2">
        <f t="shared" si="2"/>
        <v>0</v>
      </c>
      <c r="AM24" s="2">
        <f t="shared" si="3"/>
        <v>0</v>
      </c>
      <c r="AN24" s="2">
        <f t="shared" si="4"/>
        <v>0</v>
      </c>
      <c r="AO24" s="2">
        <f t="shared" si="5"/>
        <v>0</v>
      </c>
      <c r="AP24" s="2">
        <f t="shared" si="6"/>
        <v>0</v>
      </c>
      <c r="AQ24" s="25">
        <f t="shared" si="7"/>
        <v>0</v>
      </c>
    </row>
    <row r="25" spans="1:43">
      <c r="A25" s="24">
        <v>46115</v>
      </c>
      <c r="B25" s="23">
        <f t="shared" si="0"/>
        <v>46113</v>
      </c>
      <c r="C25" s="2" t="s">
        <v>82</v>
      </c>
      <c r="D25" s="2" t="s">
        <v>1287</v>
      </c>
      <c r="E25" s="2">
        <v>1636</v>
      </c>
      <c r="F25" s="2">
        <v>159</v>
      </c>
      <c r="G25" s="2">
        <v>159</v>
      </c>
      <c r="H25" s="2">
        <f t="shared" si="8"/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/>
      <c r="AJ25" s="2" t="s">
        <v>99</v>
      </c>
      <c r="AK25" s="2">
        <f t="shared" si="1"/>
        <v>0</v>
      </c>
      <c r="AL25" s="2">
        <f t="shared" si="2"/>
        <v>0</v>
      </c>
      <c r="AM25" s="2">
        <f t="shared" si="3"/>
        <v>0</v>
      </c>
      <c r="AN25" s="2">
        <f t="shared" si="4"/>
        <v>0</v>
      </c>
      <c r="AO25" s="2">
        <f t="shared" si="5"/>
        <v>0</v>
      </c>
      <c r="AP25" s="2">
        <f t="shared" si="6"/>
        <v>0</v>
      </c>
      <c r="AQ25" s="25">
        <f t="shared" si="7"/>
        <v>0</v>
      </c>
    </row>
    <row r="26" spans="1:43">
      <c r="A26" s="24">
        <v>46115</v>
      </c>
      <c r="B26" s="23">
        <f t="shared" si="0"/>
        <v>46113</v>
      </c>
      <c r="C26" s="2" t="s">
        <v>66</v>
      </c>
      <c r="D26" s="2" t="s">
        <v>570</v>
      </c>
      <c r="E26" s="2">
        <v>1806</v>
      </c>
      <c r="F26" s="2">
        <v>190</v>
      </c>
      <c r="G26" s="2">
        <v>189</v>
      </c>
      <c r="H26" s="2">
        <f t="shared" si="8"/>
        <v>1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/>
      <c r="AJ26" s="2" t="s">
        <v>99</v>
      </c>
      <c r="AK26" s="2">
        <f t="shared" si="1"/>
        <v>1</v>
      </c>
      <c r="AL26" s="2">
        <f t="shared" si="2"/>
        <v>0</v>
      </c>
      <c r="AM26" s="2">
        <f t="shared" si="3"/>
        <v>0</v>
      </c>
      <c r="AN26" s="2">
        <f t="shared" si="4"/>
        <v>0</v>
      </c>
      <c r="AO26" s="2">
        <f t="shared" si="5"/>
        <v>0</v>
      </c>
      <c r="AP26" s="2">
        <f t="shared" si="6"/>
        <v>0</v>
      </c>
      <c r="AQ26" s="25">
        <f t="shared" si="7"/>
        <v>0</v>
      </c>
    </row>
    <row r="27" spans="1:43">
      <c r="A27" s="24">
        <v>46115</v>
      </c>
      <c r="B27" s="23">
        <f t="shared" si="0"/>
        <v>46113</v>
      </c>
      <c r="C27" s="2" t="s">
        <v>97</v>
      </c>
      <c r="D27" s="2" t="s">
        <v>452</v>
      </c>
      <c r="E27" s="2">
        <v>1805</v>
      </c>
      <c r="F27" s="2">
        <v>59</v>
      </c>
      <c r="G27" s="2">
        <v>56</v>
      </c>
      <c r="H27" s="2">
        <f t="shared" si="8"/>
        <v>3</v>
      </c>
      <c r="I27" s="2">
        <v>3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/>
      <c r="AJ27" s="2" t="s">
        <v>99</v>
      </c>
      <c r="AK27" s="2">
        <f t="shared" si="1"/>
        <v>3</v>
      </c>
      <c r="AL27" s="2">
        <f t="shared" si="2"/>
        <v>0</v>
      </c>
      <c r="AM27" s="2">
        <f t="shared" si="3"/>
        <v>0</v>
      </c>
      <c r="AN27" s="2">
        <f t="shared" si="4"/>
        <v>0</v>
      </c>
      <c r="AO27" s="2">
        <f t="shared" si="5"/>
        <v>0</v>
      </c>
      <c r="AP27" s="2">
        <f t="shared" si="6"/>
        <v>0</v>
      </c>
      <c r="AQ27" s="25">
        <f t="shared" si="7"/>
        <v>0</v>
      </c>
    </row>
    <row r="28" spans="1:43">
      <c r="A28" s="24">
        <v>46115</v>
      </c>
      <c r="B28" s="23">
        <f t="shared" si="0"/>
        <v>46113</v>
      </c>
      <c r="C28" s="2" t="s">
        <v>82</v>
      </c>
      <c r="D28" s="2" t="s">
        <v>1510</v>
      </c>
      <c r="E28" s="2">
        <v>1506</v>
      </c>
      <c r="F28" s="2">
        <v>114</v>
      </c>
      <c r="G28" s="2">
        <v>106</v>
      </c>
      <c r="H28" s="2">
        <f t="shared" si="8"/>
        <v>8</v>
      </c>
      <c r="I28" s="2">
        <v>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4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/>
      <c r="AJ28" s="2" t="s">
        <v>99</v>
      </c>
      <c r="AK28" s="2">
        <f t="shared" si="1"/>
        <v>3</v>
      </c>
      <c r="AL28" s="2">
        <f t="shared" si="2"/>
        <v>1</v>
      </c>
      <c r="AM28" s="2">
        <f t="shared" si="3"/>
        <v>4</v>
      </c>
      <c r="AN28" s="2">
        <f t="shared" si="4"/>
        <v>0</v>
      </c>
      <c r="AO28" s="2">
        <f t="shared" si="5"/>
        <v>0</v>
      </c>
      <c r="AP28" s="2">
        <f t="shared" si="6"/>
        <v>0</v>
      </c>
      <c r="AQ28" s="25">
        <f t="shared" si="7"/>
        <v>0</v>
      </c>
    </row>
    <row r="29" spans="1:43">
      <c r="A29" s="24">
        <v>46115</v>
      </c>
      <c r="B29" s="23">
        <f t="shared" si="0"/>
        <v>46113</v>
      </c>
      <c r="C29" s="2" t="s">
        <v>95</v>
      </c>
      <c r="D29" s="2" t="s">
        <v>1418</v>
      </c>
      <c r="E29" s="2">
        <v>1698</v>
      </c>
      <c r="F29" s="2">
        <v>20</v>
      </c>
      <c r="G29" s="2">
        <v>19</v>
      </c>
      <c r="H29" s="2">
        <f t="shared" si="8"/>
        <v>1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/>
      <c r="AJ29" s="2" t="s">
        <v>1567</v>
      </c>
      <c r="AK29" s="2">
        <f t="shared" si="1"/>
        <v>1</v>
      </c>
      <c r="AL29" s="2">
        <f t="shared" si="2"/>
        <v>0</v>
      </c>
      <c r="AM29" s="2">
        <f t="shared" si="3"/>
        <v>0</v>
      </c>
      <c r="AN29" s="2">
        <f t="shared" si="4"/>
        <v>0</v>
      </c>
      <c r="AO29" s="2">
        <f t="shared" si="5"/>
        <v>0</v>
      </c>
      <c r="AP29" s="2">
        <f t="shared" si="6"/>
        <v>0</v>
      </c>
      <c r="AQ29" s="25">
        <f t="shared" si="7"/>
        <v>0</v>
      </c>
    </row>
    <row r="30" spans="1:43">
      <c r="A30" s="24">
        <v>46115</v>
      </c>
      <c r="B30" s="23">
        <f t="shared" si="0"/>
        <v>46113</v>
      </c>
      <c r="C30" s="2" t="s">
        <v>95</v>
      </c>
      <c r="D30" s="2" t="s">
        <v>1193</v>
      </c>
      <c r="E30" s="2">
        <v>2687</v>
      </c>
      <c r="F30" s="2">
        <v>39</v>
      </c>
      <c r="G30" s="2">
        <v>37</v>
      </c>
      <c r="H30" s="2">
        <f t="shared" si="8"/>
        <v>2</v>
      </c>
      <c r="I30" s="2">
        <v>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/>
      <c r="AJ30" s="2" t="s">
        <v>1567</v>
      </c>
      <c r="AK30" s="2">
        <f t="shared" si="1"/>
        <v>2</v>
      </c>
      <c r="AL30" s="2">
        <f t="shared" si="2"/>
        <v>0</v>
      </c>
      <c r="AM30" s="2">
        <f t="shared" si="3"/>
        <v>0</v>
      </c>
      <c r="AN30" s="2">
        <f t="shared" si="4"/>
        <v>0</v>
      </c>
      <c r="AO30" s="2">
        <f t="shared" si="5"/>
        <v>0</v>
      </c>
      <c r="AP30" s="2">
        <f t="shared" si="6"/>
        <v>0</v>
      </c>
      <c r="AQ30" s="25">
        <f t="shared" si="7"/>
        <v>0</v>
      </c>
    </row>
    <row r="31" spans="1:43">
      <c r="A31" s="24">
        <v>46115</v>
      </c>
      <c r="B31" s="23">
        <f t="shared" si="0"/>
        <v>46113</v>
      </c>
      <c r="C31" s="2" t="s">
        <v>46</v>
      </c>
      <c r="D31" s="2" t="s">
        <v>511</v>
      </c>
      <c r="E31" s="2">
        <v>2649</v>
      </c>
      <c r="F31" s="2">
        <v>47</v>
      </c>
      <c r="G31" s="2">
        <v>45</v>
      </c>
      <c r="H31" s="2">
        <f t="shared" si="8"/>
        <v>2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/>
      <c r="AJ31" s="2" t="s">
        <v>1567</v>
      </c>
      <c r="AK31" s="2">
        <f t="shared" si="1"/>
        <v>2</v>
      </c>
      <c r="AL31" s="2">
        <f t="shared" si="2"/>
        <v>0</v>
      </c>
      <c r="AM31" s="2">
        <f t="shared" si="3"/>
        <v>0</v>
      </c>
      <c r="AN31" s="2">
        <f t="shared" si="4"/>
        <v>0</v>
      </c>
      <c r="AO31" s="2">
        <f t="shared" si="5"/>
        <v>0</v>
      </c>
      <c r="AP31" s="2">
        <f t="shared" si="6"/>
        <v>0</v>
      </c>
      <c r="AQ31" s="25">
        <f t="shared" si="7"/>
        <v>0</v>
      </c>
    </row>
    <row r="32" spans="1:43">
      <c r="A32" s="24">
        <v>46115</v>
      </c>
      <c r="B32" s="23">
        <f t="shared" si="0"/>
        <v>46113</v>
      </c>
      <c r="C32" s="2" t="s">
        <v>46</v>
      </c>
      <c r="D32" s="2" t="s">
        <v>462</v>
      </c>
      <c r="E32" s="2">
        <v>2665</v>
      </c>
      <c r="F32" s="2">
        <v>48</v>
      </c>
      <c r="G32" s="2">
        <v>47</v>
      </c>
      <c r="H32" s="2">
        <f t="shared" si="8"/>
        <v>1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/>
      <c r="AJ32" s="2" t="s">
        <v>1567</v>
      </c>
      <c r="AK32" s="2">
        <f t="shared" si="1"/>
        <v>1</v>
      </c>
      <c r="AL32" s="2">
        <f t="shared" si="2"/>
        <v>0</v>
      </c>
      <c r="AM32" s="2">
        <f t="shared" si="3"/>
        <v>0</v>
      </c>
      <c r="AN32" s="2">
        <f t="shared" si="4"/>
        <v>0</v>
      </c>
      <c r="AO32" s="2">
        <f t="shared" si="5"/>
        <v>0</v>
      </c>
      <c r="AP32" s="2">
        <f t="shared" si="6"/>
        <v>0</v>
      </c>
      <c r="AQ32" s="25">
        <f t="shared" si="7"/>
        <v>0</v>
      </c>
    </row>
    <row r="33" spans="1:43">
      <c r="A33" s="24">
        <v>46115</v>
      </c>
      <c r="B33" s="23">
        <f t="shared" si="0"/>
        <v>46113</v>
      </c>
      <c r="C33" s="2" t="s">
        <v>46</v>
      </c>
      <c r="D33" s="2" t="s">
        <v>462</v>
      </c>
      <c r="E33" s="2">
        <v>2665</v>
      </c>
      <c r="F33" s="2">
        <v>26</v>
      </c>
      <c r="G33" s="2">
        <v>25</v>
      </c>
      <c r="H33" s="2">
        <f t="shared" si="8"/>
        <v>1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/>
      <c r="AJ33" s="2" t="s">
        <v>1567</v>
      </c>
      <c r="AK33" s="2">
        <f t="shared" si="1"/>
        <v>1</v>
      </c>
      <c r="AL33" s="2">
        <f t="shared" si="2"/>
        <v>0</v>
      </c>
      <c r="AM33" s="2">
        <f t="shared" si="3"/>
        <v>0</v>
      </c>
      <c r="AN33" s="2">
        <f t="shared" si="4"/>
        <v>0</v>
      </c>
      <c r="AO33" s="2">
        <f t="shared" si="5"/>
        <v>0</v>
      </c>
      <c r="AP33" s="2">
        <f t="shared" si="6"/>
        <v>0</v>
      </c>
      <c r="AQ33" s="25">
        <f t="shared" si="7"/>
        <v>0</v>
      </c>
    </row>
    <row r="34" spans="1:43">
      <c r="A34" s="24">
        <v>46115</v>
      </c>
      <c r="B34" s="23">
        <f t="shared" si="0"/>
        <v>46113</v>
      </c>
      <c r="C34" s="2" t="s">
        <v>95</v>
      </c>
      <c r="D34" s="2" t="s">
        <v>557</v>
      </c>
      <c r="E34" s="2">
        <v>2604</v>
      </c>
      <c r="F34" s="2">
        <v>126</v>
      </c>
      <c r="G34" s="2">
        <v>122</v>
      </c>
      <c r="H34" s="2">
        <f t="shared" si="8"/>
        <v>4</v>
      </c>
      <c r="I34" s="2">
        <v>3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/>
      <c r="AJ34" s="2" t="s">
        <v>1567</v>
      </c>
      <c r="AK34" s="2">
        <f t="shared" si="1"/>
        <v>3</v>
      </c>
      <c r="AL34" s="2">
        <f t="shared" si="2"/>
        <v>1</v>
      </c>
      <c r="AM34" s="2">
        <f t="shared" si="3"/>
        <v>0</v>
      </c>
      <c r="AN34" s="2">
        <f t="shared" si="4"/>
        <v>0</v>
      </c>
      <c r="AO34" s="2">
        <f t="shared" si="5"/>
        <v>0</v>
      </c>
      <c r="AP34" s="2">
        <f t="shared" si="6"/>
        <v>0</v>
      </c>
      <c r="AQ34" s="25">
        <f t="shared" si="7"/>
        <v>0</v>
      </c>
    </row>
    <row r="35" spans="1:43">
      <c r="A35" s="24">
        <v>46115</v>
      </c>
      <c r="B35" s="23">
        <f t="shared" si="0"/>
        <v>46113</v>
      </c>
      <c r="C35" s="2" t="s">
        <v>46</v>
      </c>
      <c r="D35" s="2" t="s">
        <v>546</v>
      </c>
      <c r="E35" s="2">
        <v>1845</v>
      </c>
      <c r="F35" s="2">
        <v>65</v>
      </c>
      <c r="G35" s="2">
        <v>63</v>
      </c>
      <c r="H35" s="2">
        <f t="shared" si="8"/>
        <v>2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/>
      <c r="AJ35" s="2" t="s">
        <v>1567</v>
      </c>
      <c r="AK35" s="2">
        <f t="shared" si="1"/>
        <v>1</v>
      </c>
      <c r="AL35" s="2">
        <f t="shared" si="2"/>
        <v>1</v>
      </c>
      <c r="AM35" s="2">
        <f t="shared" si="3"/>
        <v>0</v>
      </c>
      <c r="AN35" s="2">
        <f t="shared" si="4"/>
        <v>0</v>
      </c>
      <c r="AO35" s="2">
        <f t="shared" si="5"/>
        <v>0</v>
      </c>
      <c r="AP35" s="2">
        <f t="shared" si="6"/>
        <v>0</v>
      </c>
      <c r="AQ35" s="25">
        <f t="shared" si="7"/>
        <v>0</v>
      </c>
    </row>
    <row r="36" spans="1:43">
      <c r="A36" s="24">
        <v>46115</v>
      </c>
      <c r="B36" s="23">
        <f t="shared" si="0"/>
        <v>46113</v>
      </c>
      <c r="C36" s="2" t="s">
        <v>95</v>
      </c>
      <c r="D36" s="2" t="s">
        <v>451</v>
      </c>
      <c r="E36" s="2">
        <v>1698</v>
      </c>
      <c r="F36" s="2">
        <v>900</v>
      </c>
      <c r="G36" s="2">
        <v>900</v>
      </c>
      <c r="H36" s="2">
        <f t="shared" si="8"/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/>
      <c r="AJ36" s="2" t="s">
        <v>1567</v>
      </c>
      <c r="AK36" s="2">
        <f t="shared" si="1"/>
        <v>0</v>
      </c>
      <c r="AL36" s="2">
        <f t="shared" si="2"/>
        <v>0</v>
      </c>
      <c r="AM36" s="2">
        <f t="shared" si="3"/>
        <v>0</v>
      </c>
      <c r="AN36" s="2">
        <f t="shared" si="4"/>
        <v>0</v>
      </c>
      <c r="AO36" s="2">
        <f t="shared" si="5"/>
        <v>0</v>
      </c>
      <c r="AP36" s="2">
        <f t="shared" si="6"/>
        <v>0</v>
      </c>
      <c r="AQ36" s="25">
        <f t="shared" si="7"/>
        <v>0</v>
      </c>
    </row>
    <row r="37" spans="1:43">
      <c r="A37" s="24">
        <v>46115</v>
      </c>
      <c r="B37" s="23">
        <f t="shared" si="0"/>
        <v>46113</v>
      </c>
      <c r="C37" s="2" t="s">
        <v>133</v>
      </c>
      <c r="D37" s="2" t="s">
        <v>1540</v>
      </c>
      <c r="E37" s="2">
        <v>1767</v>
      </c>
      <c r="F37" s="2">
        <v>763</v>
      </c>
      <c r="G37" s="2">
        <v>744</v>
      </c>
      <c r="H37" s="2">
        <f t="shared" si="8"/>
        <v>19</v>
      </c>
      <c r="I37" s="2">
        <v>19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/>
      <c r="AJ37" s="2" t="s">
        <v>1566</v>
      </c>
      <c r="AK37" s="2">
        <f t="shared" si="1"/>
        <v>19</v>
      </c>
      <c r="AL37" s="2">
        <f t="shared" si="2"/>
        <v>0</v>
      </c>
      <c r="AM37" s="2">
        <f t="shared" si="3"/>
        <v>0</v>
      </c>
      <c r="AN37" s="2">
        <f t="shared" si="4"/>
        <v>0</v>
      </c>
      <c r="AO37" s="2">
        <f t="shared" si="5"/>
        <v>0</v>
      </c>
      <c r="AP37" s="2">
        <f t="shared" si="6"/>
        <v>0</v>
      </c>
      <c r="AQ37" s="25">
        <f t="shared" si="7"/>
        <v>0</v>
      </c>
    </row>
    <row r="38" spans="1:43">
      <c r="A38" s="24">
        <v>46115</v>
      </c>
      <c r="B38" s="23">
        <f t="shared" si="0"/>
        <v>46113</v>
      </c>
      <c r="C38" s="2" t="s">
        <v>63</v>
      </c>
      <c r="D38" s="2" t="s">
        <v>507</v>
      </c>
      <c r="E38" s="2">
        <v>2725</v>
      </c>
      <c r="F38" s="2">
        <v>824</v>
      </c>
      <c r="G38" s="2">
        <v>790</v>
      </c>
      <c r="H38" s="2">
        <f t="shared" si="8"/>
        <v>34</v>
      </c>
      <c r="I38" s="2">
        <v>30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3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/>
      <c r="AJ38" s="2" t="s">
        <v>1568</v>
      </c>
      <c r="AK38" s="2">
        <f t="shared" si="1"/>
        <v>30</v>
      </c>
      <c r="AL38" s="2">
        <f t="shared" si="2"/>
        <v>1</v>
      </c>
      <c r="AM38" s="2">
        <f t="shared" si="3"/>
        <v>0</v>
      </c>
      <c r="AN38" s="2">
        <f t="shared" si="4"/>
        <v>3</v>
      </c>
      <c r="AO38" s="2">
        <f t="shared" si="5"/>
        <v>0</v>
      </c>
      <c r="AP38" s="2">
        <f t="shared" si="6"/>
        <v>0</v>
      </c>
      <c r="AQ38" s="25">
        <f t="shared" si="7"/>
        <v>0</v>
      </c>
    </row>
    <row r="39" spans="1:43">
      <c r="A39" s="24">
        <v>46115</v>
      </c>
      <c r="B39" s="23">
        <f t="shared" si="0"/>
        <v>46113</v>
      </c>
      <c r="C39" s="2" t="s">
        <v>62</v>
      </c>
      <c r="D39" s="2" t="s">
        <v>1200</v>
      </c>
      <c r="E39" s="2">
        <v>1806</v>
      </c>
      <c r="F39" s="2">
        <v>246</v>
      </c>
      <c r="G39" s="2">
        <v>243</v>
      </c>
      <c r="H39" s="2">
        <f t="shared" si="8"/>
        <v>3</v>
      </c>
      <c r="I39" s="2">
        <v>3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/>
      <c r="AJ39" s="2" t="s">
        <v>1568</v>
      </c>
      <c r="AK39" s="2">
        <f t="shared" si="1"/>
        <v>3</v>
      </c>
      <c r="AL39" s="2">
        <f t="shared" si="2"/>
        <v>0</v>
      </c>
      <c r="AM39" s="2">
        <f t="shared" si="3"/>
        <v>0</v>
      </c>
      <c r="AN39" s="2">
        <f t="shared" si="4"/>
        <v>0</v>
      </c>
      <c r="AO39" s="2">
        <f t="shared" si="5"/>
        <v>0</v>
      </c>
      <c r="AP39" s="2">
        <f t="shared" si="6"/>
        <v>0</v>
      </c>
      <c r="AQ39" s="25">
        <f t="shared" si="7"/>
        <v>0</v>
      </c>
    </row>
    <row r="40" spans="1:43">
      <c r="A40" s="24">
        <v>46115</v>
      </c>
      <c r="B40" s="23">
        <f t="shared" si="0"/>
        <v>46113</v>
      </c>
      <c r="C40" s="2" t="s">
        <v>62</v>
      </c>
      <c r="D40" s="2" t="s">
        <v>461</v>
      </c>
      <c r="E40" s="2">
        <v>1806</v>
      </c>
      <c r="F40" s="2">
        <v>189</v>
      </c>
      <c r="G40" s="2">
        <v>188</v>
      </c>
      <c r="H40" s="2">
        <f t="shared" si="8"/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/>
      <c r="AJ40" s="2" t="s">
        <v>1568</v>
      </c>
      <c r="AK40" s="2">
        <f t="shared" si="1"/>
        <v>0</v>
      </c>
      <c r="AL40" s="2">
        <f t="shared" si="2"/>
        <v>1</v>
      </c>
      <c r="AM40" s="2">
        <f t="shared" si="3"/>
        <v>0</v>
      </c>
      <c r="AN40" s="2">
        <f t="shared" si="4"/>
        <v>0</v>
      </c>
      <c r="AO40" s="2">
        <f t="shared" si="5"/>
        <v>0</v>
      </c>
      <c r="AP40" s="2">
        <f t="shared" si="6"/>
        <v>0</v>
      </c>
      <c r="AQ40" s="25">
        <f t="shared" si="7"/>
        <v>0</v>
      </c>
    </row>
    <row r="41" spans="1:43">
      <c r="A41" s="24">
        <v>46115</v>
      </c>
      <c r="B41" s="23">
        <f t="shared" si="0"/>
        <v>46113</v>
      </c>
      <c r="C41" s="2" t="s">
        <v>82</v>
      </c>
      <c r="D41" s="2" t="s">
        <v>532</v>
      </c>
      <c r="E41" s="2">
        <v>2606</v>
      </c>
      <c r="F41" s="2">
        <v>158</v>
      </c>
      <c r="G41" s="2">
        <v>135</v>
      </c>
      <c r="H41" s="2">
        <f t="shared" si="8"/>
        <v>23</v>
      </c>
      <c r="I41" s="2">
        <v>0</v>
      </c>
      <c r="J41" s="2">
        <v>0</v>
      </c>
      <c r="K41" s="2">
        <v>0</v>
      </c>
      <c r="L41" s="2">
        <v>0</v>
      </c>
      <c r="M41" s="2">
        <v>10</v>
      </c>
      <c r="N41" s="2">
        <v>0</v>
      </c>
      <c r="O41" s="2">
        <v>0</v>
      </c>
      <c r="P41" s="2">
        <v>0</v>
      </c>
      <c r="Q41" s="2">
        <v>13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/>
      <c r="AJ41" s="2" t="s">
        <v>80</v>
      </c>
      <c r="AK41" s="2">
        <f t="shared" si="1"/>
        <v>0</v>
      </c>
      <c r="AL41" s="2">
        <f t="shared" si="2"/>
        <v>23</v>
      </c>
      <c r="AM41" s="2">
        <f t="shared" si="3"/>
        <v>0</v>
      </c>
      <c r="AN41" s="2">
        <f t="shared" si="4"/>
        <v>0</v>
      </c>
      <c r="AO41" s="2">
        <f t="shared" si="5"/>
        <v>0</v>
      </c>
      <c r="AP41" s="2">
        <f t="shared" si="6"/>
        <v>0</v>
      </c>
      <c r="AQ41" s="25">
        <f t="shared" si="7"/>
        <v>0</v>
      </c>
    </row>
    <row r="42" spans="1:43">
      <c r="A42" s="24">
        <v>46115</v>
      </c>
      <c r="B42" s="23">
        <f t="shared" si="0"/>
        <v>46113</v>
      </c>
      <c r="C42" s="2" t="s">
        <v>66</v>
      </c>
      <c r="D42" s="2" t="s">
        <v>1203</v>
      </c>
      <c r="E42" s="2">
        <v>2639</v>
      </c>
      <c r="F42" s="2">
        <v>38</v>
      </c>
      <c r="G42" s="2">
        <v>0</v>
      </c>
      <c r="H42" s="2">
        <f t="shared" si="8"/>
        <v>38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38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/>
      <c r="AJ42" s="2" t="s">
        <v>80</v>
      </c>
      <c r="AK42" s="2">
        <f t="shared" si="1"/>
        <v>0</v>
      </c>
      <c r="AL42" s="2">
        <f t="shared" si="2"/>
        <v>38</v>
      </c>
      <c r="AM42" s="2">
        <f t="shared" si="3"/>
        <v>0</v>
      </c>
      <c r="AN42" s="2">
        <f t="shared" si="4"/>
        <v>0</v>
      </c>
      <c r="AO42" s="2">
        <f t="shared" si="5"/>
        <v>0</v>
      </c>
      <c r="AP42" s="2">
        <f t="shared" si="6"/>
        <v>0</v>
      </c>
      <c r="AQ42" s="25">
        <f t="shared" si="7"/>
        <v>0</v>
      </c>
    </row>
    <row r="43" spans="1:43">
      <c r="A43" s="24">
        <v>46115</v>
      </c>
      <c r="B43" s="23">
        <f t="shared" si="0"/>
        <v>46113</v>
      </c>
      <c r="C43" s="2" t="s">
        <v>160</v>
      </c>
      <c r="D43" s="2" t="s">
        <v>1552</v>
      </c>
      <c r="E43" s="2">
        <v>2651</v>
      </c>
      <c r="F43" s="2">
        <v>32</v>
      </c>
      <c r="G43" s="2">
        <v>32</v>
      </c>
      <c r="H43" s="2">
        <f t="shared" si="8"/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/>
      <c r="AJ43" s="2" t="s">
        <v>80</v>
      </c>
      <c r="AK43" s="2">
        <f t="shared" si="1"/>
        <v>0</v>
      </c>
      <c r="AL43" s="2">
        <f t="shared" si="2"/>
        <v>0</v>
      </c>
      <c r="AM43" s="2">
        <f t="shared" si="3"/>
        <v>0</v>
      </c>
      <c r="AN43" s="2">
        <f t="shared" si="4"/>
        <v>0</v>
      </c>
      <c r="AO43" s="2">
        <f t="shared" si="5"/>
        <v>0</v>
      </c>
      <c r="AP43" s="2">
        <f t="shared" si="6"/>
        <v>0</v>
      </c>
      <c r="AQ43" s="25">
        <f t="shared" si="7"/>
        <v>0</v>
      </c>
    </row>
    <row r="44" spans="1:43">
      <c r="A44" s="24">
        <v>46115</v>
      </c>
      <c r="B44" s="23">
        <f t="shared" si="0"/>
        <v>46113</v>
      </c>
      <c r="C44" s="2" t="s">
        <v>160</v>
      </c>
      <c r="D44" s="2" t="s">
        <v>486</v>
      </c>
      <c r="E44" s="2">
        <v>2651</v>
      </c>
      <c r="F44" s="2">
        <v>144</v>
      </c>
      <c r="G44" s="2">
        <v>134</v>
      </c>
      <c r="H44" s="2">
        <f t="shared" si="8"/>
        <v>10</v>
      </c>
      <c r="I44" s="2">
        <v>0</v>
      </c>
      <c r="J44" s="2">
        <v>0</v>
      </c>
      <c r="K44" s="2">
        <v>0</v>
      </c>
      <c r="L44" s="2">
        <v>0</v>
      </c>
      <c r="M44" s="2">
        <v>10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/>
      <c r="AJ44" s="2" t="s">
        <v>80</v>
      </c>
      <c r="AK44" s="2">
        <f t="shared" si="1"/>
        <v>0</v>
      </c>
      <c r="AL44" s="2">
        <f t="shared" si="2"/>
        <v>10</v>
      </c>
      <c r="AM44" s="2">
        <f t="shared" si="3"/>
        <v>0</v>
      </c>
      <c r="AN44" s="2">
        <f t="shared" si="4"/>
        <v>0</v>
      </c>
      <c r="AO44" s="2">
        <f t="shared" si="5"/>
        <v>0</v>
      </c>
      <c r="AP44" s="2">
        <f t="shared" si="6"/>
        <v>0</v>
      </c>
      <c r="AQ44" s="25">
        <f t="shared" si="7"/>
        <v>0</v>
      </c>
    </row>
    <row r="45" spans="1:43">
      <c r="A45" s="24">
        <v>46115</v>
      </c>
      <c r="B45" s="23">
        <f t="shared" si="0"/>
        <v>46113</v>
      </c>
      <c r="C45" s="2" t="s">
        <v>66</v>
      </c>
      <c r="D45" s="2" t="s">
        <v>1203</v>
      </c>
      <c r="E45" s="2">
        <v>2639</v>
      </c>
      <c r="F45" s="2">
        <v>38</v>
      </c>
      <c r="G45" s="2">
        <v>38</v>
      </c>
      <c r="H45" s="2">
        <f t="shared" si="8"/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/>
      <c r="AJ45" s="2" t="s">
        <v>80</v>
      </c>
      <c r="AK45" s="2">
        <f t="shared" si="1"/>
        <v>0</v>
      </c>
      <c r="AL45" s="2">
        <f t="shared" si="2"/>
        <v>0</v>
      </c>
      <c r="AM45" s="2">
        <f t="shared" si="3"/>
        <v>0</v>
      </c>
      <c r="AN45" s="2">
        <f t="shared" si="4"/>
        <v>0</v>
      </c>
      <c r="AO45" s="2">
        <f t="shared" si="5"/>
        <v>0</v>
      </c>
      <c r="AP45" s="2">
        <f t="shared" si="6"/>
        <v>0</v>
      </c>
      <c r="AQ45" s="25">
        <f t="shared" si="7"/>
        <v>0</v>
      </c>
    </row>
    <row r="46" spans="1:43">
      <c r="A46" s="24">
        <v>46115</v>
      </c>
      <c r="B46" s="23">
        <f t="shared" si="0"/>
        <v>46113</v>
      </c>
      <c r="C46" s="2" t="s">
        <v>82</v>
      </c>
      <c r="D46" s="2" t="s">
        <v>467</v>
      </c>
      <c r="E46" s="2">
        <v>2603</v>
      </c>
      <c r="F46" s="2">
        <v>96</v>
      </c>
      <c r="G46" s="2">
        <v>94</v>
      </c>
      <c r="H46" s="2">
        <f t="shared" si="8"/>
        <v>2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2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/>
      <c r="AJ46" s="2" t="s">
        <v>80</v>
      </c>
      <c r="AK46" s="2">
        <f t="shared" si="1"/>
        <v>0</v>
      </c>
      <c r="AL46" s="2">
        <f t="shared" si="2"/>
        <v>0</v>
      </c>
      <c r="AM46" s="2">
        <f t="shared" si="3"/>
        <v>2</v>
      </c>
      <c r="AN46" s="2">
        <f t="shared" si="4"/>
        <v>0</v>
      </c>
      <c r="AO46" s="2">
        <f t="shared" si="5"/>
        <v>0</v>
      </c>
      <c r="AP46" s="2">
        <f t="shared" si="6"/>
        <v>0</v>
      </c>
      <c r="AQ46" s="25">
        <f t="shared" si="7"/>
        <v>0</v>
      </c>
    </row>
    <row r="47" spans="1:43">
      <c r="A47" s="24">
        <v>46115</v>
      </c>
      <c r="B47" s="23">
        <f t="shared" si="0"/>
        <v>46113</v>
      </c>
      <c r="C47" s="2" t="s">
        <v>160</v>
      </c>
      <c r="D47" s="2" t="s">
        <v>487</v>
      </c>
      <c r="E47" s="2">
        <v>2651</v>
      </c>
      <c r="F47" s="2">
        <v>118</v>
      </c>
      <c r="G47" s="2">
        <v>98</v>
      </c>
      <c r="H47" s="2">
        <f t="shared" si="8"/>
        <v>20</v>
      </c>
      <c r="I47" s="2">
        <v>4</v>
      </c>
      <c r="J47" s="2">
        <v>0</v>
      </c>
      <c r="K47" s="2">
        <v>0</v>
      </c>
      <c r="L47" s="2">
        <v>0</v>
      </c>
      <c r="M47" s="2">
        <v>10</v>
      </c>
      <c r="N47" s="2">
        <v>0</v>
      </c>
      <c r="O47" s="2">
        <v>0</v>
      </c>
      <c r="P47" s="2">
        <v>0</v>
      </c>
      <c r="Q47" s="2">
        <v>2</v>
      </c>
      <c r="R47" s="2">
        <v>0</v>
      </c>
      <c r="S47" s="2">
        <v>0</v>
      </c>
      <c r="T47" s="2">
        <v>0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2</v>
      </c>
      <c r="AE47" s="2">
        <v>0</v>
      </c>
      <c r="AF47" s="2">
        <v>0</v>
      </c>
      <c r="AG47" s="2">
        <v>0</v>
      </c>
      <c r="AH47" s="2">
        <v>0</v>
      </c>
      <c r="AI47" s="2"/>
      <c r="AJ47" s="2" t="s">
        <v>80</v>
      </c>
      <c r="AK47" s="2">
        <f t="shared" si="1"/>
        <v>4</v>
      </c>
      <c r="AL47" s="2">
        <f t="shared" si="2"/>
        <v>12</v>
      </c>
      <c r="AM47" s="2">
        <f t="shared" si="3"/>
        <v>0</v>
      </c>
      <c r="AN47" s="2">
        <f t="shared" si="4"/>
        <v>1</v>
      </c>
      <c r="AO47" s="2">
        <f t="shared" si="5"/>
        <v>1</v>
      </c>
      <c r="AP47" s="2">
        <f t="shared" si="6"/>
        <v>2</v>
      </c>
      <c r="AQ47" s="25">
        <f t="shared" si="7"/>
        <v>0</v>
      </c>
    </row>
    <row r="48" spans="1:43">
      <c r="A48" s="24">
        <v>46115</v>
      </c>
      <c r="B48" s="23">
        <f t="shared" si="0"/>
        <v>46113</v>
      </c>
      <c r="C48" s="2" t="s">
        <v>82</v>
      </c>
      <c r="D48" s="2" t="s">
        <v>531</v>
      </c>
      <c r="E48" s="2">
        <v>2606</v>
      </c>
      <c r="F48" s="2">
        <v>135</v>
      </c>
      <c r="G48" s="2">
        <v>135</v>
      </c>
      <c r="H48" s="2">
        <f t="shared" si="8"/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/>
      <c r="AJ48" s="2" t="s">
        <v>80</v>
      </c>
      <c r="AK48" s="2">
        <f t="shared" si="1"/>
        <v>0</v>
      </c>
      <c r="AL48" s="2">
        <f t="shared" si="2"/>
        <v>0</v>
      </c>
      <c r="AM48" s="2">
        <f t="shared" si="3"/>
        <v>0</v>
      </c>
      <c r="AN48" s="2">
        <f t="shared" si="4"/>
        <v>0</v>
      </c>
      <c r="AO48" s="2">
        <f t="shared" si="5"/>
        <v>0</v>
      </c>
      <c r="AP48" s="2">
        <f t="shared" si="6"/>
        <v>0</v>
      </c>
      <c r="AQ48" s="25">
        <f t="shared" si="7"/>
        <v>0</v>
      </c>
    </row>
    <row r="49" spans="1:43">
      <c r="A49" s="24">
        <v>46115</v>
      </c>
      <c r="B49" s="23">
        <f t="shared" si="0"/>
        <v>46113</v>
      </c>
      <c r="C49" s="2" t="s">
        <v>82</v>
      </c>
      <c r="D49" s="2" t="s">
        <v>532</v>
      </c>
      <c r="E49" s="2">
        <v>2606</v>
      </c>
      <c r="F49" s="2">
        <v>479</v>
      </c>
      <c r="G49" s="2">
        <v>476</v>
      </c>
      <c r="H49" s="2">
        <f t="shared" si="8"/>
        <v>3</v>
      </c>
      <c r="I49" s="2">
        <v>0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1</v>
      </c>
      <c r="AA49" s="2">
        <v>0</v>
      </c>
      <c r="AB49" s="2">
        <v>1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/>
      <c r="AJ49" s="2" t="s">
        <v>80</v>
      </c>
      <c r="AK49" s="2">
        <f t="shared" si="1"/>
        <v>0</v>
      </c>
      <c r="AL49" s="2">
        <f t="shared" si="2"/>
        <v>1</v>
      </c>
      <c r="AM49" s="2">
        <f t="shared" si="3"/>
        <v>1</v>
      </c>
      <c r="AN49" s="2">
        <f t="shared" si="4"/>
        <v>1</v>
      </c>
      <c r="AO49" s="2">
        <f t="shared" si="5"/>
        <v>0</v>
      </c>
      <c r="AP49" s="2">
        <f t="shared" si="6"/>
        <v>0</v>
      </c>
      <c r="AQ49" s="25">
        <f t="shared" si="7"/>
        <v>0</v>
      </c>
    </row>
    <row r="50" spans="1:43">
      <c r="A50" s="24">
        <v>46115</v>
      </c>
      <c r="B50" s="23">
        <f t="shared" si="0"/>
        <v>46113</v>
      </c>
      <c r="C50" s="2" t="s">
        <v>66</v>
      </c>
      <c r="D50" s="2" t="s">
        <v>482</v>
      </c>
      <c r="E50" s="2">
        <v>2670</v>
      </c>
      <c r="F50" s="2">
        <v>203</v>
      </c>
      <c r="G50" s="2">
        <v>171</v>
      </c>
      <c r="H50" s="2">
        <f t="shared" si="8"/>
        <v>32</v>
      </c>
      <c r="I50" s="2">
        <v>3</v>
      </c>
      <c r="J50" s="2">
        <v>3</v>
      </c>
      <c r="K50" s="2">
        <v>0</v>
      </c>
      <c r="L50" s="2">
        <v>0</v>
      </c>
      <c r="M50" s="2">
        <v>26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/>
      <c r="AJ50" s="2" t="s">
        <v>80</v>
      </c>
      <c r="AK50" s="2">
        <f t="shared" si="1"/>
        <v>3</v>
      </c>
      <c r="AL50" s="2">
        <f t="shared" si="2"/>
        <v>29</v>
      </c>
      <c r="AM50" s="2">
        <f t="shared" si="3"/>
        <v>0</v>
      </c>
      <c r="AN50" s="2">
        <f t="shared" si="4"/>
        <v>0</v>
      </c>
      <c r="AO50" s="2">
        <f t="shared" si="5"/>
        <v>0</v>
      </c>
      <c r="AP50" s="2">
        <f t="shared" si="6"/>
        <v>0</v>
      </c>
      <c r="AQ50" s="25">
        <f t="shared" si="7"/>
        <v>0</v>
      </c>
    </row>
    <row r="51" spans="1:43">
      <c r="A51" s="24">
        <v>46115</v>
      </c>
      <c r="B51" s="23">
        <f t="shared" si="0"/>
        <v>46113</v>
      </c>
      <c r="C51" s="2" t="s">
        <v>66</v>
      </c>
      <c r="D51" s="2" t="s">
        <v>482</v>
      </c>
      <c r="E51" s="2">
        <v>2670</v>
      </c>
      <c r="F51" s="2">
        <v>70</v>
      </c>
      <c r="G51" s="2">
        <v>49</v>
      </c>
      <c r="H51" s="2">
        <f t="shared" si="8"/>
        <v>21</v>
      </c>
      <c r="I51" s="2">
        <v>0</v>
      </c>
      <c r="J51" s="2">
        <v>0</v>
      </c>
      <c r="K51" s="2">
        <v>0</v>
      </c>
      <c r="L51" s="2">
        <v>0</v>
      </c>
      <c r="M51" s="2">
        <v>21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/>
      <c r="AJ51" s="2" t="s">
        <v>80</v>
      </c>
      <c r="AK51" s="2">
        <f t="shared" si="1"/>
        <v>0</v>
      </c>
      <c r="AL51" s="2">
        <f t="shared" si="2"/>
        <v>21</v>
      </c>
      <c r="AM51" s="2">
        <f t="shared" si="3"/>
        <v>0</v>
      </c>
      <c r="AN51" s="2">
        <f t="shared" si="4"/>
        <v>0</v>
      </c>
      <c r="AO51" s="2">
        <f t="shared" si="5"/>
        <v>0</v>
      </c>
      <c r="AP51" s="2">
        <f t="shared" si="6"/>
        <v>0</v>
      </c>
      <c r="AQ51" s="25">
        <f t="shared" si="7"/>
        <v>0</v>
      </c>
    </row>
    <row r="52" spans="1:43">
      <c r="A52" s="24">
        <v>46115</v>
      </c>
      <c r="B52" s="23">
        <f t="shared" si="0"/>
        <v>46113</v>
      </c>
      <c r="C52" s="2" t="s">
        <v>133</v>
      </c>
      <c r="D52" s="2" t="s">
        <v>1540</v>
      </c>
      <c r="E52" s="2">
        <v>1767</v>
      </c>
      <c r="F52" s="2">
        <v>540</v>
      </c>
      <c r="G52" s="2">
        <v>514</v>
      </c>
      <c r="H52" s="2">
        <f t="shared" si="8"/>
        <v>26</v>
      </c>
      <c r="I52" s="2">
        <v>22</v>
      </c>
      <c r="J52" s="2">
        <v>0</v>
      </c>
      <c r="K52" s="2">
        <v>0</v>
      </c>
      <c r="L52" s="2">
        <v>0</v>
      </c>
      <c r="M52" s="2">
        <v>0</v>
      </c>
      <c r="N52" s="2">
        <v>2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2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/>
      <c r="AJ52" s="2" t="s">
        <v>349</v>
      </c>
      <c r="AK52" s="2">
        <f t="shared" si="1"/>
        <v>22</v>
      </c>
      <c r="AL52" s="2">
        <f t="shared" si="2"/>
        <v>2</v>
      </c>
      <c r="AM52" s="2">
        <f t="shared" si="3"/>
        <v>2</v>
      </c>
      <c r="AN52" s="2">
        <f t="shared" si="4"/>
        <v>0</v>
      </c>
      <c r="AO52" s="2">
        <f t="shared" si="5"/>
        <v>0</v>
      </c>
      <c r="AP52" s="2">
        <f t="shared" si="6"/>
        <v>0</v>
      </c>
      <c r="AQ52" s="25">
        <f t="shared" si="7"/>
        <v>0</v>
      </c>
    </row>
    <row r="53" spans="1:43">
      <c r="A53" s="24">
        <v>46115</v>
      </c>
      <c r="B53" s="23">
        <f t="shared" si="0"/>
        <v>46113</v>
      </c>
      <c r="C53" s="2" t="s">
        <v>62</v>
      </c>
      <c r="D53" s="2" t="s">
        <v>535</v>
      </c>
      <c r="E53" s="2">
        <v>1823</v>
      </c>
      <c r="F53" s="2">
        <v>355</v>
      </c>
      <c r="G53" s="2">
        <v>341</v>
      </c>
      <c r="H53" s="2">
        <f t="shared" si="8"/>
        <v>14</v>
      </c>
      <c r="I53" s="2">
        <v>10</v>
      </c>
      <c r="J53" s="2">
        <v>0</v>
      </c>
      <c r="K53" s="2">
        <v>0</v>
      </c>
      <c r="L53" s="2">
        <v>0</v>
      </c>
      <c r="M53" s="2">
        <v>2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2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/>
      <c r="AJ53" s="2" t="s">
        <v>349</v>
      </c>
      <c r="AK53" s="2">
        <f t="shared" si="1"/>
        <v>10</v>
      </c>
      <c r="AL53" s="2">
        <f t="shared" si="2"/>
        <v>2</v>
      </c>
      <c r="AM53" s="2">
        <f t="shared" si="3"/>
        <v>2</v>
      </c>
      <c r="AN53" s="2">
        <f t="shared" si="4"/>
        <v>0</v>
      </c>
      <c r="AO53" s="2">
        <f t="shared" si="5"/>
        <v>0</v>
      </c>
      <c r="AP53" s="2">
        <f t="shared" si="6"/>
        <v>0</v>
      </c>
      <c r="AQ53" s="25">
        <f t="shared" si="7"/>
        <v>0</v>
      </c>
    </row>
    <row r="54" spans="1:43">
      <c r="A54" s="24">
        <v>46115</v>
      </c>
      <c r="B54" s="23">
        <f t="shared" si="0"/>
        <v>46113</v>
      </c>
      <c r="C54" s="2" t="s">
        <v>63</v>
      </c>
      <c r="D54" s="2" t="s">
        <v>508</v>
      </c>
      <c r="E54" s="2">
        <v>2565</v>
      </c>
      <c r="F54" s="2">
        <v>464</v>
      </c>
      <c r="G54" s="2">
        <v>413</v>
      </c>
      <c r="H54" s="2">
        <f t="shared" si="8"/>
        <v>51</v>
      </c>
      <c r="I54" s="2">
        <v>51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/>
      <c r="AJ54" s="2" t="s">
        <v>349</v>
      </c>
      <c r="AK54" s="2">
        <f t="shared" si="1"/>
        <v>51</v>
      </c>
      <c r="AL54" s="2">
        <f t="shared" si="2"/>
        <v>0</v>
      </c>
      <c r="AM54" s="2">
        <f t="shared" si="3"/>
        <v>0</v>
      </c>
      <c r="AN54" s="2">
        <f t="shared" si="4"/>
        <v>0</v>
      </c>
      <c r="AO54" s="2">
        <f t="shared" si="5"/>
        <v>0</v>
      </c>
      <c r="AP54" s="2">
        <f t="shared" si="6"/>
        <v>0</v>
      </c>
      <c r="AQ54" s="25">
        <f t="shared" si="7"/>
        <v>0</v>
      </c>
    </row>
    <row r="55" spans="1:43">
      <c r="A55" s="24">
        <v>46115</v>
      </c>
      <c r="B55" s="23">
        <f t="shared" si="0"/>
        <v>46113</v>
      </c>
      <c r="C55" s="2" t="s">
        <v>63</v>
      </c>
      <c r="D55" s="2" t="s">
        <v>1382</v>
      </c>
      <c r="E55" s="2">
        <v>2480</v>
      </c>
      <c r="F55" s="2">
        <v>370</v>
      </c>
      <c r="G55" s="2">
        <v>307</v>
      </c>
      <c r="H55" s="2">
        <f t="shared" si="8"/>
        <v>63</v>
      </c>
      <c r="I55" s="2">
        <v>40</v>
      </c>
      <c r="J55" s="2">
        <v>0</v>
      </c>
      <c r="K55" s="2">
        <v>0</v>
      </c>
      <c r="L55" s="2">
        <v>0</v>
      </c>
      <c r="M55" s="2">
        <v>5</v>
      </c>
      <c r="N55" s="2">
        <v>0</v>
      </c>
      <c r="O55" s="2">
        <v>11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5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2</v>
      </c>
      <c r="AI55" s="2"/>
      <c r="AJ55" s="2" t="s">
        <v>349</v>
      </c>
      <c r="AK55" s="2">
        <f t="shared" si="1"/>
        <v>40</v>
      </c>
      <c r="AL55" s="2">
        <f t="shared" si="2"/>
        <v>16</v>
      </c>
      <c r="AM55" s="2">
        <f t="shared" si="3"/>
        <v>0</v>
      </c>
      <c r="AN55" s="2">
        <f t="shared" si="4"/>
        <v>7</v>
      </c>
      <c r="AO55" s="2">
        <f t="shared" si="5"/>
        <v>0</v>
      </c>
      <c r="AP55" s="2">
        <f t="shared" si="6"/>
        <v>0</v>
      </c>
      <c r="AQ55" s="25">
        <f t="shared" si="7"/>
        <v>0</v>
      </c>
    </row>
    <row r="56" spans="1:43">
      <c r="A56" s="24">
        <v>46115</v>
      </c>
      <c r="B56" s="23">
        <f t="shared" si="0"/>
        <v>46113</v>
      </c>
      <c r="C56" s="2" t="s">
        <v>133</v>
      </c>
      <c r="D56" s="2" t="s">
        <v>427</v>
      </c>
      <c r="E56" s="2">
        <v>95154</v>
      </c>
      <c r="F56" s="2">
        <v>172</v>
      </c>
      <c r="G56" s="2">
        <v>160</v>
      </c>
      <c r="H56" s="2">
        <f t="shared" si="8"/>
        <v>12</v>
      </c>
      <c r="I56" s="2">
        <v>8</v>
      </c>
      <c r="J56" s="2">
        <v>0</v>
      </c>
      <c r="K56" s="2">
        <v>0</v>
      </c>
      <c r="L56" s="2">
        <v>4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/>
      <c r="AJ56" s="2" t="s">
        <v>349</v>
      </c>
      <c r="AK56" s="2">
        <f t="shared" si="1"/>
        <v>8</v>
      </c>
      <c r="AL56" s="2">
        <f t="shared" si="2"/>
        <v>4</v>
      </c>
      <c r="AM56" s="2">
        <f t="shared" si="3"/>
        <v>0</v>
      </c>
      <c r="AN56" s="2">
        <f t="shared" si="4"/>
        <v>0</v>
      </c>
      <c r="AO56" s="2">
        <f t="shared" si="5"/>
        <v>0</v>
      </c>
      <c r="AP56" s="2">
        <f t="shared" si="6"/>
        <v>0</v>
      </c>
      <c r="AQ56" s="25">
        <f t="shared" si="7"/>
        <v>0</v>
      </c>
    </row>
    <row r="57" spans="1:43">
      <c r="A57" s="24">
        <v>46118</v>
      </c>
      <c r="B57" s="23">
        <f t="shared" si="0"/>
        <v>46113</v>
      </c>
      <c r="C57" s="2" t="s">
        <v>97</v>
      </c>
      <c r="D57" s="2" t="s">
        <v>523</v>
      </c>
      <c r="E57" s="2">
        <v>2648</v>
      </c>
      <c r="F57" s="2">
        <v>678</v>
      </c>
      <c r="G57" s="2">
        <v>647</v>
      </c>
      <c r="H57" s="2">
        <f t="shared" si="8"/>
        <v>31</v>
      </c>
      <c r="I57" s="2">
        <v>9</v>
      </c>
      <c r="J57" s="2">
        <v>0</v>
      </c>
      <c r="K57" s="2">
        <v>0</v>
      </c>
      <c r="L57" s="2">
        <v>0</v>
      </c>
      <c r="M57" s="2">
        <v>20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2</v>
      </c>
      <c r="AE57" s="2">
        <v>0</v>
      </c>
      <c r="AF57" s="2">
        <v>0</v>
      </c>
      <c r="AG57" s="2">
        <v>0</v>
      </c>
      <c r="AH57" s="2">
        <v>0</v>
      </c>
      <c r="AI57" s="2"/>
      <c r="AJ57" s="2" t="s">
        <v>80</v>
      </c>
      <c r="AK57" s="2">
        <f t="shared" si="1"/>
        <v>9</v>
      </c>
      <c r="AL57" s="2">
        <f t="shared" si="2"/>
        <v>20</v>
      </c>
      <c r="AM57" s="2">
        <f t="shared" si="3"/>
        <v>0</v>
      </c>
      <c r="AN57" s="2">
        <f t="shared" si="4"/>
        <v>0</v>
      </c>
      <c r="AO57" s="2">
        <f t="shared" si="5"/>
        <v>0</v>
      </c>
      <c r="AP57" s="2">
        <f t="shared" si="6"/>
        <v>2</v>
      </c>
      <c r="AQ57" s="25">
        <f t="shared" si="7"/>
        <v>0</v>
      </c>
    </row>
    <row r="58" spans="1:43">
      <c r="A58" s="24">
        <v>46118</v>
      </c>
      <c r="B58" s="23">
        <f t="shared" si="0"/>
        <v>46113</v>
      </c>
      <c r="C58" s="2" t="s">
        <v>160</v>
      </c>
      <c r="D58" s="2" t="s">
        <v>577</v>
      </c>
      <c r="E58" s="2">
        <v>1521</v>
      </c>
      <c r="F58" s="2">
        <v>102</v>
      </c>
      <c r="G58" s="2">
        <v>88</v>
      </c>
      <c r="H58" s="2">
        <f t="shared" si="8"/>
        <v>14</v>
      </c>
      <c r="I58" s="2">
        <v>3</v>
      </c>
      <c r="J58" s="2">
        <v>0</v>
      </c>
      <c r="K58" s="2">
        <v>1</v>
      </c>
      <c r="L58" s="2">
        <v>0</v>
      </c>
      <c r="M58" s="2">
        <v>10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/>
      <c r="AJ58" s="2" t="s">
        <v>80</v>
      </c>
      <c r="AK58" s="2">
        <f t="shared" si="1"/>
        <v>3</v>
      </c>
      <c r="AL58" s="2">
        <f t="shared" si="2"/>
        <v>11</v>
      </c>
      <c r="AM58" s="2">
        <f t="shared" si="3"/>
        <v>0</v>
      </c>
      <c r="AN58" s="2">
        <f t="shared" si="4"/>
        <v>0</v>
      </c>
      <c r="AO58" s="2">
        <f t="shared" si="5"/>
        <v>0</v>
      </c>
      <c r="AP58" s="2">
        <f t="shared" si="6"/>
        <v>0</v>
      </c>
      <c r="AQ58" s="25">
        <f t="shared" si="7"/>
        <v>0</v>
      </c>
    </row>
    <row r="59" spans="1:43">
      <c r="A59" s="24">
        <v>46118</v>
      </c>
      <c r="B59" s="23">
        <f t="shared" si="0"/>
        <v>46113</v>
      </c>
      <c r="C59" s="2" t="s">
        <v>82</v>
      </c>
      <c r="D59" s="2" t="s">
        <v>1190</v>
      </c>
      <c r="E59" s="2">
        <v>2774</v>
      </c>
      <c r="F59" s="2">
        <v>65</v>
      </c>
      <c r="G59" s="2">
        <v>65</v>
      </c>
      <c r="H59" s="2">
        <f t="shared" si="8"/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/>
      <c r="AJ59" s="2" t="s">
        <v>80</v>
      </c>
      <c r="AK59" s="2">
        <f t="shared" si="1"/>
        <v>0</v>
      </c>
      <c r="AL59" s="2">
        <f t="shared" si="2"/>
        <v>0</v>
      </c>
      <c r="AM59" s="2">
        <f t="shared" si="3"/>
        <v>0</v>
      </c>
      <c r="AN59" s="2">
        <f t="shared" si="4"/>
        <v>0</v>
      </c>
      <c r="AO59" s="2">
        <f t="shared" si="5"/>
        <v>0</v>
      </c>
      <c r="AP59" s="2">
        <f t="shared" si="6"/>
        <v>0</v>
      </c>
      <c r="AQ59" s="25">
        <f t="shared" si="7"/>
        <v>0</v>
      </c>
    </row>
    <row r="60" spans="1:43">
      <c r="A60" s="24">
        <v>46118</v>
      </c>
      <c r="B60" s="23">
        <f t="shared" si="0"/>
        <v>46113</v>
      </c>
      <c r="C60" s="2" t="s">
        <v>66</v>
      </c>
      <c r="D60" s="2" t="s">
        <v>482</v>
      </c>
      <c r="E60" s="2">
        <v>2670</v>
      </c>
      <c r="F60" s="2">
        <v>8</v>
      </c>
      <c r="G60" s="2">
        <v>8</v>
      </c>
      <c r="H60" s="2">
        <f t="shared" si="8"/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/>
      <c r="AJ60" s="2" t="s">
        <v>80</v>
      </c>
      <c r="AK60" s="2">
        <f t="shared" si="1"/>
        <v>0</v>
      </c>
      <c r="AL60" s="2">
        <f t="shared" si="2"/>
        <v>0</v>
      </c>
      <c r="AM60" s="2">
        <f t="shared" si="3"/>
        <v>0</v>
      </c>
      <c r="AN60" s="2">
        <f t="shared" si="4"/>
        <v>0</v>
      </c>
      <c r="AO60" s="2">
        <f t="shared" si="5"/>
        <v>0</v>
      </c>
      <c r="AP60" s="2">
        <f t="shared" si="6"/>
        <v>0</v>
      </c>
      <c r="AQ60" s="25">
        <f t="shared" si="7"/>
        <v>0</v>
      </c>
    </row>
    <row r="61" spans="1:43">
      <c r="A61" s="24">
        <v>46118</v>
      </c>
      <c r="B61" s="23">
        <f t="shared" si="0"/>
        <v>46113</v>
      </c>
      <c r="C61" s="2" t="s">
        <v>66</v>
      </c>
      <c r="D61" s="2" t="s">
        <v>1197</v>
      </c>
      <c r="E61" s="2">
        <v>2783</v>
      </c>
      <c r="F61" s="2">
        <v>335</v>
      </c>
      <c r="G61" s="2">
        <v>330</v>
      </c>
      <c r="H61" s="2">
        <f t="shared" si="8"/>
        <v>5</v>
      </c>
      <c r="I61" s="2">
        <v>1</v>
      </c>
      <c r="J61" s="2">
        <v>0</v>
      </c>
      <c r="K61" s="2">
        <v>0</v>
      </c>
      <c r="L61" s="2">
        <v>0</v>
      </c>
      <c r="M61" s="2">
        <v>4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/>
      <c r="AJ61" s="2" t="s">
        <v>80</v>
      </c>
      <c r="AK61" s="2">
        <f t="shared" si="1"/>
        <v>1</v>
      </c>
      <c r="AL61" s="2">
        <f t="shared" si="2"/>
        <v>4</v>
      </c>
      <c r="AM61" s="2">
        <f t="shared" si="3"/>
        <v>0</v>
      </c>
      <c r="AN61" s="2">
        <f t="shared" si="4"/>
        <v>0</v>
      </c>
      <c r="AO61" s="2">
        <f t="shared" si="5"/>
        <v>0</v>
      </c>
      <c r="AP61" s="2">
        <f t="shared" si="6"/>
        <v>0</v>
      </c>
      <c r="AQ61" s="25">
        <f t="shared" si="7"/>
        <v>0</v>
      </c>
    </row>
    <row r="62" spans="1:43">
      <c r="A62" s="24">
        <v>46118</v>
      </c>
      <c r="B62" s="23">
        <f t="shared" si="0"/>
        <v>46113</v>
      </c>
      <c r="C62" s="2" t="s">
        <v>114</v>
      </c>
      <c r="D62" s="2" t="s">
        <v>1540</v>
      </c>
      <c r="E62" s="2">
        <v>1767</v>
      </c>
      <c r="F62" s="2">
        <v>1020</v>
      </c>
      <c r="G62" s="2">
        <v>1013</v>
      </c>
      <c r="H62" s="2">
        <f t="shared" si="8"/>
        <v>7</v>
      </c>
      <c r="I62" s="2">
        <v>0</v>
      </c>
      <c r="J62" s="2">
        <v>3</v>
      </c>
      <c r="K62" s="2">
        <v>0</v>
      </c>
      <c r="L62" s="2">
        <v>0</v>
      </c>
      <c r="M62" s="2">
        <v>0</v>
      </c>
      <c r="N62" s="2">
        <v>0</v>
      </c>
      <c r="O62" s="2">
        <v>4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/>
      <c r="AJ62" s="2" t="s">
        <v>103</v>
      </c>
      <c r="AK62" s="2">
        <f t="shared" si="1"/>
        <v>0</v>
      </c>
      <c r="AL62" s="2">
        <f t="shared" si="2"/>
        <v>7</v>
      </c>
      <c r="AM62" s="2">
        <f t="shared" si="3"/>
        <v>0</v>
      </c>
      <c r="AN62" s="2">
        <f t="shared" si="4"/>
        <v>0</v>
      </c>
      <c r="AO62" s="2">
        <f t="shared" si="5"/>
        <v>0</v>
      </c>
      <c r="AP62" s="2">
        <f t="shared" si="6"/>
        <v>0</v>
      </c>
      <c r="AQ62" s="25">
        <f t="shared" si="7"/>
        <v>0</v>
      </c>
    </row>
    <row r="63" spans="1:43">
      <c r="A63" s="24">
        <v>46118</v>
      </c>
      <c r="B63" s="23">
        <f t="shared" si="0"/>
        <v>46113</v>
      </c>
      <c r="C63" s="2" t="s">
        <v>82</v>
      </c>
      <c r="D63" s="2" t="s">
        <v>1510</v>
      </c>
      <c r="E63" s="2">
        <v>1506</v>
      </c>
      <c r="F63" s="2">
        <v>269</v>
      </c>
      <c r="G63" s="2">
        <v>260</v>
      </c>
      <c r="H63" s="2">
        <f t="shared" si="8"/>
        <v>9</v>
      </c>
      <c r="I63" s="2">
        <v>9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/>
      <c r="AJ63" s="2" t="s">
        <v>93</v>
      </c>
      <c r="AK63" s="2">
        <f t="shared" si="1"/>
        <v>9</v>
      </c>
      <c r="AL63" s="2">
        <f t="shared" si="2"/>
        <v>0</v>
      </c>
      <c r="AM63" s="2">
        <f t="shared" si="3"/>
        <v>0</v>
      </c>
      <c r="AN63" s="2">
        <f t="shared" si="4"/>
        <v>0</v>
      </c>
      <c r="AO63" s="2">
        <f t="shared" si="5"/>
        <v>0</v>
      </c>
      <c r="AP63" s="2">
        <f t="shared" si="6"/>
        <v>0</v>
      </c>
      <c r="AQ63" s="25">
        <f t="shared" si="7"/>
        <v>0</v>
      </c>
    </row>
    <row r="64" spans="1:43">
      <c r="A64" s="24">
        <v>46118</v>
      </c>
      <c r="B64" s="23">
        <f t="shared" si="0"/>
        <v>46113</v>
      </c>
      <c r="C64" s="2" t="s">
        <v>82</v>
      </c>
      <c r="D64" s="2" t="s">
        <v>1201</v>
      </c>
      <c r="E64" s="2">
        <v>2606</v>
      </c>
      <c r="F64" s="2">
        <v>82</v>
      </c>
      <c r="G64" s="2">
        <v>82</v>
      </c>
      <c r="H64" s="2">
        <f t="shared" si="8"/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/>
      <c r="AJ64" s="2" t="s">
        <v>93</v>
      </c>
      <c r="AK64" s="2">
        <f t="shared" si="1"/>
        <v>0</v>
      </c>
      <c r="AL64" s="2">
        <f t="shared" si="2"/>
        <v>0</v>
      </c>
      <c r="AM64" s="2">
        <f t="shared" si="3"/>
        <v>0</v>
      </c>
      <c r="AN64" s="2">
        <f t="shared" si="4"/>
        <v>0</v>
      </c>
      <c r="AO64" s="2">
        <f t="shared" si="5"/>
        <v>0</v>
      </c>
      <c r="AP64" s="2">
        <f t="shared" si="6"/>
        <v>0</v>
      </c>
      <c r="AQ64" s="25">
        <f t="shared" si="7"/>
        <v>0</v>
      </c>
    </row>
    <row r="65" spans="1:43">
      <c r="A65" s="24">
        <v>46118</v>
      </c>
      <c r="B65" s="23">
        <f t="shared" si="0"/>
        <v>46113</v>
      </c>
      <c r="C65" s="2" t="s">
        <v>82</v>
      </c>
      <c r="D65" s="2" t="s">
        <v>1201</v>
      </c>
      <c r="E65" s="2">
        <v>2606</v>
      </c>
      <c r="F65" s="2">
        <v>20</v>
      </c>
      <c r="G65" s="2">
        <v>20</v>
      </c>
      <c r="H65" s="2">
        <f t="shared" si="8"/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/>
      <c r="AJ65" s="2" t="s">
        <v>93</v>
      </c>
      <c r="AK65" s="2">
        <f t="shared" si="1"/>
        <v>0</v>
      </c>
      <c r="AL65" s="2">
        <f t="shared" si="2"/>
        <v>0</v>
      </c>
      <c r="AM65" s="2">
        <f t="shared" si="3"/>
        <v>0</v>
      </c>
      <c r="AN65" s="2">
        <f t="shared" si="4"/>
        <v>0</v>
      </c>
      <c r="AO65" s="2">
        <f t="shared" si="5"/>
        <v>0</v>
      </c>
      <c r="AP65" s="2">
        <f t="shared" si="6"/>
        <v>0</v>
      </c>
      <c r="AQ65" s="25">
        <f t="shared" si="7"/>
        <v>0</v>
      </c>
    </row>
    <row r="66" spans="1:43">
      <c r="A66" s="24">
        <v>46118</v>
      </c>
      <c r="B66" s="23">
        <f t="shared" ref="B66:B129" si="9">EOMONTH(A66,-1)+1</f>
        <v>46113</v>
      </c>
      <c r="C66" s="2" t="s">
        <v>82</v>
      </c>
      <c r="D66" s="2" t="s">
        <v>532</v>
      </c>
      <c r="E66" s="2">
        <v>2606</v>
      </c>
      <c r="F66" s="2">
        <v>13</v>
      </c>
      <c r="G66" s="2">
        <v>13</v>
      </c>
      <c r="H66" s="2">
        <f t="shared" si="8"/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/>
      <c r="AJ66" s="2" t="s">
        <v>93</v>
      </c>
      <c r="AK66" s="2">
        <f t="shared" ref="AK66:AK129" si="10">+I66+AF66</f>
        <v>0</v>
      </c>
      <c r="AL66" s="2">
        <f t="shared" ref="AL66:AL129" si="11">+J66+K66+O66+N66+P66+R66+S66+Q66+M66+L66</f>
        <v>0</v>
      </c>
      <c r="AM66" s="2">
        <f t="shared" ref="AM66:AM129" si="12">+AB66+AC66</f>
        <v>0</v>
      </c>
      <c r="AN66" s="2">
        <f t="shared" ref="AN66:AN129" si="13">+AH66+AG66+AA66+Z66</f>
        <v>0</v>
      </c>
      <c r="AO66" s="2">
        <f t="shared" ref="AO66:AO129" si="14">+X66+W66+V66+U66+T66+Y66</f>
        <v>0</v>
      </c>
      <c r="AP66" s="2">
        <f t="shared" ref="AP66:AP129" si="15">+AD66</f>
        <v>0</v>
      </c>
      <c r="AQ66" s="25">
        <f t="shared" ref="AQ66:AQ129" si="16">+AE66</f>
        <v>0</v>
      </c>
    </row>
    <row r="67" spans="1:43">
      <c r="A67" s="24">
        <v>46118</v>
      </c>
      <c r="B67" s="23">
        <f t="shared" si="9"/>
        <v>46113</v>
      </c>
      <c r="C67" s="2" t="s">
        <v>82</v>
      </c>
      <c r="D67" s="2" t="s">
        <v>1201</v>
      </c>
      <c r="E67" s="2">
        <v>2606</v>
      </c>
      <c r="F67" s="2">
        <v>62</v>
      </c>
      <c r="G67" s="2">
        <v>61</v>
      </c>
      <c r="H67" s="2">
        <f t="shared" ref="H67:H130" si="17">F67-G67</f>
        <v>1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/>
      <c r="AJ67" s="2" t="s">
        <v>93</v>
      </c>
      <c r="AK67" s="2">
        <f t="shared" si="10"/>
        <v>1</v>
      </c>
      <c r="AL67" s="2">
        <f t="shared" si="11"/>
        <v>0</v>
      </c>
      <c r="AM67" s="2">
        <f t="shared" si="12"/>
        <v>0</v>
      </c>
      <c r="AN67" s="2">
        <f t="shared" si="13"/>
        <v>0</v>
      </c>
      <c r="AO67" s="2">
        <f t="shared" si="14"/>
        <v>0</v>
      </c>
      <c r="AP67" s="2">
        <f t="shared" si="15"/>
        <v>0</v>
      </c>
      <c r="AQ67" s="25">
        <f t="shared" si="16"/>
        <v>0</v>
      </c>
    </row>
    <row r="68" spans="1:43">
      <c r="A68" s="24">
        <v>46118</v>
      </c>
      <c r="B68" s="23">
        <f t="shared" si="9"/>
        <v>46113</v>
      </c>
      <c r="C68" s="2" t="s">
        <v>82</v>
      </c>
      <c r="D68" s="2" t="s">
        <v>443</v>
      </c>
      <c r="E68" s="2">
        <v>2729</v>
      </c>
      <c r="F68" s="2">
        <v>162</v>
      </c>
      <c r="G68" s="2">
        <v>156</v>
      </c>
      <c r="H68" s="2">
        <f t="shared" si="17"/>
        <v>6</v>
      </c>
      <c r="I68" s="2">
        <v>4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/>
      <c r="AJ68" s="2" t="s">
        <v>93</v>
      </c>
      <c r="AK68" s="2">
        <f t="shared" si="10"/>
        <v>4</v>
      </c>
      <c r="AL68" s="2">
        <f t="shared" si="11"/>
        <v>2</v>
      </c>
      <c r="AM68" s="2">
        <f t="shared" si="12"/>
        <v>0</v>
      </c>
      <c r="AN68" s="2">
        <f t="shared" si="13"/>
        <v>0</v>
      </c>
      <c r="AO68" s="2">
        <f t="shared" si="14"/>
        <v>0</v>
      </c>
      <c r="AP68" s="2">
        <f t="shared" si="15"/>
        <v>0</v>
      </c>
      <c r="AQ68" s="25">
        <f t="shared" si="16"/>
        <v>0</v>
      </c>
    </row>
    <row r="69" spans="1:43">
      <c r="A69" s="24">
        <v>46118</v>
      </c>
      <c r="B69" s="23">
        <f t="shared" si="9"/>
        <v>46113</v>
      </c>
      <c r="C69" s="2" t="s">
        <v>82</v>
      </c>
      <c r="D69" s="2" t="s">
        <v>560</v>
      </c>
      <c r="E69" s="2">
        <v>2606</v>
      </c>
      <c r="F69" s="2">
        <v>247</v>
      </c>
      <c r="G69" s="2">
        <v>246</v>
      </c>
      <c r="H69" s="2">
        <f t="shared" si="17"/>
        <v>1</v>
      </c>
      <c r="I69" s="2">
        <v>1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/>
      <c r="AJ69" s="2" t="s">
        <v>93</v>
      </c>
      <c r="AK69" s="2">
        <f t="shared" si="10"/>
        <v>1</v>
      </c>
      <c r="AL69" s="2">
        <f t="shared" si="11"/>
        <v>0</v>
      </c>
      <c r="AM69" s="2">
        <f t="shared" si="12"/>
        <v>0</v>
      </c>
      <c r="AN69" s="2">
        <f t="shared" si="13"/>
        <v>0</v>
      </c>
      <c r="AO69" s="2">
        <f t="shared" si="14"/>
        <v>0</v>
      </c>
      <c r="AP69" s="2">
        <f t="shared" si="15"/>
        <v>0</v>
      </c>
      <c r="AQ69" s="25">
        <f t="shared" si="16"/>
        <v>0</v>
      </c>
    </row>
    <row r="70" spans="1:43">
      <c r="A70" s="24">
        <v>46118</v>
      </c>
      <c r="B70" s="23">
        <f t="shared" si="9"/>
        <v>46113</v>
      </c>
      <c r="C70" s="2" t="s">
        <v>82</v>
      </c>
      <c r="D70" s="2" t="s">
        <v>1553</v>
      </c>
      <c r="E70" s="2">
        <v>2643</v>
      </c>
      <c r="F70" s="2">
        <v>128</v>
      </c>
      <c r="G70" s="2">
        <v>128</v>
      </c>
      <c r="H70" s="2">
        <f t="shared" si="17"/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/>
      <c r="AJ70" s="2" t="s">
        <v>93</v>
      </c>
      <c r="AK70" s="2">
        <f t="shared" si="10"/>
        <v>0</v>
      </c>
      <c r="AL70" s="2">
        <f t="shared" si="11"/>
        <v>0</v>
      </c>
      <c r="AM70" s="2">
        <f t="shared" si="12"/>
        <v>0</v>
      </c>
      <c r="AN70" s="2">
        <f t="shared" si="13"/>
        <v>0</v>
      </c>
      <c r="AO70" s="2">
        <f t="shared" si="14"/>
        <v>0</v>
      </c>
      <c r="AP70" s="2">
        <f t="shared" si="15"/>
        <v>0</v>
      </c>
      <c r="AQ70" s="25">
        <f t="shared" si="16"/>
        <v>0</v>
      </c>
    </row>
    <row r="71" spans="1:43">
      <c r="A71" s="24">
        <v>46118</v>
      </c>
      <c r="B71" s="23">
        <f t="shared" si="9"/>
        <v>46113</v>
      </c>
      <c r="C71" s="2" t="s">
        <v>160</v>
      </c>
      <c r="D71" s="2" t="s">
        <v>428</v>
      </c>
      <c r="E71" s="2">
        <v>1824</v>
      </c>
      <c r="F71" s="2">
        <v>43</v>
      </c>
      <c r="G71" s="2">
        <v>38</v>
      </c>
      <c r="H71" s="2">
        <f t="shared" si="17"/>
        <v>5</v>
      </c>
      <c r="I71" s="2">
        <v>4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/>
      <c r="AJ71" s="2" t="s">
        <v>93</v>
      </c>
      <c r="AK71" s="2">
        <f t="shared" si="10"/>
        <v>4</v>
      </c>
      <c r="AL71" s="2">
        <f t="shared" si="11"/>
        <v>1</v>
      </c>
      <c r="AM71" s="2">
        <f t="shared" si="12"/>
        <v>0</v>
      </c>
      <c r="AN71" s="2">
        <f t="shared" si="13"/>
        <v>0</v>
      </c>
      <c r="AO71" s="2">
        <f t="shared" si="14"/>
        <v>0</v>
      </c>
      <c r="AP71" s="2">
        <f t="shared" si="15"/>
        <v>0</v>
      </c>
      <c r="AQ71" s="25">
        <f t="shared" si="16"/>
        <v>0</v>
      </c>
    </row>
    <row r="72" spans="1:43">
      <c r="A72" s="24">
        <v>46118</v>
      </c>
      <c r="B72" s="23">
        <f t="shared" si="9"/>
        <v>46113</v>
      </c>
      <c r="C72" s="2" t="s">
        <v>160</v>
      </c>
      <c r="D72" s="2" t="s">
        <v>1288</v>
      </c>
      <c r="E72" s="2">
        <v>1824</v>
      </c>
      <c r="F72" s="2">
        <v>94</v>
      </c>
      <c r="G72" s="2">
        <v>92</v>
      </c>
      <c r="H72" s="2">
        <f t="shared" si="17"/>
        <v>2</v>
      </c>
      <c r="I72" s="2">
        <v>2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/>
      <c r="AJ72" s="2" t="s">
        <v>93</v>
      </c>
      <c r="AK72" s="2">
        <f t="shared" si="10"/>
        <v>2</v>
      </c>
      <c r="AL72" s="2">
        <f t="shared" si="11"/>
        <v>0</v>
      </c>
      <c r="AM72" s="2">
        <f t="shared" si="12"/>
        <v>0</v>
      </c>
      <c r="AN72" s="2">
        <f t="shared" si="13"/>
        <v>0</v>
      </c>
      <c r="AO72" s="2">
        <f t="shared" si="14"/>
        <v>0</v>
      </c>
      <c r="AP72" s="2">
        <f t="shared" si="15"/>
        <v>0</v>
      </c>
      <c r="AQ72" s="25">
        <f t="shared" si="16"/>
        <v>0</v>
      </c>
    </row>
    <row r="73" spans="1:43">
      <c r="A73" s="24">
        <v>46118</v>
      </c>
      <c r="B73" s="23">
        <f t="shared" si="9"/>
        <v>46113</v>
      </c>
      <c r="C73" s="2" t="s">
        <v>62</v>
      </c>
      <c r="D73" s="2" t="s">
        <v>518</v>
      </c>
      <c r="E73" s="2">
        <v>1806</v>
      </c>
      <c r="F73" s="2">
        <v>176</v>
      </c>
      <c r="G73" s="2">
        <v>171</v>
      </c>
      <c r="H73" s="2">
        <f t="shared" si="17"/>
        <v>5</v>
      </c>
      <c r="I73" s="2">
        <v>5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/>
      <c r="AJ73" s="2" t="s">
        <v>1568</v>
      </c>
      <c r="AK73" s="2">
        <f t="shared" si="10"/>
        <v>5</v>
      </c>
      <c r="AL73" s="2">
        <f t="shared" si="11"/>
        <v>0</v>
      </c>
      <c r="AM73" s="2">
        <f t="shared" si="12"/>
        <v>0</v>
      </c>
      <c r="AN73" s="2">
        <f t="shared" si="13"/>
        <v>0</v>
      </c>
      <c r="AO73" s="2">
        <f t="shared" si="14"/>
        <v>0</v>
      </c>
      <c r="AP73" s="2">
        <f t="shared" si="15"/>
        <v>0</v>
      </c>
      <c r="AQ73" s="25">
        <f t="shared" si="16"/>
        <v>0</v>
      </c>
    </row>
    <row r="74" spans="1:43">
      <c r="A74" s="24">
        <v>46118</v>
      </c>
      <c r="B74" s="23">
        <f t="shared" si="9"/>
        <v>46113</v>
      </c>
      <c r="C74" s="2" t="s">
        <v>62</v>
      </c>
      <c r="D74" s="2" t="s">
        <v>505</v>
      </c>
      <c r="E74" s="2">
        <v>2589</v>
      </c>
      <c r="F74" s="2">
        <v>74</v>
      </c>
      <c r="G74" s="2">
        <v>71</v>
      </c>
      <c r="H74" s="2">
        <f t="shared" si="17"/>
        <v>3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2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/>
      <c r="AJ74" s="2" t="s">
        <v>1568</v>
      </c>
      <c r="AK74" s="2">
        <f t="shared" si="10"/>
        <v>1</v>
      </c>
      <c r="AL74" s="2">
        <f t="shared" si="11"/>
        <v>0</v>
      </c>
      <c r="AM74" s="2">
        <f t="shared" si="12"/>
        <v>2</v>
      </c>
      <c r="AN74" s="2">
        <f t="shared" si="13"/>
        <v>0</v>
      </c>
      <c r="AO74" s="2">
        <f t="shared" si="14"/>
        <v>0</v>
      </c>
      <c r="AP74" s="2">
        <f t="shared" si="15"/>
        <v>0</v>
      </c>
      <c r="AQ74" s="25">
        <f t="shared" si="16"/>
        <v>0</v>
      </c>
    </row>
    <row r="75" spans="1:43">
      <c r="A75" s="24">
        <v>46118</v>
      </c>
      <c r="B75" s="23">
        <f t="shared" si="9"/>
        <v>46113</v>
      </c>
      <c r="C75" s="2" t="s">
        <v>63</v>
      </c>
      <c r="D75" s="2" t="s">
        <v>1382</v>
      </c>
      <c r="E75" s="2">
        <v>2480</v>
      </c>
      <c r="F75" s="2">
        <v>132</v>
      </c>
      <c r="G75" s="2">
        <v>128</v>
      </c>
      <c r="H75" s="2">
        <f t="shared" si="17"/>
        <v>4</v>
      </c>
      <c r="I75" s="2">
        <v>3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1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/>
      <c r="AJ75" s="2" t="s">
        <v>1568</v>
      </c>
      <c r="AK75" s="2">
        <f t="shared" si="10"/>
        <v>3</v>
      </c>
      <c r="AL75" s="2">
        <f t="shared" si="11"/>
        <v>0</v>
      </c>
      <c r="AM75" s="2">
        <f t="shared" si="12"/>
        <v>0</v>
      </c>
      <c r="AN75" s="2">
        <f t="shared" si="13"/>
        <v>1</v>
      </c>
      <c r="AO75" s="2">
        <f t="shared" si="14"/>
        <v>0</v>
      </c>
      <c r="AP75" s="2">
        <f t="shared" si="15"/>
        <v>0</v>
      </c>
      <c r="AQ75" s="25">
        <f t="shared" si="16"/>
        <v>0</v>
      </c>
    </row>
    <row r="76" spans="1:43">
      <c r="A76" s="24">
        <v>46118</v>
      </c>
      <c r="B76" s="23">
        <f t="shared" si="9"/>
        <v>46113</v>
      </c>
      <c r="C76" s="2" t="s">
        <v>62</v>
      </c>
      <c r="D76" s="2" t="s">
        <v>1196</v>
      </c>
      <c r="E76" s="2">
        <v>2783</v>
      </c>
      <c r="F76" s="2">
        <v>121</v>
      </c>
      <c r="G76" s="2">
        <v>121</v>
      </c>
      <c r="H76" s="2">
        <f t="shared" si="17"/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/>
      <c r="AJ76" s="2" t="s">
        <v>1568</v>
      </c>
      <c r="AK76" s="2">
        <f t="shared" si="10"/>
        <v>0</v>
      </c>
      <c r="AL76" s="2">
        <f t="shared" si="11"/>
        <v>0</v>
      </c>
      <c r="AM76" s="2">
        <f t="shared" si="12"/>
        <v>0</v>
      </c>
      <c r="AN76" s="2">
        <f t="shared" si="13"/>
        <v>0</v>
      </c>
      <c r="AO76" s="2">
        <f t="shared" si="14"/>
        <v>0</v>
      </c>
      <c r="AP76" s="2">
        <f t="shared" si="15"/>
        <v>0</v>
      </c>
      <c r="AQ76" s="25">
        <f t="shared" si="16"/>
        <v>0</v>
      </c>
    </row>
    <row r="77" spans="1:43">
      <c r="A77" s="24">
        <v>46118</v>
      </c>
      <c r="B77" s="23">
        <f t="shared" si="9"/>
        <v>46113</v>
      </c>
      <c r="C77" s="2" t="s">
        <v>63</v>
      </c>
      <c r="D77" s="2" t="s">
        <v>455</v>
      </c>
      <c r="E77" s="2">
        <v>2725</v>
      </c>
      <c r="F77" s="2">
        <v>445</v>
      </c>
      <c r="G77" s="2">
        <v>425</v>
      </c>
      <c r="H77" s="2">
        <f t="shared" si="17"/>
        <v>20</v>
      </c>
      <c r="I77" s="2">
        <v>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18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/>
      <c r="AJ77" s="2" t="s">
        <v>1568</v>
      </c>
      <c r="AK77" s="2">
        <f t="shared" si="10"/>
        <v>2</v>
      </c>
      <c r="AL77" s="2">
        <f t="shared" si="11"/>
        <v>0</v>
      </c>
      <c r="AM77" s="2">
        <f t="shared" si="12"/>
        <v>0</v>
      </c>
      <c r="AN77" s="2">
        <f t="shared" si="13"/>
        <v>18</v>
      </c>
      <c r="AO77" s="2">
        <f t="shared" si="14"/>
        <v>0</v>
      </c>
      <c r="AP77" s="2">
        <f t="shared" si="15"/>
        <v>0</v>
      </c>
      <c r="AQ77" s="25">
        <f t="shared" si="16"/>
        <v>0</v>
      </c>
    </row>
    <row r="78" spans="1:43">
      <c r="A78" s="24">
        <v>46118</v>
      </c>
      <c r="B78" s="23">
        <f t="shared" si="9"/>
        <v>46113</v>
      </c>
      <c r="C78" s="2" t="s">
        <v>62</v>
      </c>
      <c r="D78" s="2" t="s">
        <v>431</v>
      </c>
      <c r="E78" s="2">
        <v>1806</v>
      </c>
      <c r="F78" s="2">
        <v>66</v>
      </c>
      <c r="G78" s="2">
        <v>66</v>
      </c>
      <c r="H78" s="2">
        <f t="shared" si="17"/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/>
      <c r="AJ78" s="2" t="s">
        <v>1568</v>
      </c>
      <c r="AK78" s="2">
        <f t="shared" si="10"/>
        <v>0</v>
      </c>
      <c r="AL78" s="2">
        <f t="shared" si="11"/>
        <v>0</v>
      </c>
      <c r="AM78" s="2">
        <f t="shared" si="12"/>
        <v>0</v>
      </c>
      <c r="AN78" s="2">
        <f t="shared" si="13"/>
        <v>0</v>
      </c>
      <c r="AO78" s="2">
        <f t="shared" si="14"/>
        <v>0</v>
      </c>
      <c r="AP78" s="2">
        <f t="shared" si="15"/>
        <v>0</v>
      </c>
      <c r="AQ78" s="25">
        <f t="shared" si="16"/>
        <v>0</v>
      </c>
    </row>
    <row r="79" spans="1:43">
      <c r="A79" s="24">
        <v>46118</v>
      </c>
      <c r="B79" s="23">
        <f t="shared" si="9"/>
        <v>46113</v>
      </c>
      <c r="C79" s="2" t="s">
        <v>62</v>
      </c>
      <c r="D79" s="2" t="s">
        <v>458</v>
      </c>
      <c r="E79" s="2">
        <v>1824</v>
      </c>
      <c r="F79" s="2">
        <v>116</v>
      </c>
      <c r="G79" s="2">
        <v>115</v>
      </c>
      <c r="H79" s="2">
        <f t="shared" si="17"/>
        <v>1</v>
      </c>
      <c r="I79" s="2">
        <v>1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/>
      <c r="AJ79" s="2" t="s">
        <v>1568</v>
      </c>
      <c r="AK79" s="2">
        <f t="shared" si="10"/>
        <v>1</v>
      </c>
      <c r="AL79" s="2">
        <f t="shared" si="11"/>
        <v>0</v>
      </c>
      <c r="AM79" s="2">
        <f t="shared" si="12"/>
        <v>0</v>
      </c>
      <c r="AN79" s="2">
        <f t="shared" si="13"/>
        <v>0</v>
      </c>
      <c r="AO79" s="2">
        <f t="shared" si="14"/>
        <v>0</v>
      </c>
      <c r="AP79" s="2">
        <f t="shared" si="15"/>
        <v>0</v>
      </c>
      <c r="AQ79" s="25">
        <f t="shared" si="16"/>
        <v>0</v>
      </c>
    </row>
    <row r="80" spans="1:43">
      <c r="A80" s="24">
        <v>46118</v>
      </c>
      <c r="B80" s="23">
        <f t="shared" si="9"/>
        <v>46113</v>
      </c>
      <c r="C80" s="2" t="s">
        <v>63</v>
      </c>
      <c r="D80" s="2" t="s">
        <v>551</v>
      </c>
      <c r="E80" s="2">
        <v>1877</v>
      </c>
      <c r="F80" s="2">
        <v>115</v>
      </c>
      <c r="G80" s="2">
        <v>113</v>
      </c>
      <c r="H80" s="2">
        <f t="shared" si="17"/>
        <v>2</v>
      </c>
      <c r="I80" s="2">
        <v>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/>
      <c r="AJ80" s="2" t="s">
        <v>1568</v>
      </c>
      <c r="AK80" s="2">
        <f t="shared" si="10"/>
        <v>2</v>
      </c>
      <c r="AL80" s="2">
        <f t="shared" si="11"/>
        <v>0</v>
      </c>
      <c r="AM80" s="2">
        <f t="shared" si="12"/>
        <v>0</v>
      </c>
      <c r="AN80" s="2">
        <f t="shared" si="13"/>
        <v>0</v>
      </c>
      <c r="AO80" s="2">
        <f t="shared" si="14"/>
        <v>0</v>
      </c>
      <c r="AP80" s="2">
        <f t="shared" si="15"/>
        <v>0</v>
      </c>
      <c r="AQ80" s="25">
        <f t="shared" si="16"/>
        <v>0</v>
      </c>
    </row>
    <row r="81" spans="1:43">
      <c r="A81" s="24">
        <v>46118</v>
      </c>
      <c r="B81" s="23">
        <f t="shared" si="9"/>
        <v>46113</v>
      </c>
      <c r="C81" s="2" t="s">
        <v>95</v>
      </c>
      <c r="D81" s="2" t="s">
        <v>451</v>
      </c>
      <c r="E81" s="2">
        <v>1698</v>
      </c>
      <c r="F81" s="2">
        <v>431</v>
      </c>
      <c r="G81" s="2">
        <v>411</v>
      </c>
      <c r="H81" s="2">
        <f t="shared" si="17"/>
        <v>20</v>
      </c>
      <c r="I81" s="2">
        <v>20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/>
      <c r="AJ81" s="2" t="s">
        <v>1567</v>
      </c>
      <c r="AK81" s="2">
        <f t="shared" si="10"/>
        <v>20</v>
      </c>
      <c r="AL81" s="2">
        <f t="shared" si="11"/>
        <v>0</v>
      </c>
      <c r="AM81" s="2">
        <f t="shared" si="12"/>
        <v>0</v>
      </c>
      <c r="AN81" s="2">
        <f t="shared" si="13"/>
        <v>0</v>
      </c>
      <c r="AO81" s="2">
        <f t="shared" si="14"/>
        <v>0</v>
      </c>
      <c r="AP81" s="2">
        <f t="shared" si="15"/>
        <v>0</v>
      </c>
      <c r="AQ81" s="25">
        <f t="shared" si="16"/>
        <v>0</v>
      </c>
    </row>
    <row r="82" spans="1:43">
      <c r="A82" s="24">
        <v>46118</v>
      </c>
      <c r="B82" s="23">
        <f t="shared" si="9"/>
        <v>46113</v>
      </c>
      <c r="C82" s="2" t="s">
        <v>46</v>
      </c>
      <c r="D82" s="2" t="s">
        <v>499</v>
      </c>
      <c r="E82" s="2">
        <v>1845</v>
      </c>
      <c r="F82" s="2">
        <v>234</v>
      </c>
      <c r="G82" s="2">
        <v>233</v>
      </c>
      <c r="H82" s="2">
        <f t="shared" si="17"/>
        <v>1</v>
      </c>
      <c r="I82" s="2">
        <v>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/>
      <c r="AJ82" s="2" t="s">
        <v>1567</v>
      </c>
      <c r="AK82" s="2">
        <f t="shared" si="10"/>
        <v>1</v>
      </c>
      <c r="AL82" s="2">
        <f t="shared" si="11"/>
        <v>0</v>
      </c>
      <c r="AM82" s="2">
        <f t="shared" si="12"/>
        <v>0</v>
      </c>
      <c r="AN82" s="2">
        <f t="shared" si="13"/>
        <v>0</v>
      </c>
      <c r="AO82" s="2">
        <f t="shared" si="14"/>
        <v>0</v>
      </c>
      <c r="AP82" s="2">
        <f t="shared" si="15"/>
        <v>0</v>
      </c>
      <c r="AQ82" s="25">
        <f t="shared" si="16"/>
        <v>0</v>
      </c>
    </row>
    <row r="83" spans="1:43">
      <c r="A83" s="24">
        <v>46118</v>
      </c>
      <c r="B83" s="23">
        <f t="shared" si="9"/>
        <v>46113</v>
      </c>
      <c r="C83" s="2" t="s">
        <v>95</v>
      </c>
      <c r="D83" s="2" t="s">
        <v>1540</v>
      </c>
      <c r="E83" s="2">
        <v>1767</v>
      </c>
      <c r="F83" s="2">
        <v>500</v>
      </c>
      <c r="G83" s="2">
        <v>500</v>
      </c>
      <c r="H83" s="2">
        <f t="shared" si="17"/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/>
      <c r="AJ83" s="2" t="s">
        <v>1567</v>
      </c>
      <c r="AK83" s="2">
        <f t="shared" si="10"/>
        <v>0</v>
      </c>
      <c r="AL83" s="2">
        <f t="shared" si="11"/>
        <v>0</v>
      </c>
      <c r="AM83" s="2">
        <f t="shared" si="12"/>
        <v>0</v>
      </c>
      <c r="AN83" s="2">
        <f t="shared" si="13"/>
        <v>0</v>
      </c>
      <c r="AO83" s="2">
        <f t="shared" si="14"/>
        <v>0</v>
      </c>
      <c r="AP83" s="2">
        <f t="shared" si="15"/>
        <v>0</v>
      </c>
      <c r="AQ83" s="25">
        <f t="shared" si="16"/>
        <v>0</v>
      </c>
    </row>
    <row r="84" spans="1:43">
      <c r="A84" s="24">
        <v>46118</v>
      </c>
      <c r="B84" s="23">
        <f t="shared" si="9"/>
        <v>46113</v>
      </c>
      <c r="C84" s="2" t="s">
        <v>66</v>
      </c>
      <c r="D84" s="2" t="s">
        <v>474</v>
      </c>
      <c r="E84" s="2">
        <v>2576</v>
      </c>
      <c r="F84" s="2">
        <v>99</v>
      </c>
      <c r="G84" s="2">
        <v>91</v>
      </c>
      <c r="H84" s="2">
        <f t="shared" si="17"/>
        <v>8</v>
      </c>
      <c r="I84" s="2">
        <v>1</v>
      </c>
      <c r="J84" s="2">
        <v>0</v>
      </c>
      <c r="K84" s="2">
        <v>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2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/>
      <c r="AJ84" s="2" t="s">
        <v>110</v>
      </c>
      <c r="AK84" s="2">
        <f t="shared" si="10"/>
        <v>1</v>
      </c>
      <c r="AL84" s="2">
        <f t="shared" si="11"/>
        <v>7</v>
      </c>
      <c r="AM84" s="2">
        <f t="shared" si="12"/>
        <v>0</v>
      </c>
      <c r="AN84" s="2">
        <f t="shared" si="13"/>
        <v>0</v>
      </c>
      <c r="AO84" s="2">
        <f t="shared" si="14"/>
        <v>0</v>
      </c>
      <c r="AP84" s="2">
        <f t="shared" si="15"/>
        <v>0</v>
      </c>
      <c r="AQ84" s="25">
        <f t="shared" si="16"/>
        <v>0</v>
      </c>
    </row>
    <row r="85" spans="1:43">
      <c r="A85" s="24">
        <v>46118</v>
      </c>
      <c r="B85" s="23">
        <f t="shared" si="9"/>
        <v>46113</v>
      </c>
      <c r="C85" s="2" t="s">
        <v>66</v>
      </c>
      <c r="D85" s="2" t="s">
        <v>474</v>
      </c>
      <c r="E85" s="2">
        <v>2576</v>
      </c>
      <c r="F85" s="2">
        <v>25</v>
      </c>
      <c r="G85" s="2">
        <v>25</v>
      </c>
      <c r="H85" s="2">
        <f t="shared" si="17"/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/>
      <c r="AJ85" s="2" t="s">
        <v>110</v>
      </c>
      <c r="AK85" s="2">
        <f t="shared" si="10"/>
        <v>0</v>
      </c>
      <c r="AL85" s="2">
        <f t="shared" si="11"/>
        <v>0</v>
      </c>
      <c r="AM85" s="2">
        <f t="shared" si="12"/>
        <v>0</v>
      </c>
      <c r="AN85" s="2">
        <f t="shared" si="13"/>
        <v>0</v>
      </c>
      <c r="AO85" s="2">
        <f t="shared" si="14"/>
        <v>0</v>
      </c>
      <c r="AP85" s="2">
        <f t="shared" si="15"/>
        <v>0</v>
      </c>
      <c r="AQ85" s="25">
        <f t="shared" si="16"/>
        <v>0</v>
      </c>
    </row>
    <row r="86" spans="1:43">
      <c r="A86" s="24">
        <v>46118</v>
      </c>
      <c r="B86" s="23">
        <f t="shared" si="9"/>
        <v>46113</v>
      </c>
      <c r="C86" s="2" t="s">
        <v>66</v>
      </c>
      <c r="D86" s="2" t="s">
        <v>579</v>
      </c>
      <c r="E86" s="2">
        <v>2576</v>
      </c>
      <c r="F86" s="2">
        <v>188</v>
      </c>
      <c r="G86" s="2">
        <v>156</v>
      </c>
      <c r="H86" s="2">
        <f t="shared" si="17"/>
        <v>32</v>
      </c>
      <c r="I86" s="2">
        <v>4</v>
      </c>
      <c r="J86" s="2">
        <v>0</v>
      </c>
      <c r="K86" s="2">
        <v>23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5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/>
      <c r="AJ86" s="2" t="s">
        <v>110</v>
      </c>
      <c r="AK86" s="2">
        <f t="shared" si="10"/>
        <v>4</v>
      </c>
      <c r="AL86" s="2">
        <f t="shared" si="11"/>
        <v>23</v>
      </c>
      <c r="AM86" s="2">
        <f t="shared" si="12"/>
        <v>5</v>
      </c>
      <c r="AN86" s="2">
        <f t="shared" si="13"/>
        <v>0</v>
      </c>
      <c r="AO86" s="2">
        <f t="shared" si="14"/>
        <v>0</v>
      </c>
      <c r="AP86" s="2">
        <f t="shared" si="15"/>
        <v>0</v>
      </c>
      <c r="AQ86" s="25">
        <f t="shared" si="16"/>
        <v>0</v>
      </c>
    </row>
    <row r="87" spans="1:43">
      <c r="A87" s="24">
        <v>46118</v>
      </c>
      <c r="B87" s="23">
        <f t="shared" si="9"/>
        <v>46113</v>
      </c>
      <c r="C87" s="2" t="s">
        <v>66</v>
      </c>
      <c r="D87" s="2" t="s">
        <v>579</v>
      </c>
      <c r="E87" s="2">
        <v>2576</v>
      </c>
      <c r="F87" s="2">
        <v>20</v>
      </c>
      <c r="G87" s="2">
        <v>20</v>
      </c>
      <c r="H87" s="2">
        <f t="shared" si="17"/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/>
      <c r="AJ87" s="2" t="s">
        <v>110</v>
      </c>
      <c r="AK87" s="2">
        <f t="shared" si="10"/>
        <v>0</v>
      </c>
      <c r="AL87" s="2">
        <f t="shared" si="11"/>
        <v>0</v>
      </c>
      <c r="AM87" s="2">
        <f t="shared" si="12"/>
        <v>0</v>
      </c>
      <c r="AN87" s="2">
        <f t="shared" si="13"/>
        <v>0</v>
      </c>
      <c r="AO87" s="2">
        <f t="shared" si="14"/>
        <v>0</v>
      </c>
      <c r="AP87" s="2">
        <f t="shared" si="15"/>
        <v>0</v>
      </c>
      <c r="AQ87" s="25">
        <f t="shared" si="16"/>
        <v>0</v>
      </c>
    </row>
    <row r="88" spans="1:43">
      <c r="A88" s="24">
        <v>46118</v>
      </c>
      <c r="B88" s="23">
        <f t="shared" si="9"/>
        <v>46113</v>
      </c>
      <c r="C88" s="2" t="s">
        <v>97</v>
      </c>
      <c r="D88" s="2" t="s">
        <v>503</v>
      </c>
      <c r="E88" s="2">
        <v>1805</v>
      </c>
      <c r="F88" s="2">
        <v>26</v>
      </c>
      <c r="G88" s="2">
        <v>26</v>
      </c>
      <c r="H88" s="2">
        <f t="shared" si="17"/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/>
      <c r="AJ88" s="2" t="s">
        <v>110</v>
      </c>
      <c r="AK88" s="2">
        <f t="shared" si="10"/>
        <v>0</v>
      </c>
      <c r="AL88" s="2">
        <f t="shared" si="11"/>
        <v>0</v>
      </c>
      <c r="AM88" s="2">
        <f t="shared" si="12"/>
        <v>0</v>
      </c>
      <c r="AN88" s="2">
        <f t="shared" si="13"/>
        <v>0</v>
      </c>
      <c r="AO88" s="2">
        <f t="shared" si="14"/>
        <v>0</v>
      </c>
      <c r="AP88" s="2">
        <f t="shared" si="15"/>
        <v>0</v>
      </c>
      <c r="AQ88" s="25">
        <f t="shared" si="16"/>
        <v>0</v>
      </c>
    </row>
    <row r="89" spans="1:43">
      <c r="A89" s="24">
        <v>46118</v>
      </c>
      <c r="B89" s="23">
        <f t="shared" si="9"/>
        <v>46113</v>
      </c>
      <c r="C89" s="2" t="s">
        <v>97</v>
      </c>
      <c r="D89" s="2" t="s">
        <v>1540</v>
      </c>
      <c r="E89" s="2">
        <v>1767</v>
      </c>
      <c r="F89" s="2">
        <v>735</v>
      </c>
      <c r="G89" s="2">
        <v>720</v>
      </c>
      <c r="H89" s="2">
        <f t="shared" si="17"/>
        <v>15</v>
      </c>
      <c r="I89" s="2">
        <v>3</v>
      </c>
      <c r="J89" s="2">
        <v>2</v>
      </c>
      <c r="K89" s="2">
        <v>8</v>
      </c>
      <c r="L89" s="2">
        <v>0</v>
      </c>
      <c r="M89" s="2">
        <v>1</v>
      </c>
      <c r="N89" s="2">
        <v>0</v>
      </c>
      <c r="O89" s="2">
        <v>1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/>
      <c r="AJ89" s="2" t="s">
        <v>110</v>
      </c>
      <c r="AK89" s="2">
        <f t="shared" si="10"/>
        <v>3</v>
      </c>
      <c r="AL89" s="2">
        <f t="shared" si="11"/>
        <v>12</v>
      </c>
      <c r="AM89" s="2">
        <f t="shared" si="12"/>
        <v>0</v>
      </c>
      <c r="AN89" s="2">
        <f t="shared" si="13"/>
        <v>0</v>
      </c>
      <c r="AO89" s="2">
        <f t="shared" si="14"/>
        <v>0</v>
      </c>
      <c r="AP89" s="2">
        <f t="shared" si="15"/>
        <v>0</v>
      </c>
      <c r="AQ89" s="25">
        <f t="shared" si="16"/>
        <v>0</v>
      </c>
    </row>
    <row r="90" spans="1:43">
      <c r="A90" s="24">
        <v>46118</v>
      </c>
      <c r="B90" s="23">
        <f t="shared" si="9"/>
        <v>46113</v>
      </c>
      <c r="C90" s="2" t="s">
        <v>133</v>
      </c>
      <c r="D90" s="2" t="s">
        <v>1540</v>
      </c>
      <c r="E90" s="2">
        <v>1767</v>
      </c>
      <c r="F90" s="2">
        <v>385</v>
      </c>
      <c r="G90" s="2">
        <v>371</v>
      </c>
      <c r="H90" s="2">
        <f t="shared" si="17"/>
        <v>14</v>
      </c>
      <c r="I90" s="2">
        <v>10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1</v>
      </c>
      <c r="Q90" s="2">
        <v>3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/>
      <c r="AJ90" s="2" t="s">
        <v>1566</v>
      </c>
      <c r="AK90" s="2">
        <f t="shared" si="10"/>
        <v>10</v>
      </c>
      <c r="AL90" s="2">
        <f t="shared" si="11"/>
        <v>4</v>
      </c>
      <c r="AM90" s="2">
        <f t="shared" si="12"/>
        <v>0</v>
      </c>
      <c r="AN90" s="2">
        <f t="shared" si="13"/>
        <v>0</v>
      </c>
      <c r="AO90" s="2">
        <f t="shared" si="14"/>
        <v>0</v>
      </c>
      <c r="AP90" s="2">
        <f t="shared" si="15"/>
        <v>0</v>
      </c>
      <c r="AQ90" s="25">
        <f t="shared" si="16"/>
        <v>0</v>
      </c>
    </row>
    <row r="91" spans="1:43">
      <c r="A91" s="24">
        <v>46118</v>
      </c>
      <c r="B91" s="23">
        <f t="shared" si="9"/>
        <v>46113</v>
      </c>
      <c r="C91" s="2" t="s">
        <v>55</v>
      </c>
      <c r="D91" s="2" t="s">
        <v>534</v>
      </c>
      <c r="E91" s="2">
        <v>2617</v>
      </c>
      <c r="F91" s="2">
        <v>55</v>
      </c>
      <c r="G91" s="2">
        <v>55</v>
      </c>
      <c r="H91" s="2">
        <f t="shared" si="17"/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/>
      <c r="AJ91" s="2" t="s">
        <v>1566</v>
      </c>
      <c r="AK91" s="2">
        <f t="shared" si="10"/>
        <v>0</v>
      </c>
      <c r="AL91" s="2">
        <f t="shared" si="11"/>
        <v>0</v>
      </c>
      <c r="AM91" s="2">
        <f t="shared" si="12"/>
        <v>0</v>
      </c>
      <c r="AN91" s="2">
        <f t="shared" si="13"/>
        <v>0</v>
      </c>
      <c r="AO91" s="2">
        <f t="shared" si="14"/>
        <v>0</v>
      </c>
      <c r="AP91" s="2">
        <f t="shared" si="15"/>
        <v>0</v>
      </c>
      <c r="AQ91" s="25">
        <f t="shared" si="16"/>
        <v>0</v>
      </c>
    </row>
    <row r="92" spans="1:43">
      <c r="A92" s="24">
        <v>46118</v>
      </c>
      <c r="B92" s="23">
        <f t="shared" si="9"/>
        <v>46113</v>
      </c>
      <c r="C92" s="2" t="s">
        <v>133</v>
      </c>
      <c r="D92" s="2" t="s">
        <v>1554</v>
      </c>
      <c r="E92" s="2">
        <v>10047</v>
      </c>
      <c r="F92" s="2">
        <v>300</v>
      </c>
      <c r="G92" s="2">
        <v>300</v>
      </c>
      <c r="H92" s="2">
        <f t="shared" si="17"/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/>
      <c r="AJ92" s="2" t="s">
        <v>1566</v>
      </c>
      <c r="AK92" s="2">
        <f t="shared" si="10"/>
        <v>0</v>
      </c>
      <c r="AL92" s="2">
        <f t="shared" si="11"/>
        <v>0</v>
      </c>
      <c r="AM92" s="2">
        <f t="shared" si="12"/>
        <v>0</v>
      </c>
      <c r="AN92" s="2">
        <f t="shared" si="13"/>
        <v>0</v>
      </c>
      <c r="AO92" s="2">
        <f t="shared" si="14"/>
        <v>0</v>
      </c>
      <c r="AP92" s="2">
        <f t="shared" si="15"/>
        <v>0</v>
      </c>
      <c r="AQ92" s="25">
        <f t="shared" si="16"/>
        <v>0</v>
      </c>
    </row>
    <row r="93" spans="1:43">
      <c r="A93" s="24">
        <v>46118</v>
      </c>
      <c r="B93" s="23">
        <f t="shared" si="9"/>
        <v>46113</v>
      </c>
      <c r="C93" s="2" t="s">
        <v>62</v>
      </c>
      <c r="D93" s="2" t="s">
        <v>457</v>
      </c>
      <c r="E93" s="2">
        <v>1806</v>
      </c>
      <c r="F93" s="2">
        <v>1031</v>
      </c>
      <c r="G93" s="2">
        <v>1026</v>
      </c>
      <c r="H93" s="2">
        <f t="shared" si="17"/>
        <v>5</v>
      </c>
      <c r="I93" s="2">
        <v>5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/>
      <c r="AJ93" s="2" t="s">
        <v>99</v>
      </c>
      <c r="AK93" s="2">
        <f t="shared" si="10"/>
        <v>5</v>
      </c>
      <c r="AL93" s="2">
        <f t="shared" si="11"/>
        <v>0</v>
      </c>
      <c r="AM93" s="2">
        <f t="shared" si="12"/>
        <v>0</v>
      </c>
      <c r="AN93" s="2">
        <f t="shared" si="13"/>
        <v>0</v>
      </c>
      <c r="AO93" s="2">
        <f t="shared" si="14"/>
        <v>0</v>
      </c>
      <c r="AP93" s="2">
        <f t="shared" si="15"/>
        <v>0</v>
      </c>
      <c r="AQ93" s="25">
        <f t="shared" si="16"/>
        <v>0</v>
      </c>
    </row>
    <row r="94" spans="1:43">
      <c r="A94" s="24">
        <v>46119</v>
      </c>
      <c r="B94" s="23">
        <f t="shared" si="9"/>
        <v>46113</v>
      </c>
      <c r="C94" s="2" t="s">
        <v>63</v>
      </c>
      <c r="D94" s="2" t="s">
        <v>540</v>
      </c>
      <c r="E94" s="2">
        <v>2579</v>
      </c>
      <c r="F94" s="2">
        <v>1017</v>
      </c>
      <c r="G94" s="2">
        <v>936</v>
      </c>
      <c r="H94" s="2">
        <f t="shared" si="17"/>
        <v>81</v>
      </c>
      <c r="I94" s="2">
        <v>16</v>
      </c>
      <c r="J94" s="2">
        <v>0</v>
      </c>
      <c r="K94" s="2">
        <v>0</v>
      </c>
      <c r="L94" s="2">
        <v>0</v>
      </c>
      <c r="M94" s="2">
        <v>30</v>
      </c>
      <c r="N94" s="2">
        <v>0</v>
      </c>
      <c r="O94" s="2">
        <v>34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1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/>
      <c r="AJ94" s="2" t="s">
        <v>80</v>
      </c>
      <c r="AK94" s="2">
        <f t="shared" si="10"/>
        <v>16</v>
      </c>
      <c r="AL94" s="2">
        <f t="shared" si="11"/>
        <v>64</v>
      </c>
      <c r="AM94" s="2">
        <f t="shared" si="12"/>
        <v>0</v>
      </c>
      <c r="AN94" s="2">
        <f t="shared" si="13"/>
        <v>1</v>
      </c>
      <c r="AO94" s="2">
        <f t="shared" si="14"/>
        <v>0</v>
      </c>
      <c r="AP94" s="2">
        <f t="shared" si="15"/>
        <v>0</v>
      </c>
      <c r="AQ94" s="25">
        <f t="shared" si="16"/>
        <v>0</v>
      </c>
    </row>
    <row r="95" spans="1:43">
      <c r="A95" s="24">
        <v>46119</v>
      </c>
      <c r="B95" s="23">
        <f t="shared" si="9"/>
        <v>46113</v>
      </c>
      <c r="C95" s="2" t="s">
        <v>46</v>
      </c>
      <c r="D95" s="2" t="s">
        <v>499</v>
      </c>
      <c r="E95" s="2">
        <v>1845</v>
      </c>
      <c r="F95" s="2">
        <v>14</v>
      </c>
      <c r="G95" s="2">
        <v>14</v>
      </c>
      <c r="H95" s="2">
        <f t="shared" si="17"/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/>
      <c r="AJ95" s="2" t="s">
        <v>80</v>
      </c>
      <c r="AK95" s="2">
        <f t="shared" si="10"/>
        <v>0</v>
      </c>
      <c r="AL95" s="2">
        <f t="shared" si="11"/>
        <v>0</v>
      </c>
      <c r="AM95" s="2">
        <f t="shared" si="12"/>
        <v>0</v>
      </c>
      <c r="AN95" s="2">
        <f t="shared" si="13"/>
        <v>0</v>
      </c>
      <c r="AO95" s="2">
        <f t="shared" si="14"/>
        <v>0</v>
      </c>
      <c r="AP95" s="2">
        <f t="shared" si="15"/>
        <v>0</v>
      </c>
      <c r="AQ95" s="25">
        <f t="shared" si="16"/>
        <v>0</v>
      </c>
    </row>
    <row r="96" spans="1:43">
      <c r="A96" s="24">
        <v>46119</v>
      </c>
      <c r="B96" s="23">
        <f t="shared" si="9"/>
        <v>46113</v>
      </c>
      <c r="C96" s="2" t="s">
        <v>63</v>
      </c>
      <c r="D96" s="2" t="s">
        <v>540</v>
      </c>
      <c r="E96" s="2">
        <v>2579</v>
      </c>
      <c r="F96" s="2">
        <v>31</v>
      </c>
      <c r="G96" s="2">
        <v>30</v>
      </c>
      <c r="H96" s="2">
        <f t="shared" si="17"/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1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/>
      <c r="AJ96" s="2" t="s">
        <v>80</v>
      </c>
      <c r="AK96" s="2">
        <f t="shared" si="10"/>
        <v>0</v>
      </c>
      <c r="AL96" s="2">
        <f t="shared" si="11"/>
        <v>0</v>
      </c>
      <c r="AM96" s="2">
        <f t="shared" si="12"/>
        <v>1</v>
      </c>
      <c r="AN96" s="2">
        <f t="shared" si="13"/>
        <v>0</v>
      </c>
      <c r="AO96" s="2">
        <f t="shared" si="14"/>
        <v>0</v>
      </c>
      <c r="AP96" s="2">
        <f t="shared" si="15"/>
        <v>0</v>
      </c>
      <c r="AQ96" s="25">
        <f t="shared" si="16"/>
        <v>0</v>
      </c>
    </row>
    <row r="97" spans="1:43">
      <c r="A97" s="24">
        <v>46119</v>
      </c>
      <c r="B97" s="23">
        <f t="shared" si="9"/>
        <v>46113</v>
      </c>
      <c r="C97" s="2" t="s">
        <v>62</v>
      </c>
      <c r="D97" s="2" t="s">
        <v>1555</v>
      </c>
      <c r="E97" s="2">
        <v>2786</v>
      </c>
      <c r="F97" s="2">
        <v>300</v>
      </c>
      <c r="G97" s="2">
        <v>300</v>
      </c>
      <c r="H97" s="2">
        <f t="shared" si="17"/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/>
      <c r="AJ97" s="2" t="s">
        <v>80</v>
      </c>
      <c r="AK97" s="2">
        <f t="shared" si="10"/>
        <v>0</v>
      </c>
      <c r="AL97" s="2">
        <f t="shared" si="11"/>
        <v>0</v>
      </c>
      <c r="AM97" s="2">
        <f t="shared" si="12"/>
        <v>0</v>
      </c>
      <c r="AN97" s="2">
        <f t="shared" si="13"/>
        <v>0</v>
      </c>
      <c r="AO97" s="2">
        <f t="shared" si="14"/>
        <v>0</v>
      </c>
      <c r="AP97" s="2">
        <f t="shared" si="15"/>
        <v>0</v>
      </c>
      <c r="AQ97" s="25">
        <f t="shared" si="16"/>
        <v>0</v>
      </c>
    </row>
    <row r="98" spans="1:43">
      <c r="A98" s="24">
        <v>46119</v>
      </c>
      <c r="B98" s="23">
        <f t="shared" si="9"/>
        <v>46113</v>
      </c>
      <c r="C98" s="2" t="s">
        <v>82</v>
      </c>
      <c r="D98" s="2" t="s">
        <v>515</v>
      </c>
      <c r="E98" s="2">
        <v>2608</v>
      </c>
      <c r="F98" s="2">
        <v>901</v>
      </c>
      <c r="G98" s="2">
        <v>895</v>
      </c>
      <c r="H98" s="2">
        <f t="shared" si="17"/>
        <v>6</v>
      </c>
      <c r="I98" s="2">
        <v>2</v>
      </c>
      <c r="J98" s="2">
        <v>0</v>
      </c>
      <c r="K98" s="2">
        <v>0</v>
      </c>
      <c r="L98" s="2">
        <v>0</v>
      </c>
      <c r="M98" s="2">
        <v>3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/>
      <c r="AJ98" s="2" t="s">
        <v>93</v>
      </c>
      <c r="AK98" s="2">
        <f t="shared" si="10"/>
        <v>2</v>
      </c>
      <c r="AL98" s="2">
        <f t="shared" si="11"/>
        <v>4</v>
      </c>
      <c r="AM98" s="2">
        <f t="shared" si="12"/>
        <v>0</v>
      </c>
      <c r="AN98" s="2">
        <f t="shared" si="13"/>
        <v>0</v>
      </c>
      <c r="AO98" s="2">
        <f t="shared" si="14"/>
        <v>0</v>
      </c>
      <c r="AP98" s="2">
        <f t="shared" si="15"/>
        <v>0</v>
      </c>
      <c r="AQ98" s="25">
        <f t="shared" si="16"/>
        <v>0</v>
      </c>
    </row>
    <row r="99" spans="1:43">
      <c r="A99" s="24">
        <v>46119</v>
      </c>
      <c r="B99" s="23">
        <f t="shared" si="9"/>
        <v>46113</v>
      </c>
      <c r="C99" s="2" t="s">
        <v>160</v>
      </c>
      <c r="D99" s="2" t="s">
        <v>1288</v>
      </c>
      <c r="E99" s="2">
        <v>1824</v>
      </c>
      <c r="F99" s="2">
        <v>10</v>
      </c>
      <c r="G99" s="2">
        <v>10</v>
      </c>
      <c r="H99" s="2">
        <f t="shared" si="17"/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/>
      <c r="AJ99" s="2" t="s">
        <v>93</v>
      </c>
      <c r="AK99" s="2">
        <f t="shared" si="10"/>
        <v>0</v>
      </c>
      <c r="AL99" s="2">
        <f t="shared" si="11"/>
        <v>0</v>
      </c>
      <c r="AM99" s="2">
        <f t="shared" si="12"/>
        <v>0</v>
      </c>
      <c r="AN99" s="2">
        <f t="shared" si="13"/>
        <v>0</v>
      </c>
      <c r="AO99" s="2">
        <f t="shared" si="14"/>
        <v>0</v>
      </c>
      <c r="AP99" s="2">
        <f t="shared" si="15"/>
        <v>0</v>
      </c>
      <c r="AQ99" s="25">
        <f t="shared" si="16"/>
        <v>0</v>
      </c>
    </row>
    <row r="100" spans="1:43">
      <c r="A100" s="24">
        <v>46119</v>
      </c>
      <c r="B100" s="23">
        <f t="shared" si="9"/>
        <v>46113</v>
      </c>
      <c r="C100" s="2" t="s">
        <v>160</v>
      </c>
      <c r="D100" s="2" t="s">
        <v>428</v>
      </c>
      <c r="E100" s="2">
        <v>1824</v>
      </c>
      <c r="F100" s="2">
        <v>10</v>
      </c>
      <c r="G100" s="2">
        <v>9</v>
      </c>
      <c r="H100" s="2">
        <f t="shared" si="17"/>
        <v>1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/>
      <c r="AJ100" s="2" t="s">
        <v>93</v>
      </c>
      <c r="AK100" s="2">
        <f t="shared" si="10"/>
        <v>1</v>
      </c>
      <c r="AL100" s="2">
        <f t="shared" si="11"/>
        <v>0</v>
      </c>
      <c r="AM100" s="2">
        <f t="shared" si="12"/>
        <v>0</v>
      </c>
      <c r="AN100" s="2">
        <f t="shared" si="13"/>
        <v>0</v>
      </c>
      <c r="AO100" s="2">
        <f t="shared" si="14"/>
        <v>0</v>
      </c>
      <c r="AP100" s="2">
        <f t="shared" si="15"/>
        <v>0</v>
      </c>
      <c r="AQ100" s="25">
        <f t="shared" si="16"/>
        <v>0</v>
      </c>
    </row>
    <row r="101" spans="1:43">
      <c r="A101" s="24">
        <v>46119</v>
      </c>
      <c r="B101" s="23">
        <f t="shared" si="9"/>
        <v>46113</v>
      </c>
      <c r="C101" s="2" t="s">
        <v>160</v>
      </c>
      <c r="D101" s="2" t="s">
        <v>563</v>
      </c>
      <c r="E101" s="2">
        <v>1824</v>
      </c>
      <c r="F101" s="2">
        <v>306</v>
      </c>
      <c r="G101" s="2">
        <v>297</v>
      </c>
      <c r="H101" s="2">
        <f t="shared" si="17"/>
        <v>9</v>
      </c>
      <c r="I101" s="2">
        <v>5</v>
      </c>
      <c r="J101" s="2">
        <v>0</v>
      </c>
      <c r="K101" s="2">
        <v>0</v>
      </c>
      <c r="L101" s="2">
        <v>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2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1</v>
      </c>
      <c r="AH101" s="2">
        <v>0</v>
      </c>
      <c r="AI101" s="2"/>
      <c r="AJ101" s="2" t="s">
        <v>93</v>
      </c>
      <c r="AK101" s="2">
        <f t="shared" si="10"/>
        <v>5</v>
      </c>
      <c r="AL101" s="2">
        <f t="shared" si="11"/>
        <v>3</v>
      </c>
      <c r="AM101" s="2">
        <f t="shared" si="12"/>
        <v>0</v>
      </c>
      <c r="AN101" s="2">
        <f t="shared" si="13"/>
        <v>1</v>
      </c>
      <c r="AO101" s="2">
        <f t="shared" si="14"/>
        <v>0</v>
      </c>
      <c r="AP101" s="2">
        <f t="shared" si="15"/>
        <v>0</v>
      </c>
      <c r="AQ101" s="25">
        <f t="shared" si="16"/>
        <v>0</v>
      </c>
    </row>
    <row r="102" spans="1:43">
      <c r="A102" s="24">
        <v>46119</v>
      </c>
      <c r="B102" s="23">
        <f t="shared" si="9"/>
        <v>46113</v>
      </c>
      <c r="C102" s="2" t="s">
        <v>160</v>
      </c>
      <c r="D102" s="2" t="s">
        <v>452</v>
      </c>
      <c r="E102" s="2">
        <v>1805</v>
      </c>
      <c r="F102" s="2">
        <v>199</v>
      </c>
      <c r="G102" s="2">
        <v>182</v>
      </c>
      <c r="H102" s="2">
        <f t="shared" si="17"/>
        <v>17</v>
      </c>
      <c r="I102" s="2">
        <v>5</v>
      </c>
      <c r="J102" s="2">
        <v>3</v>
      </c>
      <c r="K102" s="2">
        <v>1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1</v>
      </c>
      <c r="S102" s="2">
        <v>0</v>
      </c>
      <c r="T102" s="2">
        <v>0</v>
      </c>
      <c r="U102" s="2">
        <v>0</v>
      </c>
      <c r="V102" s="2">
        <v>0</v>
      </c>
      <c r="W102" s="2">
        <v>1</v>
      </c>
      <c r="X102" s="2">
        <v>0</v>
      </c>
      <c r="Y102" s="2">
        <v>0</v>
      </c>
      <c r="Z102" s="2">
        <v>6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/>
      <c r="AJ102" s="2" t="s">
        <v>93</v>
      </c>
      <c r="AK102" s="2">
        <f t="shared" si="10"/>
        <v>5</v>
      </c>
      <c r="AL102" s="2">
        <f t="shared" si="11"/>
        <v>5</v>
      </c>
      <c r="AM102" s="2">
        <f t="shared" si="12"/>
        <v>0</v>
      </c>
      <c r="AN102" s="2">
        <f t="shared" si="13"/>
        <v>6</v>
      </c>
      <c r="AO102" s="2">
        <f t="shared" si="14"/>
        <v>1</v>
      </c>
      <c r="AP102" s="2">
        <f t="shared" si="15"/>
        <v>0</v>
      </c>
      <c r="AQ102" s="25">
        <f t="shared" si="16"/>
        <v>0</v>
      </c>
    </row>
    <row r="103" spans="1:43">
      <c r="A103" s="24">
        <v>46119</v>
      </c>
      <c r="B103" s="23">
        <f t="shared" si="9"/>
        <v>46113</v>
      </c>
      <c r="C103" s="2" t="s">
        <v>160</v>
      </c>
      <c r="D103" s="2" t="s">
        <v>452</v>
      </c>
      <c r="E103" s="2">
        <v>1805</v>
      </c>
      <c r="F103" s="2">
        <v>32</v>
      </c>
      <c r="G103" s="2">
        <v>32</v>
      </c>
      <c r="H103" s="2">
        <f t="shared" si="17"/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/>
      <c r="AJ103" s="2" t="s">
        <v>93</v>
      </c>
      <c r="AK103" s="2">
        <f t="shared" si="10"/>
        <v>0</v>
      </c>
      <c r="AL103" s="2">
        <f t="shared" si="11"/>
        <v>0</v>
      </c>
      <c r="AM103" s="2">
        <f t="shared" si="12"/>
        <v>0</v>
      </c>
      <c r="AN103" s="2">
        <f t="shared" si="13"/>
        <v>0</v>
      </c>
      <c r="AO103" s="2">
        <f t="shared" si="14"/>
        <v>0</v>
      </c>
      <c r="AP103" s="2">
        <f t="shared" si="15"/>
        <v>0</v>
      </c>
      <c r="AQ103" s="25">
        <f t="shared" si="16"/>
        <v>0</v>
      </c>
    </row>
    <row r="104" spans="1:43">
      <c r="A104" s="24">
        <v>46119</v>
      </c>
      <c r="B104" s="23">
        <f t="shared" si="9"/>
        <v>46113</v>
      </c>
      <c r="C104" s="2" t="s">
        <v>160</v>
      </c>
      <c r="D104" s="2" t="s">
        <v>487</v>
      </c>
      <c r="E104" s="2">
        <v>2651</v>
      </c>
      <c r="F104" s="2">
        <v>52</v>
      </c>
      <c r="G104" s="2">
        <v>48</v>
      </c>
      <c r="H104" s="2">
        <f t="shared" si="17"/>
        <v>4</v>
      </c>
      <c r="I104" s="2">
        <v>2</v>
      </c>
      <c r="J104" s="2">
        <v>0</v>
      </c>
      <c r="K104" s="2">
        <v>0</v>
      </c>
      <c r="L104" s="2">
        <v>0</v>
      </c>
      <c r="M104" s="2">
        <v>2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/>
      <c r="AJ104" s="2" t="s">
        <v>93</v>
      </c>
      <c r="AK104" s="2">
        <f t="shared" si="10"/>
        <v>2</v>
      </c>
      <c r="AL104" s="2">
        <f t="shared" si="11"/>
        <v>2</v>
      </c>
      <c r="AM104" s="2">
        <f t="shared" si="12"/>
        <v>0</v>
      </c>
      <c r="AN104" s="2">
        <f t="shared" si="13"/>
        <v>0</v>
      </c>
      <c r="AO104" s="2">
        <f t="shared" si="14"/>
        <v>0</v>
      </c>
      <c r="AP104" s="2">
        <f t="shared" si="15"/>
        <v>0</v>
      </c>
      <c r="AQ104" s="25">
        <f t="shared" si="16"/>
        <v>0</v>
      </c>
    </row>
    <row r="105" spans="1:43">
      <c r="A105" s="24">
        <v>46119</v>
      </c>
      <c r="B105" s="23">
        <f t="shared" si="9"/>
        <v>46113</v>
      </c>
      <c r="C105" s="2" t="s">
        <v>114</v>
      </c>
      <c r="D105" s="2" t="s">
        <v>1383</v>
      </c>
      <c r="E105" s="2">
        <v>1870</v>
      </c>
      <c r="F105" s="2">
        <v>102</v>
      </c>
      <c r="G105" s="2">
        <v>100</v>
      </c>
      <c r="H105" s="2">
        <f t="shared" si="17"/>
        <v>2</v>
      </c>
      <c r="I105" s="2">
        <v>2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/>
      <c r="AJ105" s="2" t="s">
        <v>103</v>
      </c>
      <c r="AK105" s="2">
        <f t="shared" si="10"/>
        <v>2</v>
      </c>
      <c r="AL105" s="2">
        <f t="shared" si="11"/>
        <v>0</v>
      </c>
      <c r="AM105" s="2">
        <f t="shared" si="12"/>
        <v>0</v>
      </c>
      <c r="AN105" s="2">
        <f t="shared" si="13"/>
        <v>0</v>
      </c>
      <c r="AO105" s="2">
        <f t="shared" si="14"/>
        <v>0</v>
      </c>
      <c r="AP105" s="2">
        <f t="shared" si="15"/>
        <v>0</v>
      </c>
      <c r="AQ105" s="25">
        <f t="shared" si="16"/>
        <v>0</v>
      </c>
    </row>
    <row r="106" spans="1:43">
      <c r="A106" s="24">
        <v>46119</v>
      </c>
      <c r="B106" s="23">
        <f t="shared" si="9"/>
        <v>46113</v>
      </c>
      <c r="C106" s="2" t="s">
        <v>72</v>
      </c>
      <c r="D106" s="2" t="s">
        <v>566</v>
      </c>
      <c r="E106" s="2">
        <v>2579</v>
      </c>
      <c r="F106" s="2">
        <v>449</v>
      </c>
      <c r="G106" s="2">
        <v>429</v>
      </c>
      <c r="H106" s="2">
        <f t="shared" si="17"/>
        <v>20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20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/>
      <c r="AJ106" s="2" t="s">
        <v>103</v>
      </c>
      <c r="AK106" s="2">
        <f t="shared" si="10"/>
        <v>0</v>
      </c>
      <c r="AL106" s="2">
        <f t="shared" si="11"/>
        <v>20</v>
      </c>
      <c r="AM106" s="2">
        <f t="shared" si="12"/>
        <v>0</v>
      </c>
      <c r="AN106" s="2">
        <f t="shared" si="13"/>
        <v>0</v>
      </c>
      <c r="AO106" s="2">
        <f t="shared" si="14"/>
        <v>0</v>
      </c>
      <c r="AP106" s="2">
        <f t="shared" si="15"/>
        <v>0</v>
      </c>
      <c r="AQ106" s="25">
        <f t="shared" si="16"/>
        <v>0</v>
      </c>
    </row>
    <row r="107" spans="1:43">
      <c r="A107" s="24">
        <v>46119</v>
      </c>
      <c r="B107" s="23">
        <f t="shared" si="9"/>
        <v>46113</v>
      </c>
      <c r="C107" s="2" t="s">
        <v>72</v>
      </c>
      <c r="D107" s="2" t="s">
        <v>444</v>
      </c>
      <c r="E107" s="2">
        <v>2575</v>
      </c>
      <c r="F107" s="2">
        <v>419</v>
      </c>
      <c r="G107" s="2">
        <v>407</v>
      </c>
      <c r="H107" s="2">
        <f t="shared" si="17"/>
        <v>12</v>
      </c>
      <c r="I107" s="2">
        <v>2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2</v>
      </c>
      <c r="AA107" s="2">
        <v>0</v>
      </c>
      <c r="AB107" s="2">
        <v>8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/>
      <c r="AJ107" s="2" t="s">
        <v>103</v>
      </c>
      <c r="AK107" s="2">
        <f t="shared" si="10"/>
        <v>2</v>
      </c>
      <c r="AL107" s="2">
        <f t="shared" si="11"/>
        <v>0</v>
      </c>
      <c r="AM107" s="2">
        <f t="shared" si="12"/>
        <v>8</v>
      </c>
      <c r="AN107" s="2">
        <f t="shared" si="13"/>
        <v>2</v>
      </c>
      <c r="AO107" s="2">
        <f t="shared" si="14"/>
        <v>0</v>
      </c>
      <c r="AP107" s="2">
        <f t="shared" si="15"/>
        <v>0</v>
      </c>
      <c r="AQ107" s="25">
        <f t="shared" si="16"/>
        <v>0</v>
      </c>
    </row>
    <row r="108" spans="1:43">
      <c r="A108" s="24">
        <v>46119</v>
      </c>
      <c r="B108" s="23">
        <f t="shared" si="9"/>
        <v>46113</v>
      </c>
      <c r="C108" s="2" t="s">
        <v>133</v>
      </c>
      <c r="D108" s="2" t="s">
        <v>1555</v>
      </c>
      <c r="E108" s="2">
        <v>2786</v>
      </c>
      <c r="F108" s="2">
        <v>670</v>
      </c>
      <c r="G108" s="2">
        <v>667</v>
      </c>
      <c r="H108" s="2">
        <f t="shared" si="17"/>
        <v>3</v>
      </c>
      <c r="I108" s="2">
        <v>1</v>
      </c>
      <c r="J108" s="2">
        <v>0</v>
      </c>
      <c r="K108" s="2">
        <v>2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/>
      <c r="AJ108" s="2" t="s">
        <v>103</v>
      </c>
      <c r="AK108" s="2">
        <f t="shared" si="10"/>
        <v>1</v>
      </c>
      <c r="AL108" s="2">
        <f t="shared" si="11"/>
        <v>2</v>
      </c>
      <c r="AM108" s="2">
        <f t="shared" si="12"/>
        <v>0</v>
      </c>
      <c r="AN108" s="2">
        <f t="shared" si="13"/>
        <v>0</v>
      </c>
      <c r="AO108" s="2">
        <f t="shared" si="14"/>
        <v>0</v>
      </c>
      <c r="AP108" s="2">
        <f t="shared" si="15"/>
        <v>0</v>
      </c>
      <c r="AQ108" s="25">
        <f t="shared" si="16"/>
        <v>0</v>
      </c>
    </row>
    <row r="109" spans="1:43">
      <c r="A109" s="24">
        <v>46119</v>
      </c>
      <c r="B109" s="23">
        <f t="shared" si="9"/>
        <v>46113</v>
      </c>
      <c r="C109" s="2" t="s">
        <v>133</v>
      </c>
      <c r="D109" s="2" t="s">
        <v>1555</v>
      </c>
      <c r="E109" s="2">
        <v>2786</v>
      </c>
      <c r="F109" s="2">
        <v>32</v>
      </c>
      <c r="G109" s="2">
        <v>29</v>
      </c>
      <c r="H109" s="2">
        <f t="shared" si="17"/>
        <v>3</v>
      </c>
      <c r="I109" s="2">
        <v>0</v>
      </c>
      <c r="J109" s="2">
        <v>0</v>
      </c>
      <c r="K109" s="2">
        <v>3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/>
      <c r="AJ109" s="2" t="s">
        <v>103</v>
      </c>
      <c r="AK109" s="2">
        <f t="shared" si="10"/>
        <v>0</v>
      </c>
      <c r="AL109" s="2">
        <f t="shared" si="11"/>
        <v>3</v>
      </c>
      <c r="AM109" s="2">
        <f t="shared" si="12"/>
        <v>0</v>
      </c>
      <c r="AN109" s="2">
        <f t="shared" si="13"/>
        <v>0</v>
      </c>
      <c r="AO109" s="2">
        <f t="shared" si="14"/>
        <v>0</v>
      </c>
      <c r="AP109" s="2">
        <f t="shared" si="15"/>
        <v>0</v>
      </c>
      <c r="AQ109" s="25">
        <f t="shared" si="16"/>
        <v>0</v>
      </c>
    </row>
    <row r="110" spans="1:43">
      <c r="A110" s="24">
        <v>46119</v>
      </c>
      <c r="B110" s="23">
        <f t="shared" si="9"/>
        <v>46113</v>
      </c>
      <c r="C110" s="2" t="s">
        <v>72</v>
      </c>
      <c r="D110" s="2" t="s">
        <v>567</v>
      </c>
      <c r="E110" s="2">
        <v>2579</v>
      </c>
      <c r="F110" s="2">
        <v>258</v>
      </c>
      <c r="G110" s="2">
        <v>256</v>
      </c>
      <c r="H110" s="2">
        <f t="shared" si="17"/>
        <v>2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2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/>
      <c r="AJ110" s="2" t="s">
        <v>103</v>
      </c>
      <c r="AK110" s="2">
        <f t="shared" si="10"/>
        <v>0</v>
      </c>
      <c r="AL110" s="2">
        <f t="shared" si="11"/>
        <v>2</v>
      </c>
      <c r="AM110" s="2">
        <f t="shared" si="12"/>
        <v>0</v>
      </c>
      <c r="AN110" s="2">
        <f t="shared" si="13"/>
        <v>0</v>
      </c>
      <c r="AO110" s="2">
        <f t="shared" si="14"/>
        <v>0</v>
      </c>
      <c r="AP110" s="2">
        <f t="shared" si="15"/>
        <v>0</v>
      </c>
      <c r="AQ110" s="25">
        <f t="shared" si="16"/>
        <v>0</v>
      </c>
    </row>
    <row r="111" spans="1:43">
      <c r="A111" s="24">
        <v>46119</v>
      </c>
      <c r="B111" s="23">
        <f t="shared" si="9"/>
        <v>46113</v>
      </c>
      <c r="C111" s="2" t="s">
        <v>66</v>
      </c>
      <c r="D111" s="2" t="s">
        <v>1540</v>
      </c>
      <c r="E111" s="2">
        <v>1767</v>
      </c>
      <c r="F111" s="2">
        <v>338</v>
      </c>
      <c r="G111" s="2">
        <v>324</v>
      </c>
      <c r="H111" s="2">
        <f t="shared" si="17"/>
        <v>14</v>
      </c>
      <c r="I111" s="2">
        <v>4</v>
      </c>
      <c r="J111" s="2">
        <v>0</v>
      </c>
      <c r="K111" s="2">
        <v>6</v>
      </c>
      <c r="L111" s="2">
        <v>0</v>
      </c>
      <c r="M111" s="2">
        <v>3</v>
      </c>
      <c r="N111" s="2">
        <v>0</v>
      </c>
      <c r="O111" s="2">
        <v>1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/>
      <c r="AJ111" s="2" t="s">
        <v>110</v>
      </c>
      <c r="AK111" s="2">
        <f t="shared" si="10"/>
        <v>4</v>
      </c>
      <c r="AL111" s="2">
        <f t="shared" si="11"/>
        <v>10</v>
      </c>
      <c r="AM111" s="2">
        <f t="shared" si="12"/>
        <v>0</v>
      </c>
      <c r="AN111" s="2">
        <f t="shared" si="13"/>
        <v>0</v>
      </c>
      <c r="AO111" s="2">
        <f t="shared" si="14"/>
        <v>0</v>
      </c>
      <c r="AP111" s="2">
        <f t="shared" si="15"/>
        <v>0</v>
      </c>
      <c r="AQ111" s="25">
        <f t="shared" si="16"/>
        <v>0</v>
      </c>
    </row>
    <row r="112" spans="1:43">
      <c r="A112" s="24">
        <v>46119</v>
      </c>
      <c r="B112" s="23">
        <f t="shared" si="9"/>
        <v>46113</v>
      </c>
      <c r="C112" s="2" t="s">
        <v>66</v>
      </c>
      <c r="D112" s="2" t="s">
        <v>1200</v>
      </c>
      <c r="E112" s="2">
        <v>1806</v>
      </c>
      <c r="F112" s="2">
        <v>123</v>
      </c>
      <c r="G112" s="2">
        <v>119</v>
      </c>
      <c r="H112" s="2">
        <f t="shared" si="17"/>
        <v>4</v>
      </c>
      <c r="I112" s="2">
        <v>2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2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/>
      <c r="AJ112" s="2" t="s">
        <v>110</v>
      </c>
      <c r="AK112" s="2">
        <f t="shared" si="10"/>
        <v>2</v>
      </c>
      <c r="AL112" s="2">
        <f t="shared" si="11"/>
        <v>0</v>
      </c>
      <c r="AM112" s="2">
        <f t="shared" si="12"/>
        <v>2</v>
      </c>
      <c r="AN112" s="2">
        <f t="shared" si="13"/>
        <v>0</v>
      </c>
      <c r="AO112" s="2">
        <f t="shared" si="14"/>
        <v>0</v>
      </c>
      <c r="AP112" s="2">
        <f t="shared" si="15"/>
        <v>0</v>
      </c>
      <c r="AQ112" s="25">
        <f t="shared" si="16"/>
        <v>0</v>
      </c>
    </row>
    <row r="113" spans="1:43">
      <c r="A113" s="24">
        <v>46119</v>
      </c>
      <c r="B113" s="23">
        <f t="shared" si="9"/>
        <v>46113</v>
      </c>
      <c r="C113" s="2" t="s">
        <v>66</v>
      </c>
      <c r="D113" s="2" t="s">
        <v>1287</v>
      </c>
      <c r="E113" s="2">
        <v>1636</v>
      </c>
      <c r="F113" s="2">
        <v>95</v>
      </c>
      <c r="G113" s="2">
        <v>94</v>
      </c>
      <c r="H113" s="2">
        <f t="shared" si="17"/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1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/>
      <c r="AJ113" s="2" t="s">
        <v>110</v>
      </c>
      <c r="AK113" s="2">
        <f t="shared" si="10"/>
        <v>0</v>
      </c>
      <c r="AL113" s="2">
        <f t="shared" si="11"/>
        <v>1</v>
      </c>
      <c r="AM113" s="2">
        <f t="shared" si="12"/>
        <v>0</v>
      </c>
      <c r="AN113" s="2">
        <f t="shared" si="13"/>
        <v>0</v>
      </c>
      <c r="AO113" s="2">
        <f t="shared" si="14"/>
        <v>0</v>
      </c>
      <c r="AP113" s="2">
        <f t="shared" si="15"/>
        <v>0</v>
      </c>
      <c r="AQ113" s="25">
        <f t="shared" si="16"/>
        <v>0</v>
      </c>
    </row>
    <row r="114" spans="1:43">
      <c r="A114" s="24">
        <v>46119</v>
      </c>
      <c r="B114" s="23">
        <f t="shared" si="9"/>
        <v>46113</v>
      </c>
      <c r="C114" s="2" t="s">
        <v>66</v>
      </c>
      <c r="D114" s="2" t="s">
        <v>1287</v>
      </c>
      <c r="E114" s="2">
        <v>1636</v>
      </c>
      <c r="F114" s="2">
        <v>20</v>
      </c>
      <c r="G114" s="2">
        <v>20</v>
      </c>
      <c r="H114" s="2">
        <f t="shared" si="17"/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/>
      <c r="AJ114" s="2" t="s">
        <v>110</v>
      </c>
      <c r="AK114" s="2">
        <f t="shared" si="10"/>
        <v>0</v>
      </c>
      <c r="AL114" s="2">
        <f t="shared" si="11"/>
        <v>0</v>
      </c>
      <c r="AM114" s="2">
        <f t="shared" si="12"/>
        <v>0</v>
      </c>
      <c r="AN114" s="2">
        <f t="shared" si="13"/>
        <v>0</v>
      </c>
      <c r="AO114" s="2">
        <f t="shared" si="14"/>
        <v>0</v>
      </c>
      <c r="AP114" s="2">
        <f t="shared" si="15"/>
        <v>0</v>
      </c>
      <c r="AQ114" s="25">
        <f t="shared" si="16"/>
        <v>0</v>
      </c>
    </row>
    <row r="115" spans="1:43">
      <c r="A115" s="24">
        <v>46119</v>
      </c>
      <c r="B115" s="23">
        <f t="shared" si="9"/>
        <v>46113</v>
      </c>
      <c r="C115" s="2" t="s">
        <v>66</v>
      </c>
      <c r="D115" s="2" t="s">
        <v>1290</v>
      </c>
      <c r="E115" s="2">
        <v>1636</v>
      </c>
      <c r="F115" s="2">
        <v>254</v>
      </c>
      <c r="G115" s="2">
        <v>254</v>
      </c>
      <c r="H115" s="2">
        <f t="shared" si="17"/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/>
      <c r="AJ115" s="2" t="s">
        <v>110</v>
      </c>
      <c r="AK115" s="2">
        <f t="shared" si="10"/>
        <v>0</v>
      </c>
      <c r="AL115" s="2">
        <f t="shared" si="11"/>
        <v>0</v>
      </c>
      <c r="AM115" s="2">
        <f t="shared" si="12"/>
        <v>0</v>
      </c>
      <c r="AN115" s="2">
        <f t="shared" si="13"/>
        <v>0</v>
      </c>
      <c r="AO115" s="2">
        <f t="shared" si="14"/>
        <v>0</v>
      </c>
      <c r="AP115" s="2">
        <f t="shared" si="15"/>
        <v>0</v>
      </c>
      <c r="AQ115" s="25">
        <f t="shared" si="16"/>
        <v>0</v>
      </c>
    </row>
    <row r="116" spans="1:43">
      <c r="A116" s="24">
        <v>46119</v>
      </c>
      <c r="B116" s="23">
        <f t="shared" si="9"/>
        <v>46113</v>
      </c>
      <c r="C116" s="2" t="s">
        <v>66</v>
      </c>
      <c r="D116" s="2" t="s">
        <v>1290</v>
      </c>
      <c r="E116" s="2">
        <v>1636</v>
      </c>
      <c r="F116" s="2">
        <v>32</v>
      </c>
      <c r="G116" s="2">
        <v>32</v>
      </c>
      <c r="H116" s="2">
        <f t="shared" si="17"/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/>
      <c r="AJ116" s="2" t="s">
        <v>110</v>
      </c>
      <c r="AK116" s="2">
        <f t="shared" si="10"/>
        <v>0</v>
      </c>
      <c r="AL116" s="2">
        <f t="shared" si="11"/>
        <v>0</v>
      </c>
      <c r="AM116" s="2">
        <f t="shared" si="12"/>
        <v>0</v>
      </c>
      <c r="AN116" s="2">
        <f t="shared" si="13"/>
        <v>0</v>
      </c>
      <c r="AO116" s="2">
        <f t="shared" si="14"/>
        <v>0</v>
      </c>
      <c r="AP116" s="2">
        <f t="shared" si="15"/>
        <v>0</v>
      </c>
      <c r="AQ116" s="25">
        <f t="shared" si="16"/>
        <v>0</v>
      </c>
    </row>
    <row r="117" spans="1:43">
      <c r="A117" s="24">
        <v>46119</v>
      </c>
      <c r="B117" s="23">
        <f t="shared" si="9"/>
        <v>46113</v>
      </c>
      <c r="C117" s="2" t="s">
        <v>66</v>
      </c>
      <c r="D117" s="2" t="s">
        <v>434</v>
      </c>
      <c r="E117" s="2">
        <v>1767</v>
      </c>
      <c r="F117" s="2">
        <v>91</v>
      </c>
      <c r="G117" s="2">
        <v>88</v>
      </c>
      <c r="H117" s="2">
        <f t="shared" si="17"/>
        <v>3</v>
      </c>
      <c r="I117" s="2">
        <v>3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/>
      <c r="AJ117" s="2" t="s">
        <v>110</v>
      </c>
      <c r="AK117" s="2">
        <f t="shared" si="10"/>
        <v>3</v>
      </c>
      <c r="AL117" s="2">
        <f t="shared" si="11"/>
        <v>0</v>
      </c>
      <c r="AM117" s="2">
        <f t="shared" si="12"/>
        <v>0</v>
      </c>
      <c r="AN117" s="2">
        <f t="shared" si="13"/>
        <v>0</v>
      </c>
      <c r="AO117" s="2">
        <f t="shared" si="14"/>
        <v>0</v>
      </c>
      <c r="AP117" s="2">
        <f t="shared" si="15"/>
        <v>0</v>
      </c>
      <c r="AQ117" s="25">
        <f t="shared" si="16"/>
        <v>0</v>
      </c>
    </row>
    <row r="118" spans="1:43">
      <c r="A118" s="24">
        <v>46119</v>
      </c>
      <c r="B118" s="23">
        <f t="shared" si="9"/>
        <v>46113</v>
      </c>
      <c r="C118" s="2" t="s">
        <v>66</v>
      </c>
      <c r="D118" s="2" t="s">
        <v>1540</v>
      </c>
      <c r="E118" s="2">
        <v>1767</v>
      </c>
      <c r="F118" s="2">
        <v>128</v>
      </c>
      <c r="G118" s="2">
        <v>126</v>
      </c>
      <c r="H118" s="2">
        <f t="shared" si="17"/>
        <v>2</v>
      </c>
      <c r="I118" s="2">
        <v>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/>
      <c r="AJ118" s="2" t="s">
        <v>110</v>
      </c>
      <c r="AK118" s="2">
        <f t="shared" si="10"/>
        <v>1</v>
      </c>
      <c r="AL118" s="2">
        <f t="shared" si="11"/>
        <v>1</v>
      </c>
      <c r="AM118" s="2">
        <f t="shared" si="12"/>
        <v>0</v>
      </c>
      <c r="AN118" s="2">
        <f t="shared" si="13"/>
        <v>0</v>
      </c>
      <c r="AO118" s="2">
        <f t="shared" si="14"/>
        <v>0</v>
      </c>
      <c r="AP118" s="2">
        <f t="shared" si="15"/>
        <v>0</v>
      </c>
      <c r="AQ118" s="25">
        <f t="shared" si="16"/>
        <v>0</v>
      </c>
    </row>
    <row r="119" spans="1:43">
      <c r="A119" s="24">
        <v>46119</v>
      </c>
      <c r="B119" s="23">
        <f t="shared" si="9"/>
        <v>46113</v>
      </c>
      <c r="C119" s="2" t="s">
        <v>66</v>
      </c>
      <c r="D119" s="2" t="s">
        <v>434</v>
      </c>
      <c r="E119" s="2">
        <v>1767</v>
      </c>
      <c r="F119" s="2">
        <v>196</v>
      </c>
      <c r="G119" s="2">
        <v>150</v>
      </c>
      <c r="H119" s="2">
        <f t="shared" si="17"/>
        <v>46</v>
      </c>
      <c r="I119" s="2">
        <v>35</v>
      </c>
      <c r="J119" s="2">
        <v>0</v>
      </c>
      <c r="K119" s="2">
        <v>11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/>
      <c r="AJ119" s="2" t="s">
        <v>110</v>
      </c>
      <c r="AK119" s="2">
        <f t="shared" si="10"/>
        <v>35</v>
      </c>
      <c r="AL119" s="2">
        <f t="shared" si="11"/>
        <v>11</v>
      </c>
      <c r="AM119" s="2">
        <f t="shared" si="12"/>
        <v>0</v>
      </c>
      <c r="AN119" s="2">
        <f t="shared" si="13"/>
        <v>0</v>
      </c>
      <c r="AO119" s="2">
        <f t="shared" si="14"/>
        <v>0</v>
      </c>
      <c r="AP119" s="2">
        <f t="shared" si="15"/>
        <v>0</v>
      </c>
      <c r="AQ119" s="25">
        <f t="shared" si="16"/>
        <v>0</v>
      </c>
    </row>
    <row r="120" spans="1:43">
      <c r="A120" s="24">
        <v>46119</v>
      </c>
      <c r="B120" s="23">
        <f t="shared" si="9"/>
        <v>46113</v>
      </c>
      <c r="C120" s="2" t="s">
        <v>133</v>
      </c>
      <c r="D120" s="2" t="s">
        <v>1554</v>
      </c>
      <c r="E120" s="2">
        <v>10047</v>
      </c>
      <c r="F120" s="2">
        <v>322</v>
      </c>
      <c r="G120" s="2">
        <v>311</v>
      </c>
      <c r="H120" s="2">
        <f t="shared" si="17"/>
        <v>11</v>
      </c>
      <c r="I120" s="2">
        <v>5</v>
      </c>
      <c r="J120" s="2">
        <v>0</v>
      </c>
      <c r="K120" s="2">
        <v>6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/>
      <c r="AJ120" s="2" t="s">
        <v>1566</v>
      </c>
      <c r="AK120" s="2">
        <f t="shared" si="10"/>
        <v>5</v>
      </c>
      <c r="AL120" s="2">
        <f t="shared" si="11"/>
        <v>6</v>
      </c>
      <c r="AM120" s="2">
        <f t="shared" si="12"/>
        <v>0</v>
      </c>
      <c r="AN120" s="2">
        <f t="shared" si="13"/>
        <v>0</v>
      </c>
      <c r="AO120" s="2">
        <f t="shared" si="14"/>
        <v>0</v>
      </c>
      <c r="AP120" s="2">
        <f t="shared" si="15"/>
        <v>0</v>
      </c>
      <c r="AQ120" s="25">
        <f t="shared" si="16"/>
        <v>0</v>
      </c>
    </row>
    <row r="121" spans="1:43">
      <c r="A121" s="24">
        <v>46119</v>
      </c>
      <c r="B121" s="23">
        <f t="shared" si="9"/>
        <v>46113</v>
      </c>
      <c r="C121" s="2" t="s">
        <v>133</v>
      </c>
      <c r="D121" s="2" t="s">
        <v>1556</v>
      </c>
      <c r="E121" s="2">
        <v>2786</v>
      </c>
      <c r="F121" s="2">
        <v>630</v>
      </c>
      <c r="G121" s="2">
        <v>627</v>
      </c>
      <c r="H121" s="2">
        <f t="shared" si="17"/>
        <v>3</v>
      </c>
      <c r="I121" s="2">
        <v>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1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/>
      <c r="AJ121" s="2" t="s">
        <v>1566</v>
      </c>
      <c r="AK121" s="2">
        <f t="shared" si="10"/>
        <v>2</v>
      </c>
      <c r="AL121" s="2">
        <f t="shared" si="11"/>
        <v>0</v>
      </c>
      <c r="AM121" s="2">
        <f t="shared" si="12"/>
        <v>1</v>
      </c>
      <c r="AN121" s="2">
        <f t="shared" si="13"/>
        <v>0</v>
      </c>
      <c r="AO121" s="2">
        <f t="shared" si="14"/>
        <v>0</v>
      </c>
      <c r="AP121" s="2">
        <f t="shared" si="15"/>
        <v>0</v>
      </c>
      <c r="AQ121" s="25">
        <f t="shared" si="16"/>
        <v>0</v>
      </c>
    </row>
    <row r="122" spans="1:43">
      <c r="A122" s="24">
        <v>46119</v>
      </c>
      <c r="B122" s="23">
        <f t="shared" si="9"/>
        <v>46113</v>
      </c>
      <c r="C122" s="2" t="s">
        <v>133</v>
      </c>
      <c r="D122" s="2" t="s">
        <v>1538</v>
      </c>
      <c r="E122" s="2">
        <v>10059</v>
      </c>
      <c r="F122" s="2">
        <v>50</v>
      </c>
      <c r="G122" s="2">
        <v>45</v>
      </c>
      <c r="H122" s="2">
        <f t="shared" si="17"/>
        <v>5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5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/>
      <c r="AJ122" s="2" t="s">
        <v>1566</v>
      </c>
      <c r="AK122" s="2">
        <f t="shared" si="10"/>
        <v>0</v>
      </c>
      <c r="AL122" s="2">
        <f t="shared" si="11"/>
        <v>0</v>
      </c>
      <c r="AM122" s="2">
        <f t="shared" si="12"/>
        <v>0</v>
      </c>
      <c r="AN122" s="2">
        <f t="shared" si="13"/>
        <v>5</v>
      </c>
      <c r="AO122" s="2">
        <f t="shared" si="14"/>
        <v>0</v>
      </c>
      <c r="AP122" s="2">
        <f t="shared" si="15"/>
        <v>0</v>
      </c>
      <c r="AQ122" s="25">
        <f t="shared" si="16"/>
        <v>0</v>
      </c>
    </row>
    <row r="123" spans="1:43">
      <c r="A123" s="24">
        <v>46119</v>
      </c>
      <c r="B123" s="23">
        <f t="shared" si="9"/>
        <v>46113</v>
      </c>
      <c r="C123" s="2" t="s">
        <v>133</v>
      </c>
      <c r="D123" s="2" t="s">
        <v>1540</v>
      </c>
      <c r="E123" s="2">
        <v>1767</v>
      </c>
      <c r="F123" s="2">
        <v>312</v>
      </c>
      <c r="G123" s="2">
        <v>312</v>
      </c>
      <c r="H123" s="2">
        <f t="shared" si="17"/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/>
      <c r="AJ123" s="2" t="s">
        <v>1566</v>
      </c>
      <c r="AK123" s="2">
        <f t="shared" si="10"/>
        <v>0</v>
      </c>
      <c r="AL123" s="2">
        <f t="shared" si="11"/>
        <v>0</v>
      </c>
      <c r="AM123" s="2">
        <f t="shared" si="12"/>
        <v>0</v>
      </c>
      <c r="AN123" s="2">
        <f t="shared" si="13"/>
        <v>0</v>
      </c>
      <c r="AO123" s="2">
        <f t="shared" si="14"/>
        <v>0</v>
      </c>
      <c r="AP123" s="2">
        <f t="shared" si="15"/>
        <v>0</v>
      </c>
      <c r="AQ123" s="25">
        <f t="shared" si="16"/>
        <v>0</v>
      </c>
    </row>
    <row r="124" spans="1:43">
      <c r="A124" s="24">
        <v>46119</v>
      </c>
      <c r="B124" s="23">
        <f t="shared" si="9"/>
        <v>46113</v>
      </c>
      <c r="C124" s="2" t="s">
        <v>133</v>
      </c>
      <c r="D124" s="2" t="s">
        <v>1540</v>
      </c>
      <c r="E124" s="2">
        <v>1767</v>
      </c>
      <c r="F124" s="2">
        <v>552</v>
      </c>
      <c r="G124" s="2">
        <v>546</v>
      </c>
      <c r="H124" s="2">
        <f t="shared" si="17"/>
        <v>6</v>
      </c>
      <c r="I124" s="2">
        <v>4</v>
      </c>
      <c r="J124" s="2">
        <v>0</v>
      </c>
      <c r="K124" s="2">
        <v>0</v>
      </c>
      <c r="L124" s="2">
        <v>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/>
      <c r="AJ124" s="2" t="s">
        <v>1566</v>
      </c>
      <c r="AK124" s="2">
        <f t="shared" si="10"/>
        <v>4</v>
      </c>
      <c r="AL124" s="2">
        <f t="shared" si="11"/>
        <v>2</v>
      </c>
      <c r="AM124" s="2">
        <f t="shared" si="12"/>
        <v>0</v>
      </c>
      <c r="AN124" s="2">
        <f t="shared" si="13"/>
        <v>0</v>
      </c>
      <c r="AO124" s="2">
        <f t="shared" si="14"/>
        <v>0</v>
      </c>
      <c r="AP124" s="2">
        <f t="shared" si="15"/>
        <v>0</v>
      </c>
      <c r="AQ124" s="25">
        <f t="shared" si="16"/>
        <v>0</v>
      </c>
    </row>
    <row r="125" spans="1:43">
      <c r="A125" s="24">
        <v>46119</v>
      </c>
      <c r="B125" s="23">
        <f t="shared" si="9"/>
        <v>46113</v>
      </c>
      <c r="C125" s="2" t="s">
        <v>133</v>
      </c>
      <c r="D125" s="2" t="s">
        <v>1540</v>
      </c>
      <c r="E125" s="2">
        <v>1767</v>
      </c>
      <c r="F125" s="2">
        <v>205</v>
      </c>
      <c r="G125" s="2">
        <v>205</v>
      </c>
      <c r="H125" s="2">
        <f t="shared" si="17"/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/>
      <c r="AJ125" s="2" t="s">
        <v>1566</v>
      </c>
      <c r="AK125" s="2">
        <f t="shared" si="10"/>
        <v>0</v>
      </c>
      <c r="AL125" s="2">
        <f t="shared" si="11"/>
        <v>0</v>
      </c>
      <c r="AM125" s="2">
        <f t="shared" si="12"/>
        <v>0</v>
      </c>
      <c r="AN125" s="2">
        <f t="shared" si="13"/>
        <v>0</v>
      </c>
      <c r="AO125" s="2">
        <f t="shared" si="14"/>
        <v>0</v>
      </c>
      <c r="AP125" s="2">
        <f t="shared" si="15"/>
        <v>0</v>
      </c>
      <c r="AQ125" s="25">
        <f t="shared" si="16"/>
        <v>0</v>
      </c>
    </row>
    <row r="126" spans="1:43">
      <c r="A126" s="24">
        <v>46119</v>
      </c>
      <c r="B126" s="23">
        <f t="shared" si="9"/>
        <v>46113</v>
      </c>
      <c r="C126" s="2" t="s">
        <v>55</v>
      </c>
      <c r="D126" s="2" t="s">
        <v>1557</v>
      </c>
      <c r="E126" s="2">
        <v>10047</v>
      </c>
      <c r="F126" s="2">
        <v>495</v>
      </c>
      <c r="G126" s="2">
        <v>495</v>
      </c>
      <c r="H126" s="2">
        <f t="shared" si="17"/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/>
      <c r="AJ126" s="2" t="s">
        <v>1566</v>
      </c>
      <c r="AK126" s="2">
        <f t="shared" si="10"/>
        <v>0</v>
      </c>
      <c r="AL126" s="2">
        <f t="shared" si="11"/>
        <v>0</v>
      </c>
      <c r="AM126" s="2">
        <f t="shared" si="12"/>
        <v>0</v>
      </c>
      <c r="AN126" s="2">
        <f t="shared" si="13"/>
        <v>0</v>
      </c>
      <c r="AO126" s="2">
        <f t="shared" si="14"/>
        <v>0</v>
      </c>
      <c r="AP126" s="2">
        <f t="shared" si="15"/>
        <v>0</v>
      </c>
      <c r="AQ126" s="25">
        <f t="shared" si="16"/>
        <v>0</v>
      </c>
    </row>
    <row r="127" spans="1:43">
      <c r="A127" s="24">
        <v>46119</v>
      </c>
      <c r="B127" s="23">
        <f t="shared" si="9"/>
        <v>46113</v>
      </c>
      <c r="C127" s="2" t="s">
        <v>95</v>
      </c>
      <c r="D127" s="2" t="s">
        <v>1557</v>
      </c>
      <c r="E127" s="2">
        <v>10047</v>
      </c>
      <c r="F127" s="2">
        <v>381</v>
      </c>
      <c r="G127" s="2">
        <v>381</v>
      </c>
      <c r="H127" s="2">
        <f t="shared" si="17"/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/>
      <c r="AJ127" s="2" t="s">
        <v>1566</v>
      </c>
      <c r="AK127" s="2">
        <f t="shared" si="10"/>
        <v>0</v>
      </c>
      <c r="AL127" s="2">
        <f t="shared" si="11"/>
        <v>0</v>
      </c>
      <c r="AM127" s="2">
        <f t="shared" si="12"/>
        <v>0</v>
      </c>
      <c r="AN127" s="2">
        <f t="shared" si="13"/>
        <v>0</v>
      </c>
      <c r="AO127" s="2">
        <f t="shared" si="14"/>
        <v>0</v>
      </c>
      <c r="AP127" s="2">
        <f t="shared" si="15"/>
        <v>0</v>
      </c>
      <c r="AQ127" s="25">
        <f t="shared" si="16"/>
        <v>0</v>
      </c>
    </row>
    <row r="128" spans="1:43">
      <c r="A128" s="24">
        <v>46119</v>
      </c>
      <c r="B128" s="23">
        <f t="shared" si="9"/>
        <v>46113</v>
      </c>
      <c r="C128" s="2" t="s">
        <v>95</v>
      </c>
      <c r="D128" s="2" t="s">
        <v>1540</v>
      </c>
      <c r="E128" s="2">
        <v>1767</v>
      </c>
      <c r="F128" s="2">
        <v>495</v>
      </c>
      <c r="G128" s="2">
        <v>492</v>
      </c>
      <c r="H128" s="2">
        <f t="shared" si="17"/>
        <v>3</v>
      </c>
      <c r="I128" s="2">
        <v>3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/>
      <c r="AJ128" s="2" t="s">
        <v>1567</v>
      </c>
      <c r="AK128" s="2">
        <f t="shared" si="10"/>
        <v>3</v>
      </c>
      <c r="AL128" s="2">
        <f t="shared" si="11"/>
        <v>0</v>
      </c>
      <c r="AM128" s="2">
        <f t="shared" si="12"/>
        <v>0</v>
      </c>
      <c r="AN128" s="2">
        <f t="shared" si="13"/>
        <v>0</v>
      </c>
      <c r="AO128" s="2">
        <f t="shared" si="14"/>
        <v>0</v>
      </c>
      <c r="AP128" s="2">
        <f t="shared" si="15"/>
        <v>0</v>
      </c>
      <c r="AQ128" s="25">
        <f t="shared" si="16"/>
        <v>0</v>
      </c>
    </row>
    <row r="129" spans="1:43">
      <c r="A129" s="24">
        <v>46119</v>
      </c>
      <c r="B129" s="23">
        <f t="shared" si="9"/>
        <v>46113</v>
      </c>
      <c r="C129" s="2" t="s">
        <v>95</v>
      </c>
      <c r="D129" s="2" t="s">
        <v>1541</v>
      </c>
      <c r="E129" s="2">
        <v>10047</v>
      </c>
      <c r="F129" s="2">
        <v>491</v>
      </c>
      <c r="G129" s="2">
        <v>489</v>
      </c>
      <c r="H129" s="2">
        <f t="shared" si="17"/>
        <v>2</v>
      </c>
      <c r="I129" s="2">
        <v>2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/>
      <c r="AJ129" s="2" t="s">
        <v>1567</v>
      </c>
      <c r="AK129" s="2">
        <f t="shared" si="10"/>
        <v>2</v>
      </c>
      <c r="AL129" s="2">
        <f t="shared" si="11"/>
        <v>0</v>
      </c>
      <c r="AM129" s="2">
        <f t="shared" si="12"/>
        <v>0</v>
      </c>
      <c r="AN129" s="2">
        <f t="shared" si="13"/>
        <v>0</v>
      </c>
      <c r="AO129" s="2">
        <f t="shared" si="14"/>
        <v>0</v>
      </c>
      <c r="AP129" s="2">
        <f t="shared" si="15"/>
        <v>0</v>
      </c>
      <c r="AQ129" s="25">
        <f t="shared" si="16"/>
        <v>0</v>
      </c>
    </row>
    <row r="130" spans="1:43">
      <c r="A130" s="24">
        <v>46119</v>
      </c>
      <c r="B130" s="23">
        <f t="shared" ref="B130:B193" si="18">EOMONTH(A130,-1)+1</f>
        <v>46113</v>
      </c>
      <c r="C130" s="2" t="s">
        <v>95</v>
      </c>
      <c r="D130" s="2" t="s">
        <v>1541</v>
      </c>
      <c r="E130" s="2">
        <v>10047</v>
      </c>
      <c r="F130" s="2">
        <v>672</v>
      </c>
      <c r="G130" s="2">
        <v>671</v>
      </c>
      <c r="H130" s="2">
        <f t="shared" si="17"/>
        <v>1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/>
      <c r="AJ130" s="2" t="s">
        <v>1567</v>
      </c>
      <c r="AK130" s="2">
        <f t="shared" ref="AK130:AK193" si="19">+I130+AF130</f>
        <v>1</v>
      </c>
      <c r="AL130" s="2">
        <f t="shared" ref="AL130:AL193" si="20">+J130+K130+O130+N130+P130+R130+S130+Q130+M130+L130</f>
        <v>0</v>
      </c>
      <c r="AM130" s="2">
        <f t="shared" ref="AM130:AM193" si="21">+AB130+AC130</f>
        <v>0</v>
      </c>
      <c r="AN130" s="2">
        <f t="shared" ref="AN130:AN193" si="22">+AH130+AG130+AA130+Z130</f>
        <v>0</v>
      </c>
      <c r="AO130" s="2">
        <f t="shared" ref="AO130:AO193" si="23">+X130+W130+V130+U130+T130+Y130</f>
        <v>0</v>
      </c>
      <c r="AP130" s="2">
        <f t="shared" ref="AP130:AP193" si="24">+AD130</f>
        <v>0</v>
      </c>
      <c r="AQ130" s="25">
        <f t="shared" ref="AQ130:AQ193" si="25">+AE130</f>
        <v>0</v>
      </c>
    </row>
    <row r="131" spans="1:43">
      <c r="A131" s="24">
        <v>46119</v>
      </c>
      <c r="B131" s="23">
        <f t="shared" si="18"/>
        <v>46113</v>
      </c>
      <c r="C131" s="2" t="s">
        <v>46</v>
      </c>
      <c r="D131" s="2" t="s">
        <v>1294</v>
      </c>
      <c r="E131" s="2">
        <v>2649</v>
      </c>
      <c r="F131" s="2">
        <v>100</v>
      </c>
      <c r="G131" s="2">
        <v>96</v>
      </c>
      <c r="H131" s="2">
        <f t="shared" ref="H131:H194" si="26">F131-G131</f>
        <v>4</v>
      </c>
      <c r="I131" s="2">
        <v>4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/>
      <c r="AJ131" s="2" t="s">
        <v>1567</v>
      </c>
      <c r="AK131" s="2">
        <f t="shared" si="19"/>
        <v>4</v>
      </c>
      <c r="AL131" s="2">
        <f t="shared" si="20"/>
        <v>0</v>
      </c>
      <c r="AM131" s="2">
        <f t="shared" si="21"/>
        <v>0</v>
      </c>
      <c r="AN131" s="2">
        <f t="shared" si="22"/>
        <v>0</v>
      </c>
      <c r="AO131" s="2">
        <f t="shared" si="23"/>
        <v>0</v>
      </c>
      <c r="AP131" s="2">
        <f t="shared" si="24"/>
        <v>0</v>
      </c>
      <c r="AQ131" s="25">
        <f t="shared" si="25"/>
        <v>0</v>
      </c>
    </row>
    <row r="132" spans="1:43">
      <c r="A132" s="24">
        <v>46119</v>
      </c>
      <c r="B132" s="23">
        <f t="shared" si="18"/>
        <v>46113</v>
      </c>
      <c r="C132" s="2" t="s">
        <v>63</v>
      </c>
      <c r="D132" s="2" t="s">
        <v>551</v>
      </c>
      <c r="E132" s="2">
        <v>1877</v>
      </c>
      <c r="F132" s="2">
        <v>20</v>
      </c>
      <c r="G132" s="2">
        <v>20</v>
      </c>
      <c r="H132" s="2">
        <f t="shared" si="26"/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/>
      <c r="AJ132" s="2" t="s">
        <v>1568</v>
      </c>
      <c r="AK132" s="2">
        <f t="shared" si="19"/>
        <v>0</v>
      </c>
      <c r="AL132" s="2">
        <f t="shared" si="20"/>
        <v>0</v>
      </c>
      <c r="AM132" s="2">
        <f t="shared" si="21"/>
        <v>0</v>
      </c>
      <c r="AN132" s="2">
        <f t="shared" si="22"/>
        <v>0</v>
      </c>
      <c r="AO132" s="2">
        <f t="shared" si="23"/>
        <v>0</v>
      </c>
      <c r="AP132" s="2">
        <f t="shared" si="24"/>
        <v>0</v>
      </c>
      <c r="AQ132" s="25">
        <f t="shared" si="25"/>
        <v>0</v>
      </c>
    </row>
    <row r="133" spans="1:43">
      <c r="A133" s="24">
        <v>46119</v>
      </c>
      <c r="B133" s="23">
        <f t="shared" si="18"/>
        <v>46113</v>
      </c>
      <c r="C133" s="2" t="s">
        <v>62</v>
      </c>
      <c r="D133" s="2" t="s">
        <v>440</v>
      </c>
      <c r="E133" s="2">
        <v>1823</v>
      </c>
      <c r="F133" s="2">
        <v>55</v>
      </c>
      <c r="G133" s="2">
        <v>55</v>
      </c>
      <c r="H133" s="2">
        <f t="shared" si="26"/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/>
      <c r="AJ133" s="2" t="s">
        <v>1568</v>
      </c>
      <c r="AK133" s="2">
        <f t="shared" si="19"/>
        <v>0</v>
      </c>
      <c r="AL133" s="2">
        <f t="shared" si="20"/>
        <v>0</v>
      </c>
      <c r="AM133" s="2">
        <f t="shared" si="21"/>
        <v>0</v>
      </c>
      <c r="AN133" s="2">
        <f t="shared" si="22"/>
        <v>0</v>
      </c>
      <c r="AO133" s="2">
        <f t="shared" si="23"/>
        <v>0</v>
      </c>
      <c r="AP133" s="2">
        <f t="shared" si="24"/>
        <v>0</v>
      </c>
      <c r="AQ133" s="25">
        <f t="shared" si="25"/>
        <v>0</v>
      </c>
    </row>
    <row r="134" spans="1:43">
      <c r="A134" s="24">
        <v>46119</v>
      </c>
      <c r="B134" s="23">
        <f t="shared" si="18"/>
        <v>46113</v>
      </c>
      <c r="C134" s="2" t="s">
        <v>63</v>
      </c>
      <c r="D134" s="2" t="s">
        <v>1185</v>
      </c>
      <c r="E134" s="2">
        <v>2772</v>
      </c>
      <c r="F134" s="2">
        <v>26</v>
      </c>
      <c r="G134" s="2">
        <v>26</v>
      </c>
      <c r="H134" s="2">
        <f t="shared" si="26"/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/>
      <c r="AJ134" s="2" t="s">
        <v>1568</v>
      </c>
      <c r="AK134" s="2">
        <f t="shared" si="19"/>
        <v>0</v>
      </c>
      <c r="AL134" s="2">
        <f t="shared" si="20"/>
        <v>0</v>
      </c>
      <c r="AM134" s="2">
        <f t="shared" si="21"/>
        <v>0</v>
      </c>
      <c r="AN134" s="2">
        <f t="shared" si="22"/>
        <v>0</v>
      </c>
      <c r="AO134" s="2">
        <f t="shared" si="23"/>
        <v>0</v>
      </c>
      <c r="AP134" s="2">
        <f t="shared" si="24"/>
        <v>0</v>
      </c>
      <c r="AQ134" s="25">
        <f t="shared" si="25"/>
        <v>0</v>
      </c>
    </row>
    <row r="135" spans="1:43">
      <c r="A135" s="24">
        <v>46119</v>
      </c>
      <c r="B135" s="23">
        <f t="shared" si="18"/>
        <v>46113</v>
      </c>
      <c r="C135" s="2" t="s">
        <v>63</v>
      </c>
      <c r="D135" s="2" t="s">
        <v>1291</v>
      </c>
      <c r="E135" s="2">
        <v>2660</v>
      </c>
      <c r="F135" s="2">
        <v>54</v>
      </c>
      <c r="G135" s="2">
        <v>54</v>
      </c>
      <c r="H135" s="2">
        <f t="shared" si="26"/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/>
      <c r="AJ135" s="2" t="s">
        <v>1568</v>
      </c>
      <c r="AK135" s="2">
        <f t="shared" si="19"/>
        <v>0</v>
      </c>
      <c r="AL135" s="2">
        <f t="shared" si="20"/>
        <v>0</v>
      </c>
      <c r="AM135" s="2">
        <f t="shared" si="21"/>
        <v>0</v>
      </c>
      <c r="AN135" s="2">
        <f t="shared" si="22"/>
        <v>0</v>
      </c>
      <c r="AO135" s="2">
        <f t="shared" si="23"/>
        <v>0</v>
      </c>
      <c r="AP135" s="2">
        <f t="shared" si="24"/>
        <v>0</v>
      </c>
      <c r="AQ135" s="25">
        <f t="shared" si="25"/>
        <v>0</v>
      </c>
    </row>
    <row r="136" spans="1:43">
      <c r="A136" s="24">
        <v>46119</v>
      </c>
      <c r="B136" s="23">
        <f t="shared" si="18"/>
        <v>46113</v>
      </c>
      <c r="C136" s="2" t="s">
        <v>63</v>
      </c>
      <c r="D136" s="2" t="s">
        <v>477</v>
      </c>
      <c r="E136" s="2">
        <v>1627</v>
      </c>
      <c r="F136" s="2">
        <v>82</v>
      </c>
      <c r="G136" s="2">
        <v>82</v>
      </c>
      <c r="H136" s="2">
        <f t="shared" si="26"/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/>
      <c r="AJ136" s="2" t="s">
        <v>1568</v>
      </c>
      <c r="AK136" s="2">
        <f t="shared" si="19"/>
        <v>0</v>
      </c>
      <c r="AL136" s="2">
        <f t="shared" si="20"/>
        <v>0</v>
      </c>
      <c r="AM136" s="2">
        <f t="shared" si="21"/>
        <v>0</v>
      </c>
      <c r="AN136" s="2">
        <f t="shared" si="22"/>
        <v>0</v>
      </c>
      <c r="AO136" s="2">
        <f t="shared" si="23"/>
        <v>0</v>
      </c>
      <c r="AP136" s="2">
        <f t="shared" si="24"/>
        <v>0</v>
      </c>
      <c r="AQ136" s="25">
        <f t="shared" si="25"/>
        <v>0</v>
      </c>
    </row>
    <row r="137" spans="1:43">
      <c r="A137" s="24">
        <v>46119</v>
      </c>
      <c r="B137" s="23">
        <f t="shared" si="18"/>
        <v>46113</v>
      </c>
      <c r="C137" s="2" t="s">
        <v>63</v>
      </c>
      <c r="D137" s="2" t="s">
        <v>574</v>
      </c>
      <c r="E137" s="2">
        <v>1627</v>
      </c>
      <c r="F137" s="2">
        <v>93</v>
      </c>
      <c r="G137" s="2">
        <v>89</v>
      </c>
      <c r="H137" s="2">
        <f t="shared" si="26"/>
        <v>4</v>
      </c>
      <c r="I137" s="2">
        <v>4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/>
      <c r="AJ137" s="2" t="s">
        <v>1568</v>
      </c>
      <c r="AK137" s="2">
        <f t="shared" si="19"/>
        <v>4</v>
      </c>
      <c r="AL137" s="2">
        <f t="shared" si="20"/>
        <v>0</v>
      </c>
      <c r="AM137" s="2">
        <f t="shared" si="21"/>
        <v>0</v>
      </c>
      <c r="AN137" s="2">
        <f t="shared" si="22"/>
        <v>0</v>
      </c>
      <c r="AO137" s="2">
        <f t="shared" si="23"/>
        <v>0</v>
      </c>
      <c r="AP137" s="2">
        <f t="shared" si="24"/>
        <v>0</v>
      </c>
      <c r="AQ137" s="25">
        <f t="shared" si="25"/>
        <v>0</v>
      </c>
    </row>
    <row r="138" spans="1:43">
      <c r="A138" s="24">
        <v>46119</v>
      </c>
      <c r="B138" s="23">
        <f t="shared" si="18"/>
        <v>46113</v>
      </c>
      <c r="C138" s="2" t="s">
        <v>133</v>
      </c>
      <c r="D138" s="2" t="s">
        <v>1540</v>
      </c>
      <c r="E138" s="2">
        <v>1767</v>
      </c>
      <c r="F138" s="2">
        <v>180</v>
      </c>
      <c r="G138" s="2">
        <v>179</v>
      </c>
      <c r="H138" s="2">
        <f t="shared" si="26"/>
        <v>1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/>
      <c r="AJ138" s="2" t="s">
        <v>1568</v>
      </c>
      <c r="AK138" s="2">
        <f t="shared" si="19"/>
        <v>1</v>
      </c>
      <c r="AL138" s="2">
        <f t="shared" si="20"/>
        <v>0</v>
      </c>
      <c r="AM138" s="2">
        <f t="shared" si="21"/>
        <v>0</v>
      </c>
      <c r="AN138" s="2">
        <f t="shared" si="22"/>
        <v>0</v>
      </c>
      <c r="AO138" s="2">
        <f t="shared" si="23"/>
        <v>0</v>
      </c>
      <c r="AP138" s="2">
        <f t="shared" si="24"/>
        <v>0</v>
      </c>
      <c r="AQ138" s="25">
        <f t="shared" si="25"/>
        <v>0</v>
      </c>
    </row>
    <row r="139" spans="1:43">
      <c r="A139" s="24">
        <v>46119</v>
      </c>
      <c r="B139" s="23">
        <f t="shared" si="18"/>
        <v>46113</v>
      </c>
      <c r="C139" s="2" t="s">
        <v>62</v>
      </c>
      <c r="D139" s="2" t="s">
        <v>1556</v>
      </c>
      <c r="E139" s="2">
        <v>2786</v>
      </c>
      <c r="F139" s="2">
        <v>340</v>
      </c>
      <c r="G139" s="2">
        <v>340</v>
      </c>
      <c r="H139" s="2">
        <f t="shared" si="26"/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/>
      <c r="AJ139" s="2" t="s">
        <v>1568</v>
      </c>
      <c r="AK139" s="2">
        <f t="shared" si="19"/>
        <v>0</v>
      </c>
      <c r="AL139" s="2">
        <f t="shared" si="20"/>
        <v>0</v>
      </c>
      <c r="AM139" s="2">
        <f t="shared" si="21"/>
        <v>0</v>
      </c>
      <c r="AN139" s="2">
        <f t="shared" si="22"/>
        <v>0</v>
      </c>
      <c r="AO139" s="2">
        <f t="shared" si="23"/>
        <v>0</v>
      </c>
      <c r="AP139" s="2">
        <f t="shared" si="24"/>
        <v>0</v>
      </c>
      <c r="AQ139" s="25">
        <f t="shared" si="25"/>
        <v>0</v>
      </c>
    </row>
    <row r="140" spans="1:43">
      <c r="A140" s="24">
        <v>46119</v>
      </c>
      <c r="B140" s="23">
        <f t="shared" si="18"/>
        <v>46113</v>
      </c>
      <c r="C140" s="2" t="s">
        <v>133</v>
      </c>
      <c r="D140" s="2" t="s">
        <v>1540</v>
      </c>
      <c r="E140" s="2">
        <v>1767</v>
      </c>
      <c r="F140" s="2">
        <v>180</v>
      </c>
      <c r="G140" s="2">
        <v>179</v>
      </c>
      <c r="H140" s="2">
        <f t="shared" si="26"/>
        <v>1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/>
      <c r="AJ140" s="2" t="s">
        <v>1568</v>
      </c>
      <c r="AK140" s="2">
        <f t="shared" si="19"/>
        <v>1</v>
      </c>
      <c r="AL140" s="2">
        <f t="shared" si="20"/>
        <v>0</v>
      </c>
      <c r="AM140" s="2">
        <f t="shared" si="21"/>
        <v>0</v>
      </c>
      <c r="AN140" s="2">
        <f t="shared" si="22"/>
        <v>0</v>
      </c>
      <c r="AO140" s="2">
        <f t="shared" si="23"/>
        <v>0</v>
      </c>
      <c r="AP140" s="2">
        <f t="shared" si="24"/>
        <v>0</v>
      </c>
      <c r="AQ140" s="25">
        <f t="shared" si="25"/>
        <v>0</v>
      </c>
    </row>
    <row r="141" spans="1:43">
      <c r="A141" s="24">
        <v>46119</v>
      </c>
      <c r="B141" s="23">
        <f t="shared" si="18"/>
        <v>46113</v>
      </c>
      <c r="C141" s="2" t="s">
        <v>62</v>
      </c>
      <c r="D141" s="2" t="s">
        <v>1196</v>
      </c>
      <c r="E141" s="2">
        <v>2783</v>
      </c>
      <c r="F141" s="2">
        <v>269</v>
      </c>
      <c r="G141" s="2">
        <v>266</v>
      </c>
      <c r="H141" s="2">
        <f t="shared" si="26"/>
        <v>3</v>
      </c>
      <c r="I141" s="2">
        <v>0</v>
      </c>
      <c r="J141" s="2">
        <v>3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/>
      <c r="AJ141" s="2" t="s">
        <v>1568</v>
      </c>
      <c r="AK141" s="2">
        <f t="shared" si="19"/>
        <v>0</v>
      </c>
      <c r="AL141" s="2">
        <f t="shared" si="20"/>
        <v>3</v>
      </c>
      <c r="AM141" s="2">
        <f t="shared" si="21"/>
        <v>0</v>
      </c>
      <c r="AN141" s="2">
        <f t="shared" si="22"/>
        <v>0</v>
      </c>
      <c r="AO141" s="2">
        <f t="shared" si="23"/>
        <v>0</v>
      </c>
      <c r="AP141" s="2">
        <f t="shared" si="24"/>
        <v>0</v>
      </c>
      <c r="AQ141" s="25">
        <f t="shared" si="25"/>
        <v>0</v>
      </c>
    </row>
    <row r="142" spans="1:43">
      <c r="A142" s="24">
        <v>46120</v>
      </c>
      <c r="B142" s="23">
        <f t="shared" si="18"/>
        <v>46113</v>
      </c>
      <c r="C142" s="2" t="s">
        <v>72</v>
      </c>
      <c r="D142" s="2" t="s">
        <v>485</v>
      </c>
      <c r="E142" s="2">
        <v>2648</v>
      </c>
      <c r="F142" s="2">
        <v>388</v>
      </c>
      <c r="G142" s="2">
        <v>384</v>
      </c>
      <c r="H142" s="2">
        <f t="shared" si="26"/>
        <v>4</v>
      </c>
      <c r="I142" s="2">
        <v>4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/>
      <c r="AJ142" s="2" t="s">
        <v>103</v>
      </c>
      <c r="AK142" s="2">
        <f t="shared" si="19"/>
        <v>4</v>
      </c>
      <c r="AL142" s="2">
        <f t="shared" si="20"/>
        <v>0</v>
      </c>
      <c r="AM142" s="2">
        <f t="shared" si="21"/>
        <v>0</v>
      </c>
      <c r="AN142" s="2">
        <f t="shared" si="22"/>
        <v>0</v>
      </c>
      <c r="AO142" s="2">
        <f t="shared" si="23"/>
        <v>0</v>
      </c>
      <c r="AP142" s="2">
        <f t="shared" si="24"/>
        <v>0</v>
      </c>
      <c r="AQ142" s="25">
        <f t="shared" si="25"/>
        <v>0</v>
      </c>
    </row>
    <row r="143" spans="1:43">
      <c r="A143" s="24">
        <v>46120</v>
      </c>
      <c r="B143" s="23">
        <f t="shared" si="18"/>
        <v>46113</v>
      </c>
      <c r="C143" s="2" t="s">
        <v>114</v>
      </c>
      <c r="D143" s="2" t="s">
        <v>549</v>
      </c>
      <c r="E143" s="2">
        <v>1870</v>
      </c>
      <c r="F143" s="2">
        <v>190</v>
      </c>
      <c r="G143" s="2">
        <v>186</v>
      </c>
      <c r="H143" s="2">
        <f t="shared" si="26"/>
        <v>4</v>
      </c>
      <c r="I143" s="2">
        <v>3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1</v>
      </c>
      <c r="AE143" s="2">
        <v>0</v>
      </c>
      <c r="AF143" s="2">
        <v>0</v>
      </c>
      <c r="AG143" s="2">
        <v>0</v>
      </c>
      <c r="AH143" s="2">
        <v>0</v>
      </c>
      <c r="AI143" s="2"/>
      <c r="AJ143" s="2" t="s">
        <v>103</v>
      </c>
      <c r="AK143" s="2">
        <f t="shared" si="19"/>
        <v>3</v>
      </c>
      <c r="AL143" s="2">
        <f t="shared" si="20"/>
        <v>0</v>
      </c>
      <c r="AM143" s="2">
        <f t="shared" si="21"/>
        <v>0</v>
      </c>
      <c r="AN143" s="2">
        <f t="shared" si="22"/>
        <v>0</v>
      </c>
      <c r="AO143" s="2">
        <f t="shared" si="23"/>
        <v>0</v>
      </c>
      <c r="AP143" s="2">
        <f t="shared" si="24"/>
        <v>1</v>
      </c>
      <c r="AQ143" s="25">
        <f t="shared" si="25"/>
        <v>0</v>
      </c>
    </row>
    <row r="144" spans="1:43">
      <c r="A144" s="24">
        <v>46120</v>
      </c>
      <c r="B144" s="23">
        <f t="shared" si="18"/>
        <v>46113</v>
      </c>
      <c r="C144" s="2" t="s">
        <v>72</v>
      </c>
      <c r="D144" s="2" t="s">
        <v>489</v>
      </c>
      <c r="E144" s="2">
        <v>10038</v>
      </c>
      <c r="F144" s="2">
        <v>48</v>
      </c>
      <c r="G144" s="2">
        <v>45</v>
      </c>
      <c r="H144" s="2">
        <f t="shared" si="26"/>
        <v>3</v>
      </c>
      <c r="I144" s="2">
        <v>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/>
      <c r="AJ144" s="2" t="s">
        <v>103</v>
      </c>
      <c r="AK144" s="2">
        <f t="shared" si="19"/>
        <v>3</v>
      </c>
      <c r="AL144" s="2">
        <f t="shared" si="20"/>
        <v>0</v>
      </c>
      <c r="AM144" s="2">
        <f t="shared" si="21"/>
        <v>0</v>
      </c>
      <c r="AN144" s="2">
        <f t="shared" si="22"/>
        <v>0</v>
      </c>
      <c r="AO144" s="2">
        <f t="shared" si="23"/>
        <v>0</v>
      </c>
      <c r="AP144" s="2">
        <f t="shared" si="24"/>
        <v>0</v>
      </c>
      <c r="AQ144" s="25">
        <f t="shared" si="25"/>
        <v>0</v>
      </c>
    </row>
    <row r="145" spans="1:43">
      <c r="A145" s="24">
        <v>46120</v>
      </c>
      <c r="B145" s="23">
        <f t="shared" si="18"/>
        <v>46113</v>
      </c>
      <c r="C145" s="2" t="s">
        <v>72</v>
      </c>
      <c r="D145" s="2" t="s">
        <v>562</v>
      </c>
      <c r="E145" s="2">
        <v>2648</v>
      </c>
      <c r="F145" s="2">
        <v>57</v>
      </c>
      <c r="G145" s="2">
        <v>57</v>
      </c>
      <c r="H145" s="2">
        <f t="shared" si="26"/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/>
      <c r="AJ145" s="2" t="s">
        <v>103</v>
      </c>
      <c r="AK145" s="2">
        <f t="shared" si="19"/>
        <v>0</v>
      </c>
      <c r="AL145" s="2">
        <f t="shared" si="20"/>
        <v>0</v>
      </c>
      <c r="AM145" s="2">
        <f t="shared" si="21"/>
        <v>0</v>
      </c>
      <c r="AN145" s="2">
        <f t="shared" si="22"/>
        <v>0</v>
      </c>
      <c r="AO145" s="2">
        <f t="shared" si="23"/>
        <v>0</v>
      </c>
      <c r="AP145" s="2">
        <f t="shared" si="24"/>
        <v>0</v>
      </c>
      <c r="AQ145" s="25">
        <f t="shared" si="25"/>
        <v>0</v>
      </c>
    </row>
    <row r="146" spans="1:43">
      <c r="A146" s="24">
        <v>46120</v>
      </c>
      <c r="B146" s="23">
        <f t="shared" si="18"/>
        <v>46113</v>
      </c>
      <c r="C146" s="2" t="s">
        <v>72</v>
      </c>
      <c r="D146" s="2" t="s">
        <v>566</v>
      </c>
      <c r="E146" s="2">
        <v>2579</v>
      </c>
      <c r="F146" s="2">
        <v>20</v>
      </c>
      <c r="G146" s="2">
        <v>20</v>
      </c>
      <c r="H146" s="2">
        <f t="shared" si="26"/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/>
      <c r="AJ146" s="2" t="s">
        <v>103</v>
      </c>
      <c r="AK146" s="2">
        <f t="shared" si="19"/>
        <v>0</v>
      </c>
      <c r="AL146" s="2">
        <f t="shared" si="20"/>
        <v>0</v>
      </c>
      <c r="AM146" s="2">
        <f t="shared" si="21"/>
        <v>0</v>
      </c>
      <c r="AN146" s="2">
        <f t="shared" si="22"/>
        <v>0</v>
      </c>
      <c r="AO146" s="2">
        <f t="shared" si="23"/>
        <v>0</v>
      </c>
      <c r="AP146" s="2">
        <f t="shared" si="24"/>
        <v>0</v>
      </c>
      <c r="AQ146" s="25">
        <f t="shared" si="25"/>
        <v>0</v>
      </c>
    </row>
    <row r="147" spans="1:43">
      <c r="A147" s="24">
        <v>46120</v>
      </c>
      <c r="B147" s="23">
        <f t="shared" si="18"/>
        <v>46113</v>
      </c>
      <c r="C147" s="2" t="s">
        <v>114</v>
      </c>
      <c r="D147" s="2" t="s">
        <v>444</v>
      </c>
      <c r="E147" s="2">
        <v>2575</v>
      </c>
      <c r="F147" s="2">
        <v>208</v>
      </c>
      <c r="G147" s="2">
        <v>206</v>
      </c>
      <c r="H147" s="2">
        <f t="shared" si="26"/>
        <v>2</v>
      </c>
      <c r="I147" s="2">
        <v>0</v>
      </c>
      <c r="J147" s="2">
        <v>0</v>
      </c>
      <c r="K147" s="2">
        <v>0</v>
      </c>
      <c r="L147" s="2">
        <v>0</v>
      </c>
      <c r="M147" s="2">
        <v>2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/>
      <c r="AJ147" s="2" t="s">
        <v>103</v>
      </c>
      <c r="AK147" s="2">
        <f t="shared" si="19"/>
        <v>0</v>
      </c>
      <c r="AL147" s="2">
        <f t="shared" si="20"/>
        <v>2</v>
      </c>
      <c r="AM147" s="2">
        <f t="shared" si="21"/>
        <v>0</v>
      </c>
      <c r="AN147" s="2">
        <f t="shared" si="22"/>
        <v>0</v>
      </c>
      <c r="AO147" s="2">
        <f t="shared" si="23"/>
        <v>0</v>
      </c>
      <c r="AP147" s="2">
        <f t="shared" si="24"/>
        <v>0</v>
      </c>
      <c r="AQ147" s="25">
        <f t="shared" si="25"/>
        <v>0</v>
      </c>
    </row>
    <row r="148" spans="1:43">
      <c r="A148" s="24">
        <v>46120</v>
      </c>
      <c r="B148" s="23">
        <f t="shared" si="18"/>
        <v>46113</v>
      </c>
      <c r="C148" s="2" t="s">
        <v>160</v>
      </c>
      <c r="D148" s="2" t="s">
        <v>486</v>
      </c>
      <c r="E148" s="2">
        <v>2651</v>
      </c>
      <c r="F148" s="2">
        <v>273</v>
      </c>
      <c r="G148" s="2">
        <v>268</v>
      </c>
      <c r="H148" s="2">
        <f t="shared" si="26"/>
        <v>5</v>
      </c>
      <c r="I148" s="2">
        <v>0</v>
      </c>
      <c r="J148" s="2">
        <v>0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3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/>
      <c r="AJ148" s="2" t="s">
        <v>93</v>
      </c>
      <c r="AK148" s="2">
        <f t="shared" si="19"/>
        <v>0</v>
      </c>
      <c r="AL148" s="2">
        <f t="shared" si="20"/>
        <v>1</v>
      </c>
      <c r="AM148" s="2">
        <f t="shared" si="21"/>
        <v>0</v>
      </c>
      <c r="AN148" s="2">
        <f t="shared" si="22"/>
        <v>0</v>
      </c>
      <c r="AO148" s="2">
        <f t="shared" si="23"/>
        <v>4</v>
      </c>
      <c r="AP148" s="2">
        <f t="shared" si="24"/>
        <v>0</v>
      </c>
      <c r="AQ148" s="25">
        <f t="shared" si="25"/>
        <v>0</v>
      </c>
    </row>
    <row r="149" spans="1:43">
      <c r="A149" s="24">
        <v>46120</v>
      </c>
      <c r="B149" s="23">
        <f t="shared" si="18"/>
        <v>46113</v>
      </c>
      <c r="C149" s="2" t="s">
        <v>82</v>
      </c>
      <c r="D149" s="2" t="s">
        <v>553</v>
      </c>
      <c r="E149" s="2">
        <v>10038</v>
      </c>
      <c r="F149" s="2">
        <v>697</v>
      </c>
      <c r="G149" s="2">
        <v>694</v>
      </c>
      <c r="H149" s="2">
        <f t="shared" si="26"/>
        <v>3</v>
      </c>
      <c r="I149" s="2">
        <v>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2</v>
      </c>
      <c r="AE149" s="2">
        <v>0</v>
      </c>
      <c r="AF149" s="2">
        <v>0</v>
      </c>
      <c r="AG149" s="2">
        <v>0</v>
      </c>
      <c r="AH149" s="2">
        <v>0</v>
      </c>
      <c r="AI149" s="2"/>
      <c r="AJ149" s="2" t="s">
        <v>93</v>
      </c>
      <c r="AK149" s="2">
        <f t="shared" si="19"/>
        <v>1</v>
      </c>
      <c r="AL149" s="2">
        <f t="shared" si="20"/>
        <v>0</v>
      </c>
      <c r="AM149" s="2">
        <f t="shared" si="21"/>
        <v>0</v>
      </c>
      <c r="AN149" s="2">
        <f t="shared" si="22"/>
        <v>0</v>
      </c>
      <c r="AO149" s="2">
        <f t="shared" si="23"/>
        <v>0</v>
      </c>
      <c r="AP149" s="2">
        <f t="shared" si="24"/>
        <v>2</v>
      </c>
      <c r="AQ149" s="25">
        <f t="shared" si="25"/>
        <v>0</v>
      </c>
    </row>
    <row r="150" spans="1:43">
      <c r="A150" s="24">
        <v>46120</v>
      </c>
      <c r="B150" s="23">
        <f t="shared" si="18"/>
        <v>46113</v>
      </c>
      <c r="C150" s="2" t="s">
        <v>160</v>
      </c>
      <c r="D150" s="2" t="s">
        <v>486</v>
      </c>
      <c r="E150" s="2">
        <v>2651</v>
      </c>
      <c r="F150" s="2">
        <v>32</v>
      </c>
      <c r="G150" s="2">
        <v>32</v>
      </c>
      <c r="H150" s="2">
        <f t="shared" si="26"/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/>
      <c r="AJ150" s="2" t="s">
        <v>93</v>
      </c>
      <c r="AK150" s="2">
        <f t="shared" si="19"/>
        <v>0</v>
      </c>
      <c r="AL150" s="2">
        <f t="shared" si="20"/>
        <v>0</v>
      </c>
      <c r="AM150" s="2">
        <f t="shared" si="21"/>
        <v>0</v>
      </c>
      <c r="AN150" s="2">
        <f t="shared" si="22"/>
        <v>0</v>
      </c>
      <c r="AO150" s="2">
        <f t="shared" si="23"/>
        <v>0</v>
      </c>
      <c r="AP150" s="2">
        <f t="shared" si="24"/>
        <v>0</v>
      </c>
      <c r="AQ150" s="25">
        <f t="shared" si="25"/>
        <v>0</v>
      </c>
    </row>
    <row r="151" spans="1:43">
      <c r="A151" s="24">
        <v>46120</v>
      </c>
      <c r="B151" s="23">
        <f t="shared" si="18"/>
        <v>46113</v>
      </c>
      <c r="C151" s="2" t="s">
        <v>160</v>
      </c>
      <c r="D151" s="2" t="s">
        <v>506</v>
      </c>
      <c r="E151" s="2">
        <v>1805</v>
      </c>
      <c r="F151" s="2">
        <v>248</v>
      </c>
      <c r="G151" s="2">
        <v>231</v>
      </c>
      <c r="H151" s="2">
        <f t="shared" si="26"/>
        <v>17</v>
      </c>
      <c r="I151" s="2">
        <v>3</v>
      </c>
      <c r="J151" s="2">
        <v>3</v>
      </c>
      <c r="K151" s="2">
        <v>3</v>
      </c>
      <c r="L151" s="2">
        <v>0</v>
      </c>
      <c r="M151" s="2">
        <v>0</v>
      </c>
      <c r="N151" s="2">
        <v>0</v>
      </c>
      <c r="O151" s="2">
        <v>7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1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/>
      <c r="AJ151" s="2" t="s">
        <v>93</v>
      </c>
      <c r="AK151" s="2">
        <f t="shared" si="19"/>
        <v>3</v>
      </c>
      <c r="AL151" s="2">
        <f t="shared" si="20"/>
        <v>13</v>
      </c>
      <c r="AM151" s="2">
        <f t="shared" si="21"/>
        <v>0</v>
      </c>
      <c r="AN151" s="2">
        <f t="shared" si="22"/>
        <v>0</v>
      </c>
      <c r="AO151" s="2">
        <f t="shared" si="23"/>
        <v>1</v>
      </c>
      <c r="AP151" s="2">
        <f t="shared" si="24"/>
        <v>0</v>
      </c>
      <c r="AQ151" s="25">
        <f t="shared" si="25"/>
        <v>0</v>
      </c>
    </row>
    <row r="152" spans="1:43">
      <c r="A152" s="24">
        <v>46120</v>
      </c>
      <c r="B152" s="23">
        <f t="shared" si="18"/>
        <v>46113</v>
      </c>
      <c r="C152" s="2" t="s">
        <v>62</v>
      </c>
      <c r="D152" s="2" t="s">
        <v>472</v>
      </c>
      <c r="E152" s="2">
        <v>1824</v>
      </c>
      <c r="F152" s="2">
        <v>32</v>
      </c>
      <c r="G152" s="2">
        <v>31</v>
      </c>
      <c r="H152" s="2">
        <f t="shared" si="26"/>
        <v>1</v>
      </c>
      <c r="I152" s="2">
        <v>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/>
      <c r="AJ152" s="2" t="s">
        <v>99</v>
      </c>
      <c r="AK152" s="2">
        <f t="shared" si="19"/>
        <v>1</v>
      </c>
      <c r="AL152" s="2">
        <f t="shared" si="20"/>
        <v>0</v>
      </c>
      <c r="AM152" s="2">
        <f t="shared" si="21"/>
        <v>0</v>
      </c>
      <c r="AN152" s="2">
        <f t="shared" si="22"/>
        <v>0</v>
      </c>
      <c r="AO152" s="2">
        <f t="shared" si="23"/>
        <v>0</v>
      </c>
      <c r="AP152" s="2">
        <f t="shared" si="24"/>
        <v>0</v>
      </c>
      <c r="AQ152" s="25">
        <f t="shared" si="25"/>
        <v>0</v>
      </c>
    </row>
    <row r="153" spans="1:43">
      <c r="A153" s="24">
        <v>46120</v>
      </c>
      <c r="B153" s="23">
        <f t="shared" si="18"/>
        <v>46113</v>
      </c>
      <c r="C153" s="2" t="s">
        <v>160</v>
      </c>
      <c r="D153" s="2" t="s">
        <v>1192</v>
      </c>
      <c r="E153" s="2">
        <v>1521</v>
      </c>
      <c r="F153" s="2">
        <v>654</v>
      </c>
      <c r="G153" s="2">
        <v>624</v>
      </c>
      <c r="H153" s="2">
        <f t="shared" si="26"/>
        <v>30</v>
      </c>
      <c r="I153" s="2">
        <v>20</v>
      </c>
      <c r="J153" s="2">
        <v>0</v>
      </c>
      <c r="K153" s="2">
        <v>1</v>
      </c>
      <c r="L153" s="2">
        <v>4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5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/>
      <c r="AJ153" s="2" t="s">
        <v>99</v>
      </c>
      <c r="AK153" s="2">
        <f t="shared" si="19"/>
        <v>20</v>
      </c>
      <c r="AL153" s="2">
        <f t="shared" si="20"/>
        <v>5</v>
      </c>
      <c r="AM153" s="2">
        <f t="shared" si="21"/>
        <v>5</v>
      </c>
      <c r="AN153" s="2">
        <f t="shared" si="22"/>
        <v>0</v>
      </c>
      <c r="AO153" s="2">
        <f t="shared" si="23"/>
        <v>0</v>
      </c>
      <c r="AP153" s="2">
        <f t="shared" si="24"/>
        <v>0</v>
      </c>
      <c r="AQ153" s="25">
        <f t="shared" si="25"/>
        <v>0</v>
      </c>
    </row>
    <row r="154" spans="1:43">
      <c r="A154" s="24">
        <v>46120</v>
      </c>
      <c r="B154" s="23">
        <f t="shared" si="18"/>
        <v>46113</v>
      </c>
      <c r="C154" s="2" t="s">
        <v>82</v>
      </c>
      <c r="D154" s="2" t="s">
        <v>1419</v>
      </c>
      <c r="E154" s="2">
        <v>2664</v>
      </c>
      <c r="F154" s="2">
        <v>117</v>
      </c>
      <c r="G154" s="2">
        <v>111</v>
      </c>
      <c r="H154" s="2">
        <f t="shared" si="26"/>
        <v>6</v>
      </c>
      <c r="I154" s="2">
        <v>1</v>
      </c>
      <c r="J154" s="2">
        <v>0</v>
      </c>
      <c r="K154" s="2">
        <v>0</v>
      </c>
      <c r="L154" s="2">
        <v>0</v>
      </c>
      <c r="M154" s="2">
        <v>1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4</v>
      </c>
      <c r="AE154" s="2">
        <v>0</v>
      </c>
      <c r="AF154" s="2">
        <v>0</v>
      </c>
      <c r="AG154" s="2">
        <v>0</v>
      </c>
      <c r="AH154" s="2">
        <v>0</v>
      </c>
      <c r="AI154" s="2"/>
      <c r="AJ154" s="2" t="s">
        <v>93</v>
      </c>
      <c r="AK154" s="2">
        <f t="shared" si="19"/>
        <v>1</v>
      </c>
      <c r="AL154" s="2">
        <f t="shared" si="20"/>
        <v>1</v>
      </c>
      <c r="AM154" s="2">
        <f t="shared" si="21"/>
        <v>0</v>
      </c>
      <c r="AN154" s="2">
        <f t="shared" si="22"/>
        <v>0</v>
      </c>
      <c r="AO154" s="2">
        <f t="shared" si="23"/>
        <v>0</v>
      </c>
      <c r="AP154" s="2">
        <f t="shared" si="24"/>
        <v>4</v>
      </c>
      <c r="AQ154" s="25">
        <f t="shared" si="25"/>
        <v>0</v>
      </c>
    </row>
    <row r="155" spans="1:43">
      <c r="A155" s="24">
        <v>46120</v>
      </c>
      <c r="B155" s="23">
        <f t="shared" si="18"/>
        <v>46113</v>
      </c>
      <c r="C155" s="2" t="s">
        <v>62</v>
      </c>
      <c r="D155" s="2" t="s">
        <v>516</v>
      </c>
      <c r="E155" s="2">
        <v>2621</v>
      </c>
      <c r="F155" s="2">
        <v>181</v>
      </c>
      <c r="G155" s="2">
        <v>177</v>
      </c>
      <c r="H155" s="2">
        <f t="shared" si="26"/>
        <v>4</v>
      </c>
      <c r="I155" s="2">
        <v>4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/>
      <c r="AJ155" s="2" t="s">
        <v>1568</v>
      </c>
      <c r="AK155" s="2">
        <f t="shared" si="19"/>
        <v>4</v>
      </c>
      <c r="AL155" s="2">
        <f t="shared" si="20"/>
        <v>0</v>
      </c>
      <c r="AM155" s="2">
        <f t="shared" si="21"/>
        <v>0</v>
      </c>
      <c r="AN155" s="2">
        <f t="shared" si="22"/>
        <v>0</v>
      </c>
      <c r="AO155" s="2">
        <f t="shared" si="23"/>
        <v>0</v>
      </c>
      <c r="AP155" s="2">
        <f t="shared" si="24"/>
        <v>0</v>
      </c>
      <c r="AQ155" s="25">
        <f t="shared" si="25"/>
        <v>0</v>
      </c>
    </row>
    <row r="156" spans="1:43">
      <c r="A156" s="24">
        <v>46120</v>
      </c>
      <c r="B156" s="23">
        <f t="shared" si="18"/>
        <v>46113</v>
      </c>
      <c r="C156" s="2" t="s">
        <v>63</v>
      </c>
      <c r="D156" s="2" t="s">
        <v>429</v>
      </c>
      <c r="E156" s="2">
        <v>2576</v>
      </c>
      <c r="F156" s="2">
        <v>196</v>
      </c>
      <c r="G156" s="2">
        <v>195</v>
      </c>
      <c r="H156" s="2">
        <f t="shared" si="26"/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/>
      <c r="AJ156" s="2" t="s">
        <v>1568</v>
      </c>
      <c r="AK156" s="2">
        <f t="shared" si="19"/>
        <v>1</v>
      </c>
      <c r="AL156" s="2">
        <f t="shared" si="20"/>
        <v>0</v>
      </c>
      <c r="AM156" s="2">
        <f t="shared" si="21"/>
        <v>0</v>
      </c>
      <c r="AN156" s="2">
        <f t="shared" si="22"/>
        <v>0</v>
      </c>
      <c r="AO156" s="2">
        <f t="shared" si="23"/>
        <v>0</v>
      </c>
      <c r="AP156" s="2">
        <f t="shared" si="24"/>
        <v>0</v>
      </c>
      <c r="AQ156" s="25">
        <f t="shared" si="25"/>
        <v>0</v>
      </c>
    </row>
    <row r="157" spans="1:43">
      <c r="A157" s="24">
        <v>46120</v>
      </c>
      <c r="B157" s="23">
        <f t="shared" si="18"/>
        <v>46113</v>
      </c>
      <c r="C157" s="2" t="s">
        <v>63</v>
      </c>
      <c r="D157" s="2" t="s">
        <v>495</v>
      </c>
      <c r="E157" s="2">
        <v>2480</v>
      </c>
      <c r="F157" s="2">
        <v>85</v>
      </c>
      <c r="G157" s="2">
        <v>83</v>
      </c>
      <c r="H157" s="2">
        <f t="shared" si="26"/>
        <v>2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2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/>
      <c r="AJ157" s="2" t="s">
        <v>1568</v>
      </c>
      <c r="AK157" s="2">
        <f t="shared" si="19"/>
        <v>0</v>
      </c>
      <c r="AL157" s="2">
        <f t="shared" si="20"/>
        <v>2</v>
      </c>
      <c r="AM157" s="2">
        <f t="shared" si="21"/>
        <v>0</v>
      </c>
      <c r="AN157" s="2">
        <f t="shared" si="22"/>
        <v>0</v>
      </c>
      <c r="AO157" s="2">
        <f t="shared" si="23"/>
        <v>0</v>
      </c>
      <c r="AP157" s="2">
        <f t="shared" si="24"/>
        <v>0</v>
      </c>
      <c r="AQ157" s="25">
        <f t="shared" si="25"/>
        <v>0</v>
      </c>
    </row>
    <row r="158" spans="1:43">
      <c r="A158" s="24">
        <v>46120</v>
      </c>
      <c r="B158" s="23">
        <f t="shared" si="18"/>
        <v>46113</v>
      </c>
      <c r="C158" s="2" t="s">
        <v>63</v>
      </c>
      <c r="D158" s="2" t="s">
        <v>1558</v>
      </c>
      <c r="E158" s="2">
        <v>2576</v>
      </c>
      <c r="F158" s="2">
        <v>109</v>
      </c>
      <c r="G158" s="2">
        <v>109</v>
      </c>
      <c r="H158" s="2">
        <f t="shared" si="26"/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/>
      <c r="AJ158" s="2" t="s">
        <v>1568</v>
      </c>
      <c r="AK158" s="2">
        <f t="shared" si="19"/>
        <v>0</v>
      </c>
      <c r="AL158" s="2">
        <f t="shared" si="20"/>
        <v>0</v>
      </c>
      <c r="AM158" s="2">
        <f t="shared" si="21"/>
        <v>0</v>
      </c>
      <c r="AN158" s="2">
        <f t="shared" si="22"/>
        <v>0</v>
      </c>
      <c r="AO158" s="2">
        <f t="shared" si="23"/>
        <v>0</v>
      </c>
      <c r="AP158" s="2">
        <f t="shared" si="24"/>
        <v>0</v>
      </c>
      <c r="AQ158" s="25">
        <f t="shared" si="25"/>
        <v>0</v>
      </c>
    </row>
    <row r="159" spans="1:43">
      <c r="A159" s="24">
        <v>46120</v>
      </c>
      <c r="B159" s="23">
        <f t="shared" si="18"/>
        <v>46113</v>
      </c>
      <c r="C159" s="2" t="s">
        <v>63</v>
      </c>
      <c r="D159" s="2" t="s">
        <v>1382</v>
      </c>
      <c r="E159" s="2">
        <v>2480</v>
      </c>
      <c r="F159" s="2">
        <v>92</v>
      </c>
      <c r="G159" s="2">
        <v>90</v>
      </c>
      <c r="H159" s="2">
        <f t="shared" si="26"/>
        <v>2</v>
      </c>
      <c r="I159" s="2">
        <v>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1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/>
      <c r="AJ159" s="2" t="s">
        <v>1568</v>
      </c>
      <c r="AK159" s="2">
        <f t="shared" si="19"/>
        <v>1</v>
      </c>
      <c r="AL159" s="2">
        <f t="shared" si="20"/>
        <v>1</v>
      </c>
      <c r="AM159" s="2">
        <f t="shared" si="21"/>
        <v>0</v>
      </c>
      <c r="AN159" s="2">
        <f t="shared" si="22"/>
        <v>0</v>
      </c>
      <c r="AO159" s="2">
        <f t="shared" si="23"/>
        <v>0</v>
      </c>
      <c r="AP159" s="2">
        <f t="shared" si="24"/>
        <v>0</v>
      </c>
      <c r="AQ159" s="25">
        <f t="shared" si="25"/>
        <v>0</v>
      </c>
    </row>
    <row r="160" spans="1:43">
      <c r="A160" s="24">
        <v>46120</v>
      </c>
      <c r="B160" s="23">
        <f t="shared" si="18"/>
        <v>46113</v>
      </c>
      <c r="C160" s="2" t="s">
        <v>63</v>
      </c>
      <c r="D160" s="2" t="s">
        <v>1538</v>
      </c>
      <c r="E160" s="2">
        <v>10059</v>
      </c>
      <c r="F160" s="2">
        <v>139</v>
      </c>
      <c r="G160" s="2">
        <v>139</v>
      </c>
      <c r="H160" s="2">
        <f t="shared" si="26"/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/>
      <c r="AJ160" s="2" t="s">
        <v>1568</v>
      </c>
      <c r="AK160" s="2">
        <f t="shared" si="19"/>
        <v>0</v>
      </c>
      <c r="AL160" s="2">
        <f t="shared" si="20"/>
        <v>0</v>
      </c>
      <c r="AM160" s="2">
        <f t="shared" si="21"/>
        <v>0</v>
      </c>
      <c r="AN160" s="2">
        <f t="shared" si="22"/>
        <v>0</v>
      </c>
      <c r="AO160" s="2">
        <f t="shared" si="23"/>
        <v>0</v>
      </c>
      <c r="AP160" s="2">
        <f t="shared" si="24"/>
        <v>0</v>
      </c>
      <c r="AQ160" s="25">
        <f t="shared" si="25"/>
        <v>0</v>
      </c>
    </row>
    <row r="161" spans="1:43">
      <c r="A161" s="24">
        <v>46120</v>
      </c>
      <c r="B161" s="23">
        <f t="shared" si="18"/>
        <v>46113</v>
      </c>
      <c r="C161" s="2" t="s">
        <v>62</v>
      </c>
      <c r="D161" s="2" t="s">
        <v>516</v>
      </c>
      <c r="E161" s="2">
        <v>2621</v>
      </c>
      <c r="F161" s="2">
        <v>32</v>
      </c>
      <c r="G161" s="2">
        <v>32</v>
      </c>
      <c r="H161" s="2">
        <f t="shared" si="26"/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/>
      <c r="AJ161" s="2" t="s">
        <v>1568</v>
      </c>
      <c r="AK161" s="2">
        <f t="shared" si="19"/>
        <v>0</v>
      </c>
      <c r="AL161" s="2">
        <f t="shared" si="20"/>
        <v>0</v>
      </c>
      <c r="AM161" s="2">
        <f t="shared" si="21"/>
        <v>0</v>
      </c>
      <c r="AN161" s="2">
        <f t="shared" si="22"/>
        <v>0</v>
      </c>
      <c r="AO161" s="2">
        <f t="shared" si="23"/>
        <v>0</v>
      </c>
      <c r="AP161" s="2">
        <f t="shared" si="24"/>
        <v>0</v>
      </c>
      <c r="AQ161" s="25">
        <f t="shared" si="25"/>
        <v>0</v>
      </c>
    </row>
    <row r="162" spans="1:43">
      <c r="A162" s="24">
        <v>46120</v>
      </c>
      <c r="B162" s="23">
        <f t="shared" si="18"/>
        <v>46113</v>
      </c>
      <c r="C162" s="2" t="s">
        <v>63</v>
      </c>
      <c r="D162" s="2" t="s">
        <v>429</v>
      </c>
      <c r="E162" s="2">
        <v>2576</v>
      </c>
      <c r="F162" s="2">
        <v>32</v>
      </c>
      <c r="G162" s="2">
        <v>32</v>
      </c>
      <c r="H162" s="2">
        <f t="shared" si="26"/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/>
      <c r="AJ162" s="2" t="s">
        <v>1568</v>
      </c>
      <c r="AK162" s="2">
        <f t="shared" si="19"/>
        <v>0</v>
      </c>
      <c r="AL162" s="2">
        <f t="shared" si="20"/>
        <v>0</v>
      </c>
      <c r="AM162" s="2">
        <f t="shared" si="21"/>
        <v>0</v>
      </c>
      <c r="AN162" s="2">
        <f t="shared" si="22"/>
        <v>0</v>
      </c>
      <c r="AO162" s="2">
        <f t="shared" si="23"/>
        <v>0</v>
      </c>
      <c r="AP162" s="2">
        <f t="shared" si="24"/>
        <v>0</v>
      </c>
      <c r="AQ162" s="25">
        <f t="shared" si="25"/>
        <v>0</v>
      </c>
    </row>
    <row r="163" spans="1:43">
      <c r="A163" s="24">
        <v>46120</v>
      </c>
      <c r="B163" s="23">
        <f t="shared" si="18"/>
        <v>46113</v>
      </c>
      <c r="C163" s="2" t="s">
        <v>63</v>
      </c>
      <c r="D163" s="2" t="s">
        <v>1185</v>
      </c>
      <c r="E163" s="2">
        <v>2772</v>
      </c>
      <c r="F163" s="2">
        <v>109</v>
      </c>
      <c r="G163" s="2">
        <v>109</v>
      </c>
      <c r="H163" s="2">
        <f t="shared" si="26"/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/>
      <c r="AJ163" s="2" t="s">
        <v>1568</v>
      </c>
      <c r="AK163" s="2">
        <f t="shared" si="19"/>
        <v>0</v>
      </c>
      <c r="AL163" s="2">
        <f t="shared" si="20"/>
        <v>0</v>
      </c>
      <c r="AM163" s="2">
        <f t="shared" si="21"/>
        <v>0</v>
      </c>
      <c r="AN163" s="2">
        <f t="shared" si="22"/>
        <v>0</v>
      </c>
      <c r="AO163" s="2">
        <f t="shared" si="23"/>
        <v>0</v>
      </c>
      <c r="AP163" s="2">
        <f t="shared" si="24"/>
        <v>0</v>
      </c>
      <c r="AQ163" s="25">
        <f t="shared" si="25"/>
        <v>0</v>
      </c>
    </row>
    <row r="164" spans="1:43">
      <c r="A164" s="24">
        <v>46120</v>
      </c>
      <c r="B164" s="23">
        <f t="shared" si="18"/>
        <v>46113</v>
      </c>
      <c r="C164" s="2" t="s">
        <v>63</v>
      </c>
      <c r="D164" s="2" t="s">
        <v>571</v>
      </c>
      <c r="E164" s="2">
        <v>2576</v>
      </c>
      <c r="F164" s="2">
        <v>116</v>
      </c>
      <c r="G164" s="2">
        <v>115</v>
      </c>
      <c r="H164" s="2">
        <f t="shared" si="26"/>
        <v>1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1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/>
      <c r="AJ164" s="2" t="s">
        <v>1568</v>
      </c>
      <c r="AK164" s="2">
        <f t="shared" si="19"/>
        <v>0</v>
      </c>
      <c r="AL164" s="2">
        <f t="shared" si="20"/>
        <v>0</v>
      </c>
      <c r="AM164" s="2">
        <f t="shared" si="21"/>
        <v>0</v>
      </c>
      <c r="AN164" s="2">
        <f t="shared" si="22"/>
        <v>1</v>
      </c>
      <c r="AO164" s="2">
        <f t="shared" si="23"/>
        <v>0</v>
      </c>
      <c r="AP164" s="2">
        <f t="shared" si="24"/>
        <v>0</v>
      </c>
      <c r="AQ164" s="25">
        <f t="shared" si="25"/>
        <v>0</v>
      </c>
    </row>
    <row r="165" spans="1:43">
      <c r="A165" s="24">
        <v>46120</v>
      </c>
      <c r="B165" s="23">
        <f t="shared" si="18"/>
        <v>46113</v>
      </c>
      <c r="C165" s="2" t="s">
        <v>63</v>
      </c>
      <c r="D165" s="2" t="s">
        <v>425</v>
      </c>
      <c r="E165" s="2">
        <v>1806</v>
      </c>
      <c r="F165" s="2">
        <v>61</v>
      </c>
      <c r="G165" s="2">
        <v>61</v>
      </c>
      <c r="H165" s="2">
        <f t="shared" si="26"/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/>
      <c r="AJ165" s="2" t="s">
        <v>99</v>
      </c>
      <c r="AK165" s="2">
        <f t="shared" si="19"/>
        <v>0</v>
      </c>
      <c r="AL165" s="2">
        <f t="shared" si="20"/>
        <v>0</v>
      </c>
      <c r="AM165" s="2">
        <f t="shared" si="21"/>
        <v>0</v>
      </c>
      <c r="AN165" s="2">
        <f t="shared" si="22"/>
        <v>0</v>
      </c>
      <c r="AO165" s="2">
        <f t="shared" si="23"/>
        <v>0</v>
      </c>
      <c r="AP165" s="2">
        <f t="shared" si="24"/>
        <v>0</v>
      </c>
      <c r="AQ165" s="25">
        <f t="shared" si="25"/>
        <v>0</v>
      </c>
    </row>
    <row r="166" spans="1:43">
      <c r="A166" s="24">
        <v>46120</v>
      </c>
      <c r="B166" s="23">
        <f t="shared" si="18"/>
        <v>46113</v>
      </c>
      <c r="C166" s="2" t="s">
        <v>63</v>
      </c>
      <c r="D166" s="2" t="s">
        <v>425</v>
      </c>
      <c r="E166" s="2">
        <v>1806</v>
      </c>
      <c r="F166" s="2">
        <v>324</v>
      </c>
      <c r="G166" s="2">
        <v>304</v>
      </c>
      <c r="H166" s="2">
        <f t="shared" si="26"/>
        <v>20</v>
      </c>
      <c r="I166" s="2">
        <v>15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5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/>
      <c r="AJ166" s="2" t="s">
        <v>99</v>
      </c>
      <c r="AK166" s="2">
        <f t="shared" si="19"/>
        <v>15</v>
      </c>
      <c r="AL166" s="2">
        <f t="shared" si="20"/>
        <v>0</v>
      </c>
      <c r="AM166" s="2">
        <f t="shared" si="21"/>
        <v>5</v>
      </c>
      <c r="AN166" s="2">
        <f t="shared" si="22"/>
        <v>0</v>
      </c>
      <c r="AO166" s="2">
        <f t="shared" si="23"/>
        <v>0</v>
      </c>
      <c r="AP166" s="2">
        <f t="shared" si="24"/>
        <v>0</v>
      </c>
      <c r="AQ166" s="25">
        <f t="shared" si="25"/>
        <v>0</v>
      </c>
    </row>
    <row r="167" spans="1:43">
      <c r="A167" s="24">
        <v>46120</v>
      </c>
      <c r="B167" s="23">
        <f t="shared" si="18"/>
        <v>46113</v>
      </c>
      <c r="C167" s="2" t="s">
        <v>63</v>
      </c>
      <c r="D167" s="2" t="s">
        <v>508</v>
      </c>
      <c r="E167" s="2">
        <v>2565</v>
      </c>
      <c r="F167" s="2">
        <v>24</v>
      </c>
      <c r="G167" s="2">
        <v>24</v>
      </c>
      <c r="H167" s="2">
        <f t="shared" si="26"/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/>
      <c r="AJ167" s="2" t="s">
        <v>99</v>
      </c>
      <c r="AK167" s="2">
        <f t="shared" si="19"/>
        <v>0</v>
      </c>
      <c r="AL167" s="2">
        <f t="shared" si="20"/>
        <v>0</v>
      </c>
      <c r="AM167" s="2">
        <f t="shared" si="21"/>
        <v>0</v>
      </c>
      <c r="AN167" s="2">
        <f t="shared" si="22"/>
        <v>0</v>
      </c>
      <c r="AO167" s="2">
        <f t="shared" si="23"/>
        <v>0</v>
      </c>
      <c r="AP167" s="2">
        <f t="shared" si="24"/>
        <v>0</v>
      </c>
      <c r="AQ167" s="25">
        <f t="shared" si="25"/>
        <v>0</v>
      </c>
    </row>
    <row r="168" spans="1:43">
      <c r="A168" s="24">
        <v>46120</v>
      </c>
      <c r="B168" s="23">
        <f t="shared" si="18"/>
        <v>46113</v>
      </c>
      <c r="C168" s="2" t="s">
        <v>62</v>
      </c>
      <c r="D168" s="2" t="s">
        <v>472</v>
      </c>
      <c r="E168" s="2">
        <v>1824</v>
      </c>
      <c r="F168" s="2">
        <v>162</v>
      </c>
      <c r="G168" s="2">
        <v>155</v>
      </c>
      <c r="H168" s="2">
        <f t="shared" si="26"/>
        <v>7</v>
      </c>
      <c r="I168" s="2">
        <v>3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4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/>
      <c r="AJ168" s="2" t="s">
        <v>99</v>
      </c>
      <c r="AK168" s="2">
        <f t="shared" si="19"/>
        <v>3</v>
      </c>
      <c r="AL168" s="2">
        <f t="shared" si="20"/>
        <v>0</v>
      </c>
      <c r="AM168" s="2">
        <f t="shared" si="21"/>
        <v>4</v>
      </c>
      <c r="AN168" s="2">
        <f t="shared" si="22"/>
        <v>0</v>
      </c>
      <c r="AO168" s="2">
        <f t="shared" si="23"/>
        <v>0</v>
      </c>
      <c r="AP168" s="2">
        <f t="shared" si="24"/>
        <v>0</v>
      </c>
      <c r="AQ168" s="25">
        <f t="shared" si="25"/>
        <v>0</v>
      </c>
    </row>
    <row r="169" spans="1:43">
      <c r="A169" s="24">
        <v>46120</v>
      </c>
      <c r="B169" s="23">
        <f t="shared" si="18"/>
        <v>46113</v>
      </c>
      <c r="C169" s="2" t="s">
        <v>62</v>
      </c>
      <c r="D169" s="2" t="s">
        <v>450</v>
      </c>
      <c r="E169" s="2">
        <v>1823</v>
      </c>
      <c r="F169" s="2">
        <v>144</v>
      </c>
      <c r="G169" s="2">
        <v>133</v>
      </c>
      <c r="H169" s="2">
        <f t="shared" si="26"/>
        <v>11</v>
      </c>
      <c r="I169" s="2">
        <v>7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1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3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/>
      <c r="AJ169" s="2" t="s">
        <v>99</v>
      </c>
      <c r="AK169" s="2">
        <f t="shared" si="19"/>
        <v>7</v>
      </c>
      <c r="AL169" s="2">
        <f t="shared" si="20"/>
        <v>1</v>
      </c>
      <c r="AM169" s="2">
        <f t="shared" si="21"/>
        <v>3</v>
      </c>
      <c r="AN169" s="2">
        <f t="shared" si="22"/>
        <v>0</v>
      </c>
      <c r="AO169" s="2">
        <f t="shared" si="23"/>
        <v>0</v>
      </c>
      <c r="AP169" s="2">
        <f t="shared" si="24"/>
        <v>0</v>
      </c>
      <c r="AQ169" s="25">
        <f t="shared" si="25"/>
        <v>0</v>
      </c>
    </row>
    <row r="170" spans="1:43">
      <c r="A170" s="24">
        <v>46120</v>
      </c>
      <c r="B170" s="23">
        <f t="shared" si="18"/>
        <v>46113</v>
      </c>
      <c r="C170" s="2" t="s">
        <v>62</v>
      </c>
      <c r="D170" s="2" t="s">
        <v>450</v>
      </c>
      <c r="E170" s="2">
        <v>1823</v>
      </c>
      <c r="F170" s="2">
        <v>123</v>
      </c>
      <c r="G170" s="2">
        <v>112</v>
      </c>
      <c r="H170" s="2">
        <f t="shared" si="26"/>
        <v>11</v>
      </c>
      <c r="I170" s="2">
        <v>8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1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2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/>
      <c r="AJ170" s="2" t="s">
        <v>99</v>
      </c>
      <c r="AK170" s="2">
        <f t="shared" si="19"/>
        <v>8</v>
      </c>
      <c r="AL170" s="2">
        <f t="shared" si="20"/>
        <v>1</v>
      </c>
      <c r="AM170" s="2">
        <f t="shared" si="21"/>
        <v>2</v>
      </c>
      <c r="AN170" s="2">
        <f t="shared" si="22"/>
        <v>0</v>
      </c>
      <c r="AO170" s="2">
        <f t="shared" si="23"/>
        <v>0</v>
      </c>
      <c r="AP170" s="2">
        <f t="shared" si="24"/>
        <v>0</v>
      </c>
      <c r="AQ170" s="25">
        <f t="shared" si="25"/>
        <v>0</v>
      </c>
    </row>
    <row r="171" spans="1:43">
      <c r="A171" s="24">
        <v>46120</v>
      </c>
      <c r="B171" s="23">
        <f t="shared" si="18"/>
        <v>46113</v>
      </c>
      <c r="C171" s="2" t="s">
        <v>63</v>
      </c>
      <c r="D171" s="2" t="s">
        <v>425</v>
      </c>
      <c r="E171" s="2">
        <v>1806</v>
      </c>
      <c r="F171" s="2">
        <v>49</v>
      </c>
      <c r="G171" s="2">
        <v>48</v>
      </c>
      <c r="H171" s="2">
        <f t="shared" si="26"/>
        <v>1</v>
      </c>
      <c r="I171" s="2">
        <v>1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/>
      <c r="AJ171" s="2" t="s">
        <v>99</v>
      </c>
      <c r="AK171" s="2">
        <f t="shared" si="19"/>
        <v>1</v>
      </c>
      <c r="AL171" s="2">
        <f t="shared" si="20"/>
        <v>0</v>
      </c>
      <c r="AM171" s="2">
        <f t="shared" si="21"/>
        <v>0</v>
      </c>
      <c r="AN171" s="2">
        <f t="shared" si="22"/>
        <v>0</v>
      </c>
      <c r="AO171" s="2">
        <f t="shared" si="23"/>
        <v>0</v>
      </c>
      <c r="AP171" s="2">
        <f t="shared" si="24"/>
        <v>0</v>
      </c>
      <c r="AQ171" s="25">
        <f t="shared" si="25"/>
        <v>0</v>
      </c>
    </row>
    <row r="172" spans="1:43">
      <c r="A172" s="24">
        <v>46120</v>
      </c>
      <c r="B172" s="23">
        <f t="shared" si="18"/>
        <v>46113</v>
      </c>
      <c r="C172" s="2" t="s">
        <v>97</v>
      </c>
      <c r="D172" s="2" t="s">
        <v>479</v>
      </c>
      <c r="E172" s="2">
        <v>1734</v>
      </c>
      <c r="F172" s="2">
        <v>78</v>
      </c>
      <c r="G172" s="2">
        <v>77</v>
      </c>
      <c r="H172" s="2">
        <f t="shared" si="26"/>
        <v>1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/>
      <c r="AJ172" s="2" t="s">
        <v>110</v>
      </c>
      <c r="AK172" s="2">
        <f t="shared" si="19"/>
        <v>0</v>
      </c>
      <c r="AL172" s="2">
        <f t="shared" si="20"/>
        <v>0</v>
      </c>
      <c r="AM172" s="2">
        <f t="shared" si="21"/>
        <v>0</v>
      </c>
      <c r="AN172" s="2">
        <f t="shared" si="22"/>
        <v>0</v>
      </c>
      <c r="AO172" s="2">
        <f t="shared" si="23"/>
        <v>1</v>
      </c>
      <c r="AP172" s="2">
        <f t="shared" si="24"/>
        <v>0</v>
      </c>
      <c r="AQ172" s="25">
        <f t="shared" si="25"/>
        <v>0</v>
      </c>
    </row>
    <row r="173" spans="1:43">
      <c r="A173" s="24">
        <v>46120</v>
      </c>
      <c r="B173" s="23">
        <f t="shared" si="18"/>
        <v>46113</v>
      </c>
      <c r="C173" s="2" t="s">
        <v>97</v>
      </c>
      <c r="D173" s="2" t="s">
        <v>479</v>
      </c>
      <c r="E173" s="2">
        <v>1734</v>
      </c>
      <c r="F173" s="2">
        <v>17</v>
      </c>
      <c r="G173" s="2">
        <v>17</v>
      </c>
      <c r="H173" s="2">
        <f t="shared" si="26"/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/>
      <c r="AJ173" s="2" t="s">
        <v>110</v>
      </c>
      <c r="AK173" s="2">
        <f t="shared" si="19"/>
        <v>0</v>
      </c>
      <c r="AL173" s="2">
        <f t="shared" si="20"/>
        <v>0</v>
      </c>
      <c r="AM173" s="2">
        <f t="shared" si="21"/>
        <v>0</v>
      </c>
      <c r="AN173" s="2">
        <f t="shared" si="22"/>
        <v>0</v>
      </c>
      <c r="AO173" s="2">
        <f t="shared" si="23"/>
        <v>0</v>
      </c>
      <c r="AP173" s="2">
        <f t="shared" si="24"/>
        <v>0</v>
      </c>
      <c r="AQ173" s="25">
        <f t="shared" si="25"/>
        <v>0</v>
      </c>
    </row>
    <row r="174" spans="1:43">
      <c r="A174" s="24">
        <v>46120</v>
      </c>
      <c r="B174" s="23">
        <f t="shared" si="18"/>
        <v>46113</v>
      </c>
      <c r="C174" s="2" t="s">
        <v>97</v>
      </c>
      <c r="D174" s="2" t="s">
        <v>481</v>
      </c>
      <c r="E174" s="2">
        <v>1734</v>
      </c>
      <c r="F174" s="2">
        <v>248</v>
      </c>
      <c r="G174" s="2">
        <v>247</v>
      </c>
      <c r="H174" s="2">
        <f t="shared" si="26"/>
        <v>1</v>
      </c>
      <c r="I174" s="2">
        <v>1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/>
      <c r="AJ174" s="2" t="s">
        <v>110</v>
      </c>
      <c r="AK174" s="2">
        <f t="shared" si="19"/>
        <v>1</v>
      </c>
      <c r="AL174" s="2">
        <f t="shared" si="20"/>
        <v>0</v>
      </c>
      <c r="AM174" s="2">
        <f t="shared" si="21"/>
        <v>0</v>
      </c>
      <c r="AN174" s="2">
        <f t="shared" si="22"/>
        <v>0</v>
      </c>
      <c r="AO174" s="2">
        <f t="shared" si="23"/>
        <v>0</v>
      </c>
      <c r="AP174" s="2">
        <f t="shared" si="24"/>
        <v>0</v>
      </c>
      <c r="AQ174" s="25">
        <f t="shared" si="25"/>
        <v>0</v>
      </c>
    </row>
    <row r="175" spans="1:43">
      <c r="A175" s="24">
        <v>46120</v>
      </c>
      <c r="B175" s="23">
        <f t="shared" si="18"/>
        <v>46113</v>
      </c>
      <c r="C175" s="2" t="s">
        <v>97</v>
      </c>
      <c r="D175" s="2" t="s">
        <v>481</v>
      </c>
      <c r="E175" s="2">
        <v>1734</v>
      </c>
      <c r="F175" s="2">
        <v>28</v>
      </c>
      <c r="G175" s="2">
        <v>27</v>
      </c>
      <c r="H175" s="2">
        <f t="shared" si="26"/>
        <v>1</v>
      </c>
      <c r="I175" s="2">
        <v>1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/>
      <c r="AJ175" s="2" t="s">
        <v>110</v>
      </c>
      <c r="AK175" s="2">
        <f t="shared" si="19"/>
        <v>1</v>
      </c>
      <c r="AL175" s="2">
        <f t="shared" si="20"/>
        <v>0</v>
      </c>
      <c r="AM175" s="2">
        <f t="shared" si="21"/>
        <v>0</v>
      </c>
      <c r="AN175" s="2">
        <f t="shared" si="22"/>
        <v>0</v>
      </c>
      <c r="AO175" s="2">
        <f t="shared" si="23"/>
        <v>0</v>
      </c>
      <c r="AP175" s="2">
        <f t="shared" si="24"/>
        <v>0</v>
      </c>
      <c r="AQ175" s="25">
        <f t="shared" si="25"/>
        <v>0</v>
      </c>
    </row>
    <row r="176" spans="1:43">
      <c r="A176" s="24">
        <v>46120</v>
      </c>
      <c r="B176" s="23">
        <f t="shared" si="18"/>
        <v>46113</v>
      </c>
      <c r="C176" s="2" t="s">
        <v>66</v>
      </c>
      <c r="D176" s="2" t="s">
        <v>1422</v>
      </c>
      <c r="E176" s="2">
        <v>2639</v>
      </c>
      <c r="F176" s="2">
        <v>121</v>
      </c>
      <c r="G176" s="2">
        <v>119</v>
      </c>
      <c r="H176" s="2">
        <f t="shared" si="26"/>
        <v>2</v>
      </c>
      <c r="I176" s="2">
        <v>2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/>
      <c r="AJ176" s="2" t="s">
        <v>110</v>
      </c>
      <c r="AK176" s="2">
        <f t="shared" si="19"/>
        <v>2</v>
      </c>
      <c r="AL176" s="2">
        <f t="shared" si="20"/>
        <v>0</v>
      </c>
      <c r="AM176" s="2">
        <f t="shared" si="21"/>
        <v>0</v>
      </c>
      <c r="AN176" s="2">
        <f t="shared" si="22"/>
        <v>0</v>
      </c>
      <c r="AO176" s="2">
        <f t="shared" si="23"/>
        <v>0</v>
      </c>
      <c r="AP176" s="2">
        <f t="shared" si="24"/>
        <v>0</v>
      </c>
      <c r="AQ176" s="25">
        <f t="shared" si="25"/>
        <v>0</v>
      </c>
    </row>
    <row r="177" spans="1:43">
      <c r="A177" s="24">
        <v>46120</v>
      </c>
      <c r="B177" s="23">
        <f t="shared" si="18"/>
        <v>46113</v>
      </c>
      <c r="C177" s="2" t="s">
        <v>66</v>
      </c>
      <c r="D177" s="2" t="s">
        <v>1422</v>
      </c>
      <c r="E177" s="2">
        <v>2639</v>
      </c>
      <c r="F177" s="2">
        <v>20</v>
      </c>
      <c r="G177" s="2">
        <v>20</v>
      </c>
      <c r="H177" s="2">
        <f t="shared" si="26"/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/>
      <c r="AJ177" s="2" t="s">
        <v>110</v>
      </c>
      <c r="AK177" s="2">
        <f t="shared" si="19"/>
        <v>0</v>
      </c>
      <c r="AL177" s="2">
        <f t="shared" si="20"/>
        <v>0</v>
      </c>
      <c r="AM177" s="2">
        <f t="shared" si="21"/>
        <v>0</v>
      </c>
      <c r="AN177" s="2">
        <f t="shared" si="22"/>
        <v>0</v>
      </c>
      <c r="AO177" s="2">
        <f t="shared" si="23"/>
        <v>0</v>
      </c>
      <c r="AP177" s="2">
        <f t="shared" si="24"/>
        <v>0</v>
      </c>
      <c r="AQ177" s="25">
        <f t="shared" si="25"/>
        <v>0</v>
      </c>
    </row>
    <row r="178" spans="1:43">
      <c r="A178" s="24">
        <v>46120</v>
      </c>
      <c r="B178" s="23">
        <f t="shared" si="18"/>
        <v>46113</v>
      </c>
      <c r="C178" s="2" t="s">
        <v>97</v>
      </c>
      <c r="D178" s="2" t="s">
        <v>537</v>
      </c>
      <c r="E178" s="2">
        <v>1849</v>
      </c>
      <c r="F178" s="2">
        <v>48</v>
      </c>
      <c r="G178" s="2">
        <v>47</v>
      </c>
      <c r="H178" s="2">
        <f t="shared" si="26"/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1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/>
      <c r="AJ178" s="2" t="s">
        <v>110</v>
      </c>
      <c r="AK178" s="2">
        <f t="shared" si="19"/>
        <v>0</v>
      </c>
      <c r="AL178" s="2">
        <f t="shared" si="20"/>
        <v>1</v>
      </c>
      <c r="AM178" s="2">
        <f t="shared" si="21"/>
        <v>0</v>
      </c>
      <c r="AN178" s="2">
        <f t="shared" si="22"/>
        <v>0</v>
      </c>
      <c r="AO178" s="2">
        <f t="shared" si="23"/>
        <v>0</v>
      </c>
      <c r="AP178" s="2">
        <f t="shared" si="24"/>
        <v>0</v>
      </c>
      <c r="AQ178" s="25">
        <f t="shared" si="25"/>
        <v>0</v>
      </c>
    </row>
    <row r="179" spans="1:43">
      <c r="A179" s="24">
        <v>46120</v>
      </c>
      <c r="B179" s="23">
        <f t="shared" si="18"/>
        <v>46113</v>
      </c>
      <c r="C179" s="2" t="s">
        <v>97</v>
      </c>
      <c r="D179" s="2" t="s">
        <v>537</v>
      </c>
      <c r="E179" s="2">
        <v>1849</v>
      </c>
      <c r="F179" s="2">
        <v>17</v>
      </c>
      <c r="G179" s="2">
        <v>17</v>
      </c>
      <c r="H179" s="2">
        <f t="shared" si="26"/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/>
      <c r="AJ179" s="2" t="s">
        <v>110</v>
      </c>
      <c r="AK179" s="2">
        <f t="shared" si="19"/>
        <v>0</v>
      </c>
      <c r="AL179" s="2">
        <f t="shared" si="20"/>
        <v>0</v>
      </c>
      <c r="AM179" s="2">
        <f t="shared" si="21"/>
        <v>0</v>
      </c>
      <c r="AN179" s="2">
        <f t="shared" si="22"/>
        <v>0</v>
      </c>
      <c r="AO179" s="2">
        <f t="shared" si="23"/>
        <v>0</v>
      </c>
      <c r="AP179" s="2">
        <f t="shared" si="24"/>
        <v>0</v>
      </c>
      <c r="AQ179" s="25">
        <f t="shared" si="25"/>
        <v>0</v>
      </c>
    </row>
    <row r="180" spans="1:43">
      <c r="A180" s="24">
        <v>46120</v>
      </c>
      <c r="B180" s="23">
        <f t="shared" si="18"/>
        <v>46113</v>
      </c>
      <c r="C180" s="2" t="s">
        <v>62</v>
      </c>
      <c r="D180" s="2" t="s">
        <v>471</v>
      </c>
      <c r="E180" s="2">
        <v>1824</v>
      </c>
      <c r="F180" s="2">
        <v>49</v>
      </c>
      <c r="G180" s="2">
        <v>48</v>
      </c>
      <c r="H180" s="2">
        <f t="shared" si="26"/>
        <v>1</v>
      </c>
      <c r="I180" s="2">
        <v>1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/>
      <c r="AJ180" s="2" t="s">
        <v>110</v>
      </c>
      <c r="AK180" s="2">
        <f t="shared" si="19"/>
        <v>1</v>
      </c>
      <c r="AL180" s="2">
        <f t="shared" si="20"/>
        <v>0</v>
      </c>
      <c r="AM180" s="2">
        <f t="shared" si="21"/>
        <v>0</v>
      </c>
      <c r="AN180" s="2">
        <f t="shared" si="22"/>
        <v>0</v>
      </c>
      <c r="AO180" s="2">
        <f t="shared" si="23"/>
        <v>0</v>
      </c>
      <c r="AP180" s="2">
        <f t="shared" si="24"/>
        <v>0</v>
      </c>
      <c r="AQ180" s="25">
        <f t="shared" si="25"/>
        <v>0</v>
      </c>
    </row>
    <row r="181" spans="1:43">
      <c r="A181" s="24">
        <v>46120</v>
      </c>
      <c r="B181" s="23">
        <f t="shared" si="18"/>
        <v>46113</v>
      </c>
      <c r="C181" s="2" t="s">
        <v>62</v>
      </c>
      <c r="D181" s="2" t="s">
        <v>570</v>
      </c>
      <c r="E181" s="2">
        <v>1806</v>
      </c>
      <c r="F181" s="2">
        <v>47</v>
      </c>
      <c r="G181" s="2">
        <v>47</v>
      </c>
      <c r="H181" s="2">
        <f t="shared" si="26"/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/>
      <c r="AJ181" s="2" t="s">
        <v>110</v>
      </c>
      <c r="AK181" s="2">
        <f t="shared" si="19"/>
        <v>0</v>
      </c>
      <c r="AL181" s="2">
        <f t="shared" si="20"/>
        <v>0</v>
      </c>
      <c r="AM181" s="2">
        <f t="shared" si="21"/>
        <v>0</v>
      </c>
      <c r="AN181" s="2">
        <f t="shared" si="22"/>
        <v>0</v>
      </c>
      <c r="AO181" s="2">
        <f t="shared" si="23"/>
        <v>0</v>
      </c>
      <c r="AP181" s="2">
        <f t="shared" si="24"/>
        <v>0</v>
      </c>
      <c r="AQ181" s="25">
        <f t="shared" si="25"/>
        <v>0</v>
      </c>
    </row>
    <row r="182" spans="1:43">
      <c r="A182" s="24">
        <v>46120</v>
      </c>
      <c r="B182" s="23">
        <f t="shared" si="18"/>
        <v>46113</v>
      </c>
      <c r="C182" s="2" t="s">
        <v>62</v>
      </c>
      <c r="D182" s="2" t="s">
        <v>570</v>
      </c>
      <c r="E182" s="2">
        <v>1806</v>
      </c>
      <c r="F182" s="2">
        <v>20</v>
      </c>
      <c r="G182" s="2">
        <v>20</v>
      </c>
      <c r="H182" s="2">
        <f t="shared" si="26"/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/>
      <c r="AJ182" s="2" t="s">
        <v>110</v>
      </c>
      <c r="AK182" s="2">
        <f t="shared" si="19"/>
        <v>0</v>
      </c>
      <c r="AL182" s="2">
        <f t="shared" si="20"/>
        <v>0</v>
      </c>
      <c r="AM182" s="2">
        <f t="shared" si="21"/>
        <v>0</v>
      </c>
      <c r="AN182" s="2">
        <f t="shared" si="22"/>
        <v>0</v>
      </c>
      <c r="AO182" s="2">
        <f t="shared" si="23"/>
        <v>0</v>
      </c>
      <c r="AP182" s="2">
        <f t="shared" si="24"/>
        <v>0</v>
      </c>
      <c r="AQ182" s="25">
        <f t="shared" si="25"/>
        <v>0</v>
      </c>
    </row>
    <row r="183" spans="1:43">
      <c r="A183" s="24">
        <v>46120</v>
      </c>
      <c r="B183" s="23">
        <f t="shared" si="18"/>
        <v>46113</v>
      </c>
      <c r="C183" s="2" t="s">
        <v>66</v>
      </c>
      <c r="D183" s="2" t="s">
        <v>1451</v>
      </c>
      <c r="E183" s="2">
        <v>1636</v>
      </c>
      <c r="F183" s="2">
        <v>81</v>
      </c>
      <c r="G183" s="2">
        <v>81</v>
      </c>
      <c r="H183" s="2">
        <f t="shared" si="26"/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/>
      <c r="AJ183" s="2" t="s">
        <v>110</v>
      </c>
      <c r="AK183" s="2">
        <f t="shared" si="19"/>
        <v>0</v>
      </c>
      <c r="AL183" s="2">
        <f t="shared" si="20"/>
        <v>0</v>
      </c>
      <c r="AM183" s="2">
        <f t="shared" si="21"/>
        <v>0</v>
      </c>
      <c r="AN183" s="2">
        <f t="shared" si="22"/>
        <v>0</v>
      </c>
      <c r="AO183" s="2">
        <f t="shared" si="23"/>
        <v>0</v>
      </c>
      <c r="AP183" s="2">
        <f t="shared" si="24"/>
        <v>0</v>
      </c>
      <c r="AQ183" s="25">
        <f t="shared" si="25"/>
        <v>0</v>
      </c>
    </row>
    <row r="184" spans="1:43">
      <c r="A184" s="24">
        <v>46120</v>
      </c>
      <c r="B184" s="23">
        <f t="shared" si="18"/>
        <v>46113</v>
      </c>
      <c r="C184" s="2" t="s">
        <v>66</v>
      </c>
      <c r="D184" s="2" t="s">
        <v>434</v>
      </c>
      <c r="E184" s="2">
        <v>1767</v>
      </c>
      <c r="F184" s="2">
        <v>43</v>
      </c>
      <c r="G184" s="2">
        <v>42</v>
      </c>
      <c r="H184" s="2">
        <f t="shared" si="26"/>
        <v>1</v>
      </c>
      <c r="I184" s="2">
        <v>0</v>
      </c>
      <c r="J184" s="2">
        <v>0</v>
      </c>
      <c r="K184" s="2">
        <v>0</v>
      </c>
      <c r="L184" s="2">
        <v>0</v>
      </c>
      <c r="M184" s="2">
        <v>1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/>
      <c r="AJ184" s="2" t="s">
        <v>110</v>
      </c>
      <c r="AK184" s="2">
        <f t="shared" si="19"/>
        <v>0</v>
      </c>
      <c r="AL184" s="2">
        <f t="shared" si="20"/>
        <v>1</v>
      </c>
      <c r="AM184" s="2">
        <f t="shared" si="21"/>
        <v>0</v>
      </c>
      <c r="AN184" s="2">
        <f t="shared" si="22"/>
        <v>0</v>
      </c>
      <c r="AO184" s="2">
        <f t="shared" si="23"/>
        <v>0</v>
      </c>
      <c r="AP184" s="2">
        <f t="shared" si="24"/>
        <v>0</v>
      </c>
      <c r="AQ184" s="25">
        <f t="shared" si="25"/>
        <v>0</v>
      </c>
    </row>
    <row r="185" spans="1:43">
      <c r="A185" s="24">
        <v>46120</v>
      </c>
      <c r="B185" s="23">
        <f t="shared" si="18"/>
        <v>46113</v>
      </c>
      <c r="C185" s="2" t="s">
        <v>66</v>
      </c>
      <c r="D185" s="2" t="s">
        <v>1540</v>
      </c>
      <c r="E185" s="2">
        <v>1767</v>
      </c>
      <c r="F185" s="2">
        <v>20</v>
      </c>
      <c r="G185" s="2">
        <v>20</v>
      </c>
      <c r="H185" s="2">
        <f t="shared" si="26"/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/>
      <c r="AJ185" s="2" t="s">
        <v>110</v>
      </c>
      <c r="AK185" s="2">
        <f t="shared" si="19"/>
        <v>0</v>
      </c>
      <c r="AL185" s="2">
        <f t="shared" si="20"/>
        <v>0</v>
      </c>
      <c r="AM185" s="2">
        <f t="shared" si="21"/>
        <v>0</v>
      </c>
      <c r="AN185" s="2">
        <f t="shared" si="22"/>
        <v>0</v>
      </c>
      <c r="AO185" s="2">
        <f t="shared" si="23"/>
        <v>0</v>
      </c>
      <c r="AP185" s="2">
        <f t="shared" si="24"/>
        <v>0</v>
      </c>
      <c r="AQ185" s="25">
        <f t="shared" si="25"/>
        <v>0</v>
      </c>
    </row>
    <row r="186" spans="1:43">
      <c r="A186" s="24">
        <v>46120</v>
      </c>
      <c r="B186" s="23">
        <f t="shared" si="18"/>
        <v>46113</v>
      </c>
      <c r="C186" s="2" t="s">
        <v>72</v>
      </c>
      <c r="D186" s="2" t="s">
        <v>429</v>
      </c>
      <c r="E186" s="2">
        <v>2576</v>
      </c>
      <c r="F186" s="2">
        <v>400</v>
      </c>
      <c r="G186" s="2">
        <v>393</v>
      </c>
      <c r="H186" s="2">
        <f t="shared" si="26"/>
        <v>7</v>
      </c>
      <c r="I186" s="2">
        <v>7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/>
      <c r="AJ186" s="2" t="s">
        <v>110</v>
      </c>
      <c r="AK186" s="2">
        <f t="shared" si="19"/>
        <v>7</v>
      </c>
      <c r="AL186" s="2">
        <f t="shared" si="20"/>
        <v>0</v>
      </c>
      <c r="AM186" s="2">
        <f t="shared" si="21"/>
        <v>0</v>
      </c>
      <c r="AN186" s="2">
        <f t="shared" si="22"/>
        <v>0</v>
      </c>
      <c r="AO186" s="2">
        <f t="shared" si="23"/>
        <v>0</v>
      </c>
      <c r="AP186" s="2">
        <f t="shared" si="24"/>
        <v>0</v>
      </c>
      <c r="AQ186" s="25">
        <f t="shared" si="25"/>
        <v>0</v>
      </c>
    </row>
    <row r="187" spans="1:43">
      <c r="A187" s="24">
        <v>46120</v>
      </c>
      <c r="B187" s="23">
        <f t="shared" si="18"/>
        <v>46113</v>
      </c>
      <c r="C187" s="2" t="s">
        <v>55</v>
      </c>
      <c r="D187" s="2" t="s">
        <v>520</v>
      </c>
      <c r="E187" s="2">
        <v>2569</v>
      </c>
      <c r="F187" s="2">
        <v>48</v>
      </c>
      <c r="G187" s="2">
        <v>43</v>
      </c>
      <c r="H187" s="2">
        <f t="shared" si="26"/>
        <v>5</v>
      </c>
      <c r="I187" s="2">
        <v>3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2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/>
      <c r="AJ187" s="2" t="s">
        <v>1566</v>
      </c>
      <c r="AK187" s="2">
        <f t="shared" si="19"/>
        <v>3</v>
      </c>
      <c r="AL187" s="2">
        <f t="shared" si="20"/>
        <v>2</v>
      </c>
      <c r="AM187" s="2">
        <f t="shared" si="21"/>
        <v>0</v>
      </c>
      <c r="AN187" s="2">
        <f t="shared" si="22"/>
        <v>0</v>
      </c>
      <c r="AO187" s="2">
        <f t="shared" si="23"/>
        <v>0</v>
      </c>
      <c r="AP187" s="2">
        <f t="shared" si="24"/>
        <v>0</v>
      </c>
      <c r="AQ187" s="25">
        <f t="shared" si="25"/>
        <v>0</v>
      </c>
    </row>
    <row r="188" spans="1:43">
      <c r="A188" s="24">
        <v>46120</v>
      </c>
      <c r="B188" s="23">
        <f t="shared" si="18"/>
        <v>46113</v>
      </c>
      <c r="C188" s="2" t="s">
        <v>55</v>
      </c>
      <c r="D188" s="2" t="s">
        <v>1289</v>
      </c>
      <c r="E188" s="2">
        <v>2570</v>
      </c>
      <c r="F188" s="2">
        <v>69</v>
      </c>
      <c r="G188" s="2">
        <v>65</v>
      </c>
      <c r="H188" s="2">
        <f t="shared" si="26"/>
        <v>4</v>
      </c>
      <c r="I188" s="2">
        <v>4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/>
      <c r="AJ188" s="2" t="s">
        <v>1566</v>
      </c>
      <c r="AK188" s="2">
        <f t="shared" si="19"/>
        <v>4</v>
      </c>
      <c r="AL188" s="2">
        <f t="shared" si="20"/>
        <v>0</v>
      </c>
      <c r="AM188" s="2">
        <f t="shared" si="21"/>
        <v>0</v>
      </c>
      <c r="AN188" s="2">
        <f t="shared" si="22"/>
        <v>0</v>
      </c>
      <c r="AO188" s="2">
        <f t="shared" si="23"/>
        <v>0</v>
      </c>
      <c r="AP188" s="2">
        <f t="shared" si="24"/>
        <v>0</v>
      </c>
      <c r="AQ188" s="25">
        <f t="shared" si="25"/>
        <v>0</v>
      </c>
    </row>
    <row r="189" spans="1:43">
      <c r="A189" s="24">
        <v>46120</v>
      </c>
      <c r="B189" s="23">
        <f t="shared" si="18"/>
        <v>46113</v>
      </c>
      <c r="C189" s="2" t="s">
        <v>55</v>
      </c>
      <c r="D189" s="2" t="s">
        <v>502</v>
      </c>
      <c r="E189" s="2">
        <v>2570</v>
      </c>
      <c r="F189" s="2">
        <v>69</v>
      </c>
      <c r="G189" s="2">
        <v>67</v>
      </c>
      <c r="H189" s="2">
        <f t="shared" si="26"/>
        <v>2</v>
      </c>
      <c r="I189" s="2">
        <v>2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/>
      <c r="AJ189" s="2" t="s">
        <v>1566</v>
      </c>
      <c r="AK189" s="2">
        <f t="shared" si="19"/>
        <v>2</v>
      </c>
      <c r="AL189" s="2">
        <f t="shared" si="20"/>
        <v>0</v>
      </c>
      <c r="AM189" s="2">
        <f t="shared" si="21"/>
        <v>0</v>
      </c>
      <c r="AN189" s="2">
        <f t="shared" si="22"/>
        <v>0</v>
      </c>
      <c r="AO189" s="2">
        <f t="shared" si="23"/>
        <v>0</v>
      </c>
      <c r="AP189" s="2">
        <f t="shared" si="24"/>
        <v>0</v>
      </c>
      <c r="AQ189" s="25">
        <f t="shared" si="25"/>
        <v>0</v>
      </c>
    </row>
    <row r="190" spans="1:43">
      <c r="A190" s="24">
        <v>46120</v>
      </c>
      <c r="B190" s="23">
        <f t="shared" si="18"/>
        <v>46113</v>
      </c>
      <c r="C190" s="2" t="s">
        <v>133</v>
      </c>
      <c r="D190" s="2" t="s">
        <v>1554</v>
      </c>
      <c r="E190" s="2">
        <v>10047</v>
      </c>
      <c r="F190" s="2">
        <v>113</v>
      </c>
      <c r="G190" s="2">
        <v>113</v>
      </c>
      <c r="H190" s="2">
        <f t="shared" si="26"/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/>
      <c r="AJ190" s="2" t="s">
        <v>1566</v>
      </c>
      <c r="AK190" s="2">
        <f t="shared" si="19"/>
        <v>0</v>
      </c>
      <c r="AL190" s="2">
        <f t="shared" si="20"/>
        <v>0</v>
      </c>
      <c r="AM190" s="2">
        <f t="shared" si="21"/>
        <v>0</v>
      </c>
      <c r="AN190" s="2">
        <f t="shared" si="22"/>
        <v>0</v>
      </c>
      <c r="AO190" s="2">
        <f t="shared" si="23"/>
        <v>0</v>
      </c>
      <c r="AP190" s="2">
        <f t="shared" si="24"/>
        <v>0</v>
      </c>
      <c r="AQ190" s="25">
        <f t="shared" si="25"/>
        <v>0</v>
      </c>
    </row>
    <row r="191" spans="1:43">
      <c r="A191" s="24">
        <v>46120</v>
      </c>
      <c r="B191" s="23">
        <f t="shared" si="18"/>
        <v>46113</v>
      </c>
      <c r="C191" s="2" t="s">
        <v>55</v>
      </c>
      <c r="D191" s="2" t="s">
        <v>520</v>
      </c>
      <c r="E191" s="2">
        <v>2569</v>
      </c>
      <c r="F191" s="2">
        <v>20</v>
      </c>
      <c r="G191" s="2">
        <v>15</v>
      </c>
      <c r="H191" s="2">
        <f t="shared" si="26"/>
        <v>5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5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/>
      <c r="AJ191" s="2" t="s">
        <v>1566</v>
      </c>
      <c r="AK191" s="2">
        <f t="shared" si="19"/>
        <v>0</v>
      </c>
      <c r="AL191" s="2">
        <f t="shared" si="20"/>
        <v>5</v>
      </c>
      <c r="AM191" s="2">
        <f t="shared" si="21"/>
        <v>0</v>
      </c>
      <c r="AN191" s="2">
        <f t="shared" si="22"/>
        <v>0</v>
      </c>
      <c r="AO191" s="2">
        <f t="shared" si="23"/>
        <v>0</v>
      </c>
      <c r="AP191" s="2">
        <f t="shared" si="24"/>
        <v>0</v>
      </c>
      <c r="AQ191" s="25">
        <f t="shared" si="25"/>
        <v>0</v>
      </c>
    </row>
    <row r="192" spans="1:43">
      <c r="A192" s="24">
        <v>46120</v>
      </c>
      <c r="B192" s="23">
        <f t="shared" si="18"/>
        <v>46113</v>
      </c>
      <c r="C192" s="2" t="s">
        <v>133</v>
      </c>
      <c r="D192" s="2" t="s">
        <v>1556</v>
      </c>
      <c r="E192" s="2">
        <v>2786</v>
      </c>
      <c r="F192" s="2">
        <v>75</v>
      </c>
      <c r="G192" s="2">
        <v>75</v>
      </c>
      <c r="H192" s="2">
        <f t="shared" si="26"/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/>
      <c r="AJ192" s="2" t="s">
        <v>1566</v>
      </c>
      <c r="AK192" s="2">
        <f t="shared" si="19"/>
        <v>0</v>
      </c>
      <c r="AL192" s="2">
        <f t="shared" si="20"/>
        <v>0</v>
      </c>
      <c r="AM192" s="2">
        <f t="shared" si="21"/>
        <v>0</v>
      </c>
      <c r="AN192" s="2">
        <f t="shared" si="22"/>
        <v>0</v>
      </c>
      <c r="AO192" s="2">
        <f t="shared" si="23"/>
        <v>0</v>
      </c>
      <c r="AP192" s="2">
        <f t="shared" si="24"/>
        <v>0</v>
      </c>
      <c r="AQ192" s="25">
        <f t="shared" si="25"/>
        <v>0</v>
      </c>
    </row>
    <row r="193" spans="1:43">
      <c r="A193" s="24">
        <v>46120</v>
      </c>
      <c r="B193" s="23">
        <f t="shared" si="18"/>
        <v>46113</v>
      </c>
      <c r="C193" s="2" t="s">
        <v>55</v>
      </c>
      <c r="D193" s="2" t="s">
        <v>517</v>
      </c>
      <c r="E193" s="2">
        <v>2747</v>
      </c>
      <c r="F193" s="2">
        <v>166</v>
      </c>
      <c r="G193" s="2">
        <v>158</v>
      </c>
      <c r="H193" s="2">
        <f t="shared" si="26"/>
        <v>8</v>
      </c>
      <c r="I193" s="2">
        <v>6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2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/>
      <c r="AJ193" s="2" t="s">
        <v>1566</v>
      </c>
      <c r="AK193" s="2">
        <f t="shared" si="19"/>
        <v>6</v>
      </c>
      <c r="AL193" s="2">
        <f t="shared" si="20"/>
        <v>2</v>
      </c>
      <c r="AM193" s="2">
        <f t="shared" si="21"/>
        <v>0</v>
      </c>
      <c r="AN193" s="2">
        <f t="shared" si="22"/>
        <v>0</v>
      </c>
      <c r="AO193" s="2">
        <f t="shared" si="23"/>
        <v>0</v>
      </c>
      <c r="AP193" s="2">
        <f t="shared" si="24"/>
        <v>0</v>
      </c>
      <c r="AQ193" s="25">
        <f t="shared" si="25"/>
        <v>0</v>
      </c>
    </row>
    <row r="194" spans="1:43">
      <c r="A194" s="24">
        <v>46120</v>
      </c>
      <c r="B194" s="23">
        <f t="shared" ref="B194:B257" si="27">EOMONTH(A194,-1)+1</f>
        <v>46113</v>
      </c>
      <c r="C194" s="2" t="s">
        <v>133</v>
      </c>
      <c r="D194" s="2" t="s">
        <v>427</v>
      </c>
      <c r="E194" s="2">
        <v>95154</v>
      </c>
      <c r="F194" s="2">
        <v>320</v>
      </c>
      <c r="G194" s="2">
        <v>320</v>
      </c>
      <c r="H194" s="2">
        <f t="shared" si="26"/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/>
      <c r="AJ194" s="2" t="s">
        <v>1566</v>
      </c>
      <c r="AK194" s="2">
        <f t="shared" ref="AK194:AK257" si="28">+I194+AF194</f>
        <v>0</v>
      </c>
      <c r="AL194" s="2">
        <f t="shared" ref="AL194:AL257" si="29">+J194+K194+O194+N194+P194+R194+S194+Q194+M194+L194</f>
        <v>0</v>
      </c>
      <c r="AM194" s="2">
        <f t="shared" ref="AM194:AM257" si="30">+AB194+AC194</f>
        <v>0</v>
      </c>
      <c r="AN194" s="2">
        <f t="shared" ref="AN194:AN257" si="31">+AH194+AG194+AA194+Z194</f>
        <v>0</v>
      </c>
      <c r="AO194" s="2">
        <f t="shared" ref="AO194:AO257" si="32">+X194+W194+V194+U194+T194+Y194</f>
        <v>0</v>
      </c>
      <c r="AP194" s="2">
        <f t="shared" ref="AP194:AP257" si="33">+AD194</f>
        <v>0</v>
      </c>
      <c r="AQ194" s="25">
        <f t="shared" ref="AQ194:AQ257" si="34">+AE194</f>
        <v>0</v>
      </c>
    </row>
    <row r="195" spans="1:43">
      <c r="A195" s="24">
        <v>46120</v>
      </c>
      <c r="B195" s="23">
        <f t="shared" si="27"/>
        <v>46113</v>
      </c>
      <c r="C195" s="2" t="s">
        <v>46</v>
      </c>
      <c r="D195" s="2" t="s">
        <v>510</v>
      </c>
      <c r="E195" s="2">
        <v>2649</v>
      </c>
      <c r="F195" s="2">
        <v>170</v>
      </c>
      <c r="G195" s="2">
        <v>164</v>
      </c>
      <c r="H195" s="2">
        <f t="shared" ref="H195:H258" si="35">F195-G195</f>
        <v>6</v>
      </c>
      <c r="I195" s="2">
        <v>3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/>
      <c r="AJ195" s="2" t="s">
        <v>80</v>
      </c>
      <c r="AK195" s="2">
        <f t="shared" si="28"/>
        <v>3</v>
      </c>
      <c r="AL195" s="2">
        <f t="shared" si="29"/>
        <v>3</v>
      </c>
      <c r="AM195" s="2">
        <f t="shared" si="30"/>
        <v>0</v>
      </c>
      <c r="AN195" s="2">
        <f t="shared" si="31"/>
        <v>0</v>
      </c>
      <c r="AO195" s="2">
        <f t="shared" si="32"/>
        <v>0</v>
      </c>
      <c r="AP195" s="2">
        <f t="shared" si="33"/>
        <v>0</v>
      </c>
      <c r="AQ195" s="25">
        <f t="shared" si="34"/>
        <v>0</v>
      </c>
    </row>
    <row r="196" spans="1:43">
      <c r="A196" s="24">
        <v>46120</v>
      </c>
      <c r="B196" s="23">
        <f t="shared" si="27"/>
        <v>46113</v>
      </c>
      <c r="C196" s="2" t="s">
        <v>46</v>
      </c>
      <c r="D196" s="2" t="s">
        <v>584</v>
      </c>
      <c r="E196" s="2">
        <v>2761</v>
      </c>
      <c r="F196" s="2">
        <v>220</v>
      </c>
      <c r="G196" s="2">
        <v>214</v>
      </c>
      <c r="H196" s="2">
        <f t="shared" si="35"/>
        <v>6</v>
      </c>
      <c r="I196" s="2">
        <v>2</v>
      </c>
      <c r="J196" s="2">
        <v>0</v>
      </c>
      <c r="K196" s="2">
        <v>0</v>
      </c>
      <c r="L196" s="2">
        <v>0</v>
      </c>
      <c r="M196" s="2">
        <v>4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/>
      <c r="AJ196" s="2" t="s">
        <v>80</v>
      </c>
      <c r="AK196" s="2">
        <f t="shared" si="28"/>
        <v>2</v>
      </c>
      <c r="AL196" s="2">
        <f t="shared" si="29"/>
        <v>4</v>
      </c>
      <c r="AM196" s="2">
        <f t="shared" si="30"/>
        <v>0</v>
      </c>
      <c r="AN196" s="2">
        <f t="shared" si="31"/>
        <v>0</v>
      </c>
      <c r="AO196" s="2">
        <f t="shared" si="32"/>
        <v>0</v>
      </c>
      <c r="AP196" s="2">
        <f t="shared" si="33"/>
        <v>0</v>
      </c>
      <c r="AQ196" s="25">
        <f t="shared" si="34"/>
        <v>0</v>
      </c>
    </row>
    <row r="197" spans="1:43">
      <c r="A197" s="24">
        <v>46120</v>
      </c>
      <c r="B197" s="23">
        <f t="shared" si="27"/>
        <v>46113</v>
      </c>
      <c r="C197" s="2" t="s">
        <v>72</v>
      </c>
      <c r="D197" s="2" t="s">
        <v>541</v>
      </c>
      <c r="E197" s="2">
        <v>2579</v>
      </c>
      <c r="F197" s="2">
        <v>490</v>
      </c>
      <c r="G197" s="2">
        <v>460</v>
      </c>
      <c r="H197" s="2">
        <f t="shared" si="35"/>
        <v>30</v>
      </c>
      <c r="I197" s="2">
        <v>6</v>
      </c>
      <c r="J197" s="2">
        <v>0</v>
      </c>
      <c r="K197" s="2">
        <v>0</v>
      </c>
      <c r="L197" s="2">
        <v>0</v>
      </c>
      <c r="M197" s="2">
        <v>20</v>
      </c>
      <c r="N197" s="2">
        <v>0</v>
      </c>
      <c r="O197" s="2">
        <v>2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2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/>
      <c r="AJ197" s="2" t="s">
        <v>80</v>
      </c>
      <c r="AK197" s="2">
        <f t="shared" si="28"/>
        <v>6</v>
      </c>
      <c r="AL197" s="2">
        <f t="shared" si="29"/>
        <v>22</v>
      </c>
      <c r="AM197" s="2">
        <f t="shared" si="30"/>
        <v>0</v>
      </c>
      <c r="AN197" s="2">
        <f t="shared" si="31"/>
        <v>2</v>
      </c>
      <c r="AO197" s="2">
        <f t="shared" si="32"/>
        <v>0</v>
      </c>
      <c r="AP197" s="2">
        <f t="shared" si="33"/>
        <v>0</v>
      </c>
      <c r="AQ197" s="25">
        <f t="shared" si="34"/>
        <v>0</v>
      </c>
    </row>
    <row r="198" spans="1:43">
      <c r="A198" s="24">
        <v>46120</v>
      </c>
      <c r="B198" s="23">
        <f t="shared" si="27"/>
        <v>46113</v>
      </c>
      <c r="C198" s="2" t="s">
        <v>62</v>
      </c>
      <c r="D198" s="2" t="s">
        <v>1555</v>
      </c>
      <c r="E198" s="2">
        <v>2786</v>
      </c>
      <c r="F198" s="2">
        <v>33</v>
      </c>
      <c r="G198" s="2">
        <v>28</v>
      </c>
      <c r="H198" s="2">
        <f t="shared" si="35"/>
        <v>5</v>
      </c>
      <c r="I198" s="2">
        <v>1</v>
      </c>
      <c r="J198" s="2">
        <v>0</v>
      </c>
      <c r="K198" s="2">
        <v>1</v>
      </c>
      <c r="L198" s="2">
        <v>0</v>
      </c>
      <c r="M198" s="2">
        <v>2</v>
      </c>
      <c r="N198" s="2">
        <v>0</v>
      </c>
      <c r="O198" s="2">
        <v>0</v>
      </c>
      <c r="P198" s="2">
        <v>0</v>
      </c>
      <c r="Q198" s="2">
        <v>0</v>
      </c>
      <c r="R198" s="2">
        <v>1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/>
      <c r="AJ198" s="2" t="s">
        <v>80</v>
      </c>
      <c r="AK198" s="2">
        <f t="shared" si="28"/>
        <v>1</v>
      </c>
      <c r="AL198" s="2">
        <f t="shared" si="29"/>
        <v>4</v>
      </c>
      <c r="AM198" s="2">
        <f t="shared" si="30"/>
        <v>0</v>
      </c>
      <c r="AN198" s="2">
        <f t="shared" si="31"/>
        <v>0</v>
      </c>
      <c r="AO198" s="2">
        <f t="shared" si="32"/>
        <v>0</v>
      </c>
      <c r="AP198" s="2">
        <f t="shared" si="33"/>
        <v>0</v>
      </c>
      <c r="AQ198" s="25">
        <f t="shared" si="34"/>
        <v>0</v>
      </c>
    </row>
    <row r="199" spans="1:43">
      <c r="A199" s="24">
        <v>46120</v>
      </c>
      <c r="B199" s="23">
        <f t="shared" si="27"/>
        <v>46113</v>
      </c>
      <c r="C199" s="2" t="s">
        <v>72</v>
      </c>
      <c r="D199" s="2" t="s">
        <v>438</v>
      </c>
      <c r="E199" s="2">
        <v>2648</v>
      </c>
      <c r="F199" s="2">
        <v>157</v>
      </c>
      <c r="G199" s="2">
        <v>157</v>
      </c>
      <c r="H199" s="2">
        <f t="shared" si="35"/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/>
      <c r="AJ199" s="2" t="s">
        <v>80</v>
      </c>
      <c r="AK199" s="2">
        <f t="shared" si="28"/>
        <v>0</v>
      </c>
      <c r="AL199" s="2">
        <f t="shared" si="29"/>
        <v>0</v>
      </c>
      <c r="AM199" s="2">
        <f t="shared" si="30"/>
        <v>0</v>
      </c>
      <c r="AN199" s="2">
        <f t="shared" si="31"/>
        <v>0</v>
      </c>
      <c r="AO199" s="2">
        <f t="shared" si="32"/>
        <v>0</v>
      </c>
      <c r="AP199" s="2">
        <f t="shared" si="33"/>
        <v>0</v>
      </c>
      <c r="AQ199" s="25">
        <f t="shared" si="34"/>
        <v>0</v>
      </c>
    </row>
    <row r="200" spans="1:43">
      <c r="A200" s="24">
        <v>46120</v>
      </c>
      <c r="B200" s="23">
        <f t="shared" si="27"/>
        <v>46113</v>
      </c>
      <c r="C200" s="2" t="s">
        <v>114</v>
      </c>
      <c r="D200" s="2" t="s">
        <v>1535</v>
      </c>
      <c r="E200" s="2">
        <v>2575</v>
      </c>
      <c r="F200" s="2">
        <v>383</v>
      </c>
      <c r="G200" s="2">
        <v>365</v>
      </c>
      <c r="H200" s="2">
        <f t="shared" si="35"/>
        <v>18</v>
      </c>
      <c r="I200" s="2">
        <v>1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3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14</v>
      </c>
      <c r="AI200" s="2"/>
      <c r="AJ200" s="2" t="s">
        <v>80</v>
      </c>
      <c r="AK200" s="2">
        <f t="shared" si="28"/>
        <v>1</v>
      </c>
      <c r="AL200" s="2">
        <f t="shared" si="29"/>
        <v>0</v>
      </c>
      <c r="AM200" s="2">
        <f t="shared" si="30"/>
        <v>0</v>
      </c>
      <c r="AN200" s="2">
        <f t="shared" si="31"/>
        <v>17</v>
      </c>
      <c r="AO200" s="2">
        <f t="shared" si="32"/>
        <v>0</v>
      </c>
      <c r="AP200" s="2">
        <f t="shared" si="33"/>
        <v>0</v>
      </c>
      <c r="AQ200" s="25">
        <f t="shared" si="34"/>
        <v>0</v>
      </c>
    </row>
    <row r="201" spans="1:43">
      <c r="A201" s="24">
        <v>46120</v>
      </c>
      <c r="B201" s="23">
        <f t="shared" si="27"/>
        <v>46113</v>
      </c>
      <c r="C201" s="2" t="s">
        <v>46</v>
      </c>
      <c r="D201" s="2" t="s">
        <v>511</v>
      </c>
      <c r="E201" s="2">
        <v>2649</v>
      </c>
      <c r="F201" s="2">
        <v>20</v>
      </c>
      <c r="G201" s="2">
        <v>20</v>
      </c>
      <c r="H201" s="2">
        <f t="shared" si="35"/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/>
      <c r="AJ201" s="2" t="s">
        <v>1567</v>
      </c>
      <c r="AK201" s="2">
        <f t="shared" si="28"/>
        <v>0</v>
      </c>
      <c r="AL201" s="2">
        <f t="shared" si="29"/>
        <v>0</v>
      </c>
      <c r="AM201" s="2">
        <f t="shared" si="30"/>
        <v>0</v>
      </c>
      <c r="AN201" s="2">
        <f t="shared" si="31"/>
        <v>0</v>
      </c>
      <c r="AO201" s="2">
        <f t="shared" si="32"/>
        <v>0</v>
      </c>
      <c r="AP201" s="2">
        <f t="shared" si="33"/>
        <v>0</v>
      </c>
      <c r="AQ201" s="25">
        <f t="shared" si="34"/>
        <v>0</v>
      </c>
    </row>
    <row r="202" spans="1:43">
      <c r="A202" s="24">
        <v>46120</v>
      </c>
      <c r="B202" s="23">
        <f t="shared" si="27"/>
        <v>46113</v>
      </c>
      <c r="C202" s="2" t="s">
        <v>95</v>
      </c>
      <c r="D202" s="2" t="s">
        <v>475</v>
      </c>
      <c r="E202" s="2">
        <v>2727</v>
      </c>
      <c r="F202" s="2">
        <v>119</v>
      </c>
      <c r="G202" s="2">
        <v>116</v>
      </c>
      <c r="H202" s="2">
        <f t="shared" si="35"/>
        <v>3</v>
      </c>
      <c r="I202" s="2">
        <v>1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1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1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/>
      <c r="AJ202" s="2" t="s">
        <v>1567</v>
      </c>
      <c r="AK202" s="2">
        <f t="shared" si="28"/>
        <v>1</v>
      </c>
      <c r="AL202" s="2">
        <f t="shared" si="29"/>
        <v>1</v>
      </c>
      <c r="AM202" s="2">
        <f t="shared" si="30"/>
        <v>0</v>
      </c>
      <c r="AN202" s="2">
        <f t="shared" si="31"/>
        <v>1</v>
      </c>
      <c r="AO202" s="2">
        <f t="shared" si="32"/>
        <v>0</v>
      </c>
      <c r="AP202" s="2">
        <f t="shared" si="33"/>
        <v>0</v>
      </c>
      <c r="AQ202" s="25">
        <f t="shared" si="34"/>
        <v>0</v>
      </c>
    </row>
    <row r="203" spans="1:43">
      <c r="A203" s="24">
        <v>46120</v>
      </c>
      <c r="B203" s="23">
        <f t="shared" si="27"/>
        <v>46113</v>
      </c>
      <c r="C203" s="2" t="s">
        <v>46</v>
      </c>
      <c r="D203" s="2" t="s">
        <v>1381</v>
      </c>
      <c r="E203" s="2">
        <v>2480</v>
      </c>
      <c r="F203" s="2">
        <v>308</v>
      </c>
      <c r="G203" s="2">
        <v>305</v>
      </c>
      <c r="H203" s="2">
        <f t="shared" si="35"/>
        <v>3</v>
      </c>
      <c r="I203" s="2">
        <v>3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/>
      <c r="AJ203" s="2" t="s">
        <v>1567</v>
      </c>
      <c r="AK203" s="2">
        <f t="shared" si="28"/>
        <v>3</v>
      </c>
      <c r="AL203" s="2">
        <f t="shared" si="29"/>
        <v>0</v>
      </c>
      <c r="AM203" s="2">
        <f t="shared" si="30"/>
        <v>0</v>
      </c>
      <c r="AN203" s="2">
        <f t="shared" si="31"/>
        <v>0</v>
      </c>
      <c r="AO203" s="2">
        <f t="shared" si="32"/>
        <v>0</v>
      </c>
      <c r="AP203" s="2">
        <f t="shared" si="33"/>
        <v>0</v>
      </c>
      <c r="AQ203" s="25">
        <f t="shared" si="34"/>
        <v>0</v>
      </c>
    </row>
    <row r="204" spans="1:43">
      <c r="A204" s="24">
        <v>46120</v>
      </c>
      <c r="B204" s="23">
        <f t="shared" si="27"/>
        <v>46113</v>
      </c>
      <c r="C204" s="2" t="s">
        <v>95</v>
      </c>
      <c r="D204" s="2" t="s">
        <v>1541</v>
      </c>
      <c r="E204" s="2">
        <v>10047</v>
      </c>
      <c r="F204" s="2">
        <v>207</v>
      </c>
      <c r="G204" s="2">
        <v>207</v>
      </c>
      <c r="H204" s="2">
        <f t="shared" si="35"/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/>
      <c r="AJ204" s="2" t="s">
        <v>1567</v>
      </c>
      <c r="AK204" s="2">
        <f t="shared" si="28"/>
        <v>0</v>
      </c>
      <c r="AL204" s="2">
        <f t="shared" si="29"/>
        <v>0</v>
      </c>
      <c r="AM204" s="2">
        <f t="shared" si="30"/>
        <v>0</v>
      </c>
      <c r="AN204" s="2">
        <f t="shared" si="31"/>
        <v>0</v>
      </c>
      <c r="AO204" s="2">
        <f t="shared" si="32"/>
        <v>0</v>
      </c>
      <c r="AP204" s="2">
        <f t="shared" si="33"/>
        <v>0</v>
      </c>
      <c r="AQ204" s="25">
        <f t="shared" si="34"/>
        <v>0</v>
      </c>
    </row>
    <row r="205" spans="1:43">
      <c r="A205" s="24">
        <v>46120</v>
      </c>
      <c r="B205" s="23">
        <f t="shared" si="27"/>
        <v>46113</v>
      </c>
      <c r="C205" s="2" t="s">
        <v>95</v>
      </c>
      <c r="D205" s="2" t="s">
        <v>1554</v>
      </c>
      <c r="E205" s="2">
        <v>10047</v>
      </c>
      <c r="F205" s="2">
        <v>327</v>
      </c>
      <c r="G205" s="2">
        <v>327</v>
      </c>
      <c r="H205" s="2">
        <f t="shared" si="35"/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/>
      <c r="AJ205" s="2" t="s">
        <v>1567</v>
      </c>
      <c r="AK205" s="2">
        <f t="shared" si="28"/>
        <v>0</v>
      </c>
      <c r="AL205" s="2">
        <f t="shared" si="29"/>
        <v>0</v>
      </c>
      <c r="AM205" s="2">
        <f t="shared" si="30"/>
        <v>0</v>
      </c>
      <c r="AN205" s="2">
        <f t="shared" si="31"/>
        <v>0</v>
      </c>
      <c r="AO205" s="2">
        <f t="shared" si="32"/>
        <v>0</v>
      </c>
      <c r="AP205" s="2">
        <f t="shared" si="33"/>
        <v>0</v>
      </c>
      <c r="AQ205" s="25">
        <f t="shared" si="34"/>
        <v>0</v>
      </c>
    </row>
    <row r="206" spans="1:43">
      <c r="A206" s="24">
        <v>46120</v>
      </c>
      <c r="B206" s="23">
        <f t="shared" si="27"/>
        <v>46113</v>
      </c>
      <c r="C206" s="2" t="s">
        <v>95</v>
      </c>
      <c r="D206" s="2" t="s">
        <v>542</v>
      </c>
      <c r="E206" s="2">
        <v>2596</v>
      </c>
      <c r="F206" s="2">
        <v>154</v>
      </c>
      <c r="G206" s="2">
        <v>151</v>
      </c>
      <c r="H206" s="2">
        <f t="shared" si="35"/>
        <v>3</v>
      </c>
      <c r="I206" s="2">
        <v>2</v>
      </c>
      <c r="J206" s="2">
        <v>0</v>
      </c>
      <c r="K206" s="2">
        <v>1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/>
      <c r="AJ206" s="2" t="s">
        <v>1567</v>
      </c>
      <c r="AK206" s="2">
        <f t="shared" si="28"/>
        <v>2</v>
      </c>
      <c r="AL206" s="2">
        <f t="shared" si="29"/>
        <v>1</v>
      </c>
      <c r="AM206" s="2">
        <f t="shared" si="30"/>
        <v>0</v>
      </c>
      <c r="AN206" s="2">
        <f t="shared" si="31"/>
        <v>0</v>
      </c>
      <c r="AO206" s="2">
        <f t="shared" si="32"/>
        <v>0</v>
      </c>
      <c r="AP206" s="2">
        <f t="shared" si="33"/>
        <v>0</v>
      </c>
      <c r="AQ206" s="25">
        <f t="shared" si="34"/>
        <v>0</v>
      </c>
    </row>
    <row r="207" spans="1:43">
      <c r="A207" s="24">
        <v>46120</v>
      </c>
      <c r="B207" s="23">
        <f t="shared" si="27"/>
        <v>46113</v>
      </c>
      <c r="C207" s="2" t="s">
        <v>46</v>
      </c>
      <c r="D207" s="2" t="s">
        <v>512</v>
      </c>
      <c r="E207" s="2">
        <v>1845</v>
      </c>
      <c r="F207" s="2">
        <v>189</v>
      </c>
      <c r="G207" s="2">
        <v>183</v>
      </c>
      <c r="H207" s="2">
        <f t="shared" si="35"/>
        <v>6</v>
      </c>
      <c r="I207" s="2">
        <v>2</v>
      </c>
      <c r="J207" s="2">
        <v>4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/>
      <c r="AJ207" s="2" t="s">
        <v>1567</v>
      </c>
      <c r="AK207" s="2">
        <f t="shared" si="28"/>
        <v>2</v>
      </c>
      <c r="AL207" s="2">
        <f t="shared" si="29"/>
        <v>4</v>
      </c>
      <c r="AM207" s="2">
        <f t="shared" si="30"/>
        <v>0</v>
      </c>
      <c r="AN207" s="2">
        <f t="shared" si="31"/>
        <v>0</v>
      </c>
      <c r="AO207" s="2">
        <f t="shared" si="32"/>
        <v>0</v>
      </c>
      <c r="AP207" s="2">
        <f t="shared" si="33"/>
        <v>0</v>
      </c>
      <c r="AQ207" s="25">
        <f t="shared" si="34"/>
        <v>0</v>
      </c>
    </row>
    <row r="208" spans="1:43">
      <c r="A208" s="24">
        <v>46120</v>
      </c>
      <c r="B208" s="23">
        <f t="shared" si="27"/>
        <v>46113</v>
      </c>
      <c r="C208" s="2" t="s">
        <v>95</v>
      </c>
      <c r="D208" s="2" t="s">
        <v>1557</v>
      </c>
      <c r="E208" s="2">
        <v>10047</v>
      </c>
      <c r="F208" s="2">
        <v>260</v>
      </c>
      <c r="G208" s="2">
        <v>260</v>
      </c>
      <c r="H208" s="2">
        <f t="shared" si="35"/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/>
      <c r="AJ208" s="2" t="s">
        <v>1567</v>
      </c>
      <c r="AK208" s="2">
        <f t="shared" si="28"/>
        <v>0</v>
      </c>
      <c r="AL208" s="2">
        <f t="shared" si="29"/>
        <v>0</v>
      </c>
      <c r="AM208" s="2">
        <f t="shared" si="30"/>
        <v>0</v>
      </c>
      <c r="AN208" s="2">
        <f t="shared" si="31"/>
        <v>0</v>
      </c>
      <c r="AO208" s="2">
        <f t="shared" si="32"/>
        <v>0</v>
      </c>
      <c r="AP208" s="2">
        <f t="shared" si="33"/>
        <v>0</v>
      </c>
      <c r="AQ208" s="25">
        <f t="shared" si="34"/>
        <v>0</v>
      </c>
    </row>
    <row r="209" spans="1:43">
      <c r="A209" s="24">
        <v>46120</v>
      </c>
      <c r="B209" s="23">
        <f t="shared" si="27"/>
        <v>46113</v>
      </c>
      <c r="C209" s="2" t="s">
        <v>95</v>
      </c>
      <c r="D209" s="2" t="s">
        <v>1418</v>
      </c>
      <c r="E209" s="2">
        <v>1698</v>
      </c>
      <c r="F209" s="2">
        <v>26</v>
      </c>
      <c r="G209" s="2">
        <v>26</v>
      </c>
      <c r="H209" s="2">
        <f t="shared" si="35"/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/>
      <c r="AJ209" s="2" t="s">
        <v>1567</v>
      </c>
      <c r="AK209" s="2">
        <f t="shared" si="28"/>
        <v>0</v>
      </c>
      <c r="AL209" s="2">
        <f t="shared" si="29"/>
        <v>0</v>
      </c>
      <c r="AM209" s="2">
        <f t="shared" si="30"/>
        <v>0</v>
      </c>
      <c r="AN209" s="2">
        <f t="shared" si="31"/>
        <v>0</v>
      </c>
      <c r="AO209" s="2">
        <f t="shared" si="32"/>
        <v>0</v>
      </c>
      <c r="AP209" s="2">
        <f t="shared" si="33"/>
        <v>0</v>
      </c>
      <c r="AQ209" s="25">
        <f t="shared" si="34"/>
        <v>0</v>
      </c>
    </row>
    <row r="210" spans="1:43">
      <c r="A210" s="24">
        <v>46120</v>
      </c>
      <c r="B210" s="23">
        <f t="shared" si="27"/>
        <v>46113</v>
      </c>
      <c r="C210" s="2" t="s">
        <v>46</v>
      </c>
      <c r="D210" s="2" t="s">
        <v>462</v>
      </c>
      <c r="E210" s="2">
        <v>2665</v>
      </c>
      <c r="F210" s="2">
        <v>98</v>
      </c>
      <c r="G210" s="2">
        <v>94</v>
      </c>
      <c r="H210" s="2">
        <f t="shared" si="35"/>
        <v>4</v>
      </c>
      <c r="I210" s="2">
        <v>4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/>
      <c r="AJ210" s="2" t="s">
        <v>1567</v>
      </c>
      <c r="AK210" s="2">
        <f t="shared" si="28"/>
        <v>4</v>
      </c>
      <c r="AL210" s="2">
        <f t="shared" si="29"/>
        <v>0</v>
      </c>
      <c r="AM210" s="2">
        <f t="shared" si="30"/>
        <v>0</v>
      </c>
      <c r="AN210" s="2">
        <f t="shared" si="31"/>
        <v>0</v>
      </c>
      <c r="AO210" s="2">
        <f t="shared" si="32"/>
        <v>0</v>
      </c>
      <c r="AP210" s="2">
        <f t="shared" si="33"/>
        <v>0</v>
      </c>
      <c r="AQ210" s="25">
        <f t="shared" si="34"/>
        <v>0</v>
      </c>
    </row>
    <row r="211" spans="1:43">
      <c r="A211" s="24">
        <v>46120</v>
      </c>
      <c r="B211" s="23">
        <f t="shared" si="27"/>
        <v>46113</v>
      </c>
      <c r="C211" s="2" t="s">
        <v>95</v>
      </c>
      <c r="D211" s="2" t="s">
        <v>567</v>
      </c>
      <c r="E211" s="2">
        <v>2579</v>
      </c>
      <c r="F211" s="2">
        <v>57</v>
      </c>
      <c r="G211" s="2">
        <v>57</v>
      </c>
      <c r="H211" s="2">
        <f t="shared" si="35"/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/>
      <c r="AJ211" s="2" t="s">
        <v>1567</v>
      </c>
      <c r="AK211" s="2">
        <f t="shared" si="28"/>
        <v>0</v>
      </c>
      <c r="AL211" s="2">
        <f t="shared" si="29"/>
        <v>0</v>
      </c>
      <c r="AM211" s="2">
        <f t="shared" si="30"/>
        <v>0</v>
      </c>
      <c r="AN211" s="2">
        <f t="shared" si="31"/>
        <v>0</v>
      </c>
      <c r="AO211" s="2">
        <f t="shared" si="32"/>
        <v>0</v>
      </c>
      <c r="AP211" s="2">
        <f t="shared" si="33"/>
        <v>0</v>
      </c>
      <c r="AQ211" s="25">
        <f t="shared" si="34"/>
        <v>0</v>
      </c>
    </row>
    <row r="212" spans="1:43">
      <c r="A212" s="24">
        <v>46121</v>
      </c>
      <c r="B212" s="23">
        <f t="shared" si="27"/>
        <v>46113</v>
      </c>
      <c r="C212" s="2" t="s">
        <v>160</v>
      </c>
      <c r="D212" s="2" t="s">
        <v>1537</v>
      </c>
      <c r="E212" s="2">
        <v>3318</v>
      </c>
      <c r="F212" s="2">
        <v>93</v>
      </c>
      <c r="G212" s="2">
        <v>85</v>
      </c>
      <c r="H212" s="2">
        <f t="shared" si="35"/>
        <v>8</v>
      </c>
      <c r="I212" s="2">
        <v>3</v>
      </c>
      <c r="J212" s="2">
        <v>0</v>
      </c>
      <c r="K212" s="2">
        <v>0</v>
      </c>
      <c r="L212" s="2">
        <v>0</v>
      </c>
      <c r="M212" s="2">
        <v>5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/>
      <c r="AJ212" s="2" t="s">
        <v>80</v>
      </c>
      <c r="AK212" s="2">
        <f t="shared" si="28"/>
        <v>3</v>
      </c>
      <c r="AL212" s="2">
        <f t="shared" si="29"/>
        <v>5</v>
      </c>
      <c r="AM212" s="2">
        <f t="shared" si="30"/>
        <v>0</v>
      </c>
      <c r="AN212" s="2">
        <f t="shared" si="31"/>
        <v>0</v>
      </c>
      <c r="AO212" s="2">
        <f t="shared" si="32"/>
        <v>0</v>
      </c>
      <c r="AP212" s="2">
        <f t="shared" si="33"/>
        <v>0</v>
      </c>
      <c r="AQ212" s="25">
        <f t="shared" si="34"/>
        <v>0</v>
      </c>
    </row>
    <row r="213" spans="1:43">
      <c r="A213" s="24">
        <v>46121</v>
      </c>
      <c r="B213" s="23">
        <f t="shared" si="27"/>
        <v>46113</v>
      </c>
      <c r="C213" s="2" t="s">
        <v>160</v>
      </c>
      <c r="D213" s="2" t="s">
        <v>1539</v>
      </c>
      <c r="E213" s="2">
        <v>3318</v>
      </c>
      <c r="F213" s="2">
        <v>105</v>
      </c>
      <c r="G213" s="2">
        <v>90</v>
      </c>
      <c r="H213" s="2">
        <f t="shared" si="35"/>
        <v>15</v>
      </c>
      <c r="I213" s="2">
        <v>5</v>
      </c>
      <c r="J213" s="2">
        <v>0</v>
      </c>
      <c r="K213" s="2">
        <v>0</v>
      </c>
      <c r="L213" s="2">
        <v>0</v>
      </c>
      <c r="M213" s="2">
        <v>10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/>
      <c r="AJ213" s="2" t="s">
        <v>80</v>
      </c>
      <c r="AK213" s="2">
        <f t="shared" si="28"/>
        <v>5</v>
      </c>
      <c r="AL213" s="2">
        <f t="shared" si="29"/>
        <v>10</v>
      </c>
      <c r="AM213" s="2">
        <f t="shared" si="30"/>
        <v>0</v>
      </c>
      <c r="AN213" s="2">
        <f t="shared" si="31"/>
        <v>0</v>
      </c>
      <c r="AO213" s="2">
        <f t="shared" si="32"/>
        <v>0</v>
      </c>
      <c r="AP213" s="2">
        <f t="shared" si="33"/>
        <v>0</v>
      </c>
      <c r="AQ213" s="25">
        <f t="shared" si="34"/>
        <v>0</v>
      </c>
    </row>
    <row r="214" spans="1:43">
      <c r="A214" s="24">
        <v>46121</v>
      </c>
      <c r="B214" s="23">
        <f t="shared" si="27"/>
        <v>46113</v>
      </c>
      <c r="C214" s="2" t="s">
        <v>114</v>
      </c>
      <c r="D214" s="2" t="s">
        <v>549</v>
      </c>
      <c r="E214" s="2">
        <v>1870</v>
      </c>
      <c r="F214" s="2">
        <v>139</v>
      </c>
      <c r="G214" s="2">
        <v>128</v>
      </c>
      <c r="H214" s="2">
        <f t="shared" si="35"/>
        <v>11</v>
      </c>
      <c r="I214" s="2">
        <v>6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5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/>
      <c r="AJ214" s="2" t="s">
        <v>80</v>
      </c>
      <c r="AK214" s="2">
        <f t="shared" si="28"/>
        <v>6</v>
      </c>
      <c r="AL214" s="2">
        <f t="shared" si="29"/>
        <v>5</v>
      </c>
      <c r="AM214" s="2">
        <f t="shared" si="30"/>
        <v>0</v>
      </c>
      <c r="AN214" s="2">
        <f t="shared" si="31"/>
        <v>0</v>
      </c>
      <c r="AO214" s="2">
        <f t="shared" si="32"/>
        <v>0</v>
      </c>
      <c r="AP214" s="2">
        <f t="shared" si="33"/>
        <v>0</v>
      </c>
      <c r="AQ214" s="25">
        <f t="shared" si="34"/>
        <v>0</v>
      </c>
    </row>
    <row r="215" spans="1:43">
      <c r="A215" s="24">
        <v>46121</v>
      </c>
      <c r="B215" s="23">
        <f t="shared" si="27"/>
        <v>46113</v>
      </c>
      <c r="C215" s="2" t="s">
        <v>95</v>
      </c>
      <c r="D215" s="2" t="s">
        <v>1540</v>
      </c>
      <c r="E215" s="2">
        <v>1767</v>
      </c>
      <c r="F215" s="2">
        <v>197</v>
      </c>
      <c r="G215" s="2">
        <v>187</v>
      </c>
      <c r="H215" s="2">
        <f t="shared" si="35"/>
        <v>10</v>
      </c>
      <c r="I215" s="2">
        <v>3</v>
      </c>
      <c r="J215" s="2">
        <v>0</v>
      </c>
      <c r="K215" s="2">
        <v>0</v>
      </c>
      <c r="L215" s="2">
        <v>0</v>
      </c>
      <c r="M215" s="2">
        <v>5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/>
      <c r="AJ215" s="2" t="s">
        <v>80</v>
      </c>
      <c r="AK215" s="2">
        <f t="shared" si="28"/>
        <v>3</v>
      </c>
      <c r="AL215" s="2">
        <f t="shared" si="29"/>
        <v>5</v>
      </c>
      <c r="AM215" s="2">
        <f t="shared" si="30"/>
        <v>2</v>
      </c>
      <c r="AN215" s="2">
        <f t="shared" si="31"/>
        <v>0</v>
      </c>
      <c r="AO215" s="2">
        <f t="shared" si="32"/>
        <v>0</v>
      </c>
      <c r="AP215" s="2">
        <f t="shared" si="33"/>
        <v>0</v>
      </c>
      <c r="AQ215" s="25">
        <f t="shared" si="34"/>
        <v>0</v>
      </c>
    </row>
    <row r="216" spans="1:43">
      <c r="A216" s="24">
        <v>46121</v>
      </c>
      <c r="B216" s="23">
        <f t="shared" si="27"/>
        <v>46113</v>
      </c>
      <c r="C216" s="2" t="s">
        <v>55</v>
      </c>
      <c r="D216" s="2" t="s">
        <v>498</v>
      </c>
      <c r="E216" s="2">
        <v>2569</v>
      </c>
      <c r="F216" s="2">
        <v>292</v>
      </c>
      <c r="G216" s="2">
        <v>291</v>
      </c>
      <c r="H216" s="2">
        <f t="shared" si="35"/>
        <v>1</v>
      </c>
      <c r="I216" s="2">
        <v>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/>
      <c r="AJ216" s="2" t="s">
        <v>80</v>
      </c>
      <c r="AK216" s="2">
        <f t="shared" si="28"/>
        <v>1</v>
      </c>
      <c r="AL216" s="2">
        <f t="shared" si="29"/>
        <v>0</v>
      </c>
      <c r="AM216" s="2">
        <f t="shared" si="30"/>
        <v>0</v>
      </c>
      <c r="AN216" s="2">
        <f t="shared" si="31"/>
        <v>0</v>
      </c>
      <c r="AO216" s="2">
        <f t="shared" si="32"/>
        <v>0</v>
      </c>
      <c r="AP216" s="2">
        <f t="shared" si="33"/>
        <v>0</v>
      </c>
      <c r="AQ216" s="25">
        <f t="shared" si="34"/>
        <v>0</v>
      </c>
    </row>
    <row r="217" spans="1:43">
      <c r="A217" s="24">
        <v>46121</v>
      </c>
      <c r="B217" s="23">
        <f t="shared" si="27"/>
        <v>46113</v>
      </c>
      <c r="C217" s="2" t="s">
        <v>114</v>
      </c>
      <c r="D217" s="2" t="s">
        <v>1540</v>
      </c>
      <c r="E217" s="2">
        <v>1767</v>
      </c>
      <c r="F217" s="2">
        <v>244</v>
      </c>
      <c r="G217" s="2">
        <v>234</v>
      </c>
      <c r="H217" s="2">
        <f t="shared" si="35"/>
        <v>10</v>
      </c>
      <c r="I217" s="2">
        <v>6</v>
      </c>
      <c r="J217" s="2">
        <v>0</v>
      </c>
      <c r="K217" s="2">
        <v>0</v>
      </c>
      <c r="L217" s="2">
        <v>0</v>
      </c>
      <c r="M217" s="2">
        <v>4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/>
      <c r="AJ217" s="2" t="s">
        <v>80</v>
      </c>
      <c r="AK217" s="2">
        <f t="shared" si="28"/>
        <v>6</v>
      </c>
      <c r="AL217" s="2">
        <f t="shared" si="29"/>
        <v>4</v>
      </c>
      <c r="AM217" s="2">
        <f t="shared" si="30"/>
        <v>0</v>
      </c>
      <c r="AN217" s="2">
        <f t="shared" si="31"/>
        <v>0</v>
      </c>
      <c r="AO217" s="2">
        <f t="shared" si="32"/>
        <v>0</v>
      </c>
      <c r="AP217" s="2">
        <f t="shared" si="33"/>
        <v>0</v>
      </c>
      <c r="AQ217" s="25">
        <f t="shared" si="34"/>
        <v>0</v>
      </c>
    </row>
    <row r="218" spans="1:43">
      <c r="A218" s="24">
        <v>46121</v>
      </c>
      <c r="B218" s="23">
        <f t="shared" si="27"/>
        <v>46113</v>
      </c>
      <c r="C218" s="2" t="s">
        <v>62</v>
      </c>
      <c r="D218" s="2" t="s">
        <v>450</v>
      </c>
      <c r="E218" s="2">
        <v>1823</v>
      </c>
      <c r="F218" s="2">
        <v>36</v>
      </c>
      <c r="G218" s="2">
        <v>33</v>
      </c>
      <c r="H218" s="2">
        <f t="shared" si="35"/>
        <v>3</v>
      </c>
      <c r="I218" s="2">
        <v>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/>
      <c r="AJ218" s="2" t="s">
        <v>77</v>
      </c>
      <c r="AK218" s="2">
        <f t="shared" si="28"/>
        <v>3</v>
      </c>
      <c r="AL218" s="2">
        <f t="shared" si="29"/>
        <v>0</v>
      </c>
      <c r="AM218" s="2">
        <f t="shared" si="30"/>
        <v>0</v>
      </c>
      <c r="AN218" s="2">
        <f t="shared" si="31"/>
        <v>0</v>
      </c>
      <c r="AO218" s="2">
        <f t="shared" si="32"/>
        <v>0</v>
      </c>
      <c r="AP218" s="2">
        <f t="shared" si="33"/>
        <v>0</v>
      </c>
      <c r="AQ218" s="25">
        <f t="shared" si="34"/>
        <v>0</v>
      </c>
    </row>
    <row r="219" spans="1:43">
      <c r="A219" s="24">
        <v>46121</v>
      </c>
      <c r="B219" s="23">
        <f t="shared" si="27"/>
        <v>46113</v>
      </c>
      <c r="C219" s="2" t="s">
        <v>62</v>
      </c>
      <c r="D219" s="2" t="s">
        <v>563</v>
      </c>
      <c r="E219" s="2">
        <v>1824</v>
      </c>
      <c r="F219" s="2">
        <v>43</v>
      </c>
      <c r="G219" s="2">
        <v>40</v>
      </c>
      <c r="H219" s="2">
        <f t="shared" si="35"/>
        <v>3</v>
      </c>
      <c r="I219" s="2">
        <v>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/>
      <c r="AJ219" s="2" t="s">
        <v>77</v>
      </c>
      <c r="AK219" s="2">
        <f t="shared" si="28"/>
        <v>3</v>
      </c>
      <c r="AL219" s="2">
        <f t="shared" si="29"/>
        <v>0</v>
      </c>
      <c r="AM219" s="2">
        <f t="shared" si="30"/>
        <v>0</v>
      </c>
      <c r="AN219" s="2">
        <f t="shared" si="31"/>
        <v>0</v>
      </c>
      <c r="AO219" s="2">
        <f t="shared" si="32"/>
        <v>0</v>
      </c>
      <c r="AP219" s="2">
        <f t="shared" si="33"/>
        <v>0</v>
      </c>
      <c r="AQ219" s="25">
        <f t="shared" si="34"/>
        <v>0</v>
      </c>
    </row>
    <row r="220" spans="1:43">
      <c r="A220" s="24">
        <v>46121</v>
      </c>
      <c r="B220" s="23">
        <f t="shared" si="27"/>
        <v>46113</v>
      </c>
      <c r="C220" s="2" t="s">
        <v>62</v>
      </c>
      <c r="D220" s="2" t="s">
        <v>559</v>
      </c>
      <c r="E220" s="2">
        <v>1824</v>
      </c>
      <c r="F220" s="2">
        <v>355</v>
      </c>
      <c r="G220" s="2">
        <v>333</v>
      </c>
      <c r="H220" s="2">
        <f t="shared" si="35"/>
        <v>22</v>
      </c>
      <c r="I220" s="2">
        <v>22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/>
      <c r="AJ220" s="2" t="s">
        <v>77</v>
      </c>
      <c r="AK220" s="2">
        <f t="shared" si="28"/>
        <v>22</v>
      </c>
      <c r="AL220" s="2">
        <f t="shared" si="29"/>
        <v>0</v>
      </c>
      <c r="AM220" s="2">
        <f t="shared" si="30"/>
        <v>0</v>
      </c>
      <c r="AN220" s="2">
        <f t="shared" si="31"/>
        <v>0</v>
      </c>
      <c r="AO220" s="2">
        <f t="shared" si="32"/>
        <v>0</v>
      </c>
      <c r="AP220" s="2">
        <f t="shared" si="33"/>
        <v>0</v>
      </c>
      <c r="AQ220" s="25">
        <f t="shared" si="34"/>
        <v>0</v>
      </c>
    </row>
    <row r="221" spans="1:43">
      <c r="A221" s="24">
        <v>46121</v>
      </c>
      <c r="B221" s="23">
        <f t="shared" si="27"/>
        <v>46113</v>
      </c>
      <c r="C221" s="2" t="s">
        <v>62</v>
      </c>
      <c r="D221" s="2" t="s">
        <v>559</v>
      </c>
      <c r="E221" s="2">
        <v>1824</v>
      </c>
      <c r="F221" s="2">
        <v>32</v>
      </c>
      <c r="G221" s="2">
        <v>31</v>
      </c>
      <c r="H221" s="2">
        <f t="shared" si="35"/>
        <v>1</v>
      </c>
      <c r="I221" s="2">
        <v>1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/>
      <c r="AJ221" s="2" t="s">
        <v>77</v>
      </c>
      <c r="AK221" s="2">
        <f t="shared" si="28"/>
        <v>1</v>
      </c>
      <c r="AL221" s="2">
        <f t="shared" si="29"/>
        <v>0</v>
      </c>
      <c r="AM221" s="2">
        <f t="shared" si="30"/>
        <v>0</v>
      </c>
      <c r="AN221" s="2">
        <f t="shared" si="31"/>
        <v>0</v>
      </c>
      <c r="AO221" s="2">
        <f t="shared" si="32"/>
        <v>0</v>
      </c>
      <c r="AP221" s="2">
        <f t="shared" si="33"/>
        <v>0</v>
      </c>
      <c r="AQ221" s="25">
        <f t="shared" si="34"/>
        <v>0</v>
      </c>
    </row>
    <row r="222" spans="1:43">
      <c r="A222" s="24">
        <v>46121</v>
      </c>
      <c r="B222" s="23">
        <f t="shared" si="27"/>
        <v>46113</v>
      </c>
      <c r="C222" s="2" t="s">
        <v>95</v>
      </c>
      <c r="D222" s="2" t="s">
        <v>1540</v>
      </c>
      <c r="E222" s="2">
        <v>1767</v>
      </c>
      <c r="F222" s="2">
        <v>348</v>
      </c>
      <c r="G222" s="2">
        <v>329</v>
      </c>
      <c r="H222" s="2">
        <f t="shared" si="35"/>
        <v>19</v>
      </c>
      <c r="I222" s="2">
        <v>19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/>
      <c r="AJ222" s="2" t="s">
        <v>77</v>
      </c>
      <c r="AK222" s="2">
        <f t="shared" si="28"/>
        <v>19</v>
      </c>
      <c r="AL222" s="2">
        <f t="shared" si="29"/>
        <v>0</v>
      </c>
      <c r="AM222" s="2">
        <f t="shared" si="30"/>
        <v>0</v>
      </c>
      <c r="AN222" s="2">
        <f t="shared" si="31"/>
        <v>0</v>
      </c>
      <c r="AO222" s="2">
        <f t="shared" si="32"/>
        <v>0</v>
      </c>
      <c r="AP222" s="2">
        <f t="shared" si="33"/>
        <v>0</v>
      </c>
      <c r="AQ222" s="25">
        <f t="shared" si="34"/>
        <v>0</v>
      </c>
    </row>
    <row r="223" spans="1:43">
      <c r="A223" s="24">
        <v>46121</v>
      </c>
      <c r="B223" s="23">
        <f t="shared" si="27"/>
        <v>46113</v>
      </c>
      <c r="C223" s="2" t="s">
        <v>62</v>
      </c>
      <c r="D223" s="2" t="s">
        <v>535</v>
      </c>
      <c r="E223" s="2">
        <v>1823</v>
      </c>
      <c r="F223" s="2">
        <v>124</v>
      </c>
      <c r="G223" s="2">
        <v>120</v>
      </c>
      <c r="H223" s="2">
        <f t="shared" si="35"/>
        <v>4</v>
      </c>
      <c r="I223" s="2">
        <v>4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/>
      <c r="AJ223" s="2" t="s">
        <v>77</v>
      </c>
      <c r="AK223" s="2">
        <f t="shared" si="28"/>
        <v>4</v>
      </c>
      <c r="AL223" s="2">
        <f t="shared" si="29"/>
        <v>0</v>
      </c>
      <c r="AM223" s="2">
        <f t="shared" si="30"/>
        <v>0</v>
      </c>
      <c r="AN223" s="2">
        <f t="shared" si="31"/>
        <v>0</v>
      </c>
      <c r="AO223" s="2">
        <f t="shared" si="32"/>
        <v>0</v>
      </c>
      <c r="AP223" s="2">
        <f t="shared" si="33"/>
        <v>0</v>
      </c>
      <c r="AQ223" s="25">
        <f t="shared" si="34"/>
        <v>0</v>
      </c>
    </row>
    <row r="224" spans="1:43">
      <c r="A224" s="24">
        <v>46121</v>
      </c>
      <c r="B224" s="23">
        <f t="shared" si="27"/>
        <v>46113</v>
      </c>
      <c r="C224" s="2" t="s">
        <v>62</v>
      </c>
      <c r="D224" s="2" t="s">
        <v>450</v>
      </c>
      <c r="E224" s="2">
        <v>1823</v>
      </c>
      <c r="F224" s="2">
        <v>34</v>
      </c>
      <c r="G224" s="2">
        <v>34</v>
      </c>
      <c r="H224" s="2">
        <f t="shared" si="35"/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/>
      <c r="AJ224" s="2" t="s">
        <v>77</v>
      </c>
      <c r="AK224" s="2">
        <f t="shared" si="28"/>
        <v>0</v>
      </c>
      <c r="AL224" s="2">
        <f t="shared" si="29"/>
        <v>0</v>
      </c>
      <c r="AM224" s="2">
        <f t="shared" si="30"/>
        <v>0</v>
      </c>
      <c r="AN224" s="2">
        <f t="shared" si="31"/>
        <v>0</v>
      </c>
      <c r="AO224" s="2">
        <f t="shared" si="32"/>
        <v>0</v>
      </c>
      <c r="AP224" s="2">
        <f t="shared" si="33"/>
        <v>0</v>
      </c>
      <c r="AQ224" s="25">
        <f t="shared" si="34"/>
        <v>0</v>
      </c>
    </row>
    <row r="225" spans="1:43">
      <c r="A225" s="24">
        <v>46121</v>
      </c>
      <c r="B225" s="23">
        <f t="shared" si="27"/>
        <v>46113</v>
      </c>
      <c r="C225" s="2" t="s">
        <v>62</v>
      </c>
      <c r="D225" s="2" t="s">
        <v>459</v>
      </c>
      <c r="E225" s="2">
        <v>1824</v>
      </c>
      <c r="F225" s="2">
        <v>45</v>
      </c>
      <c r="G225" s="2">
        <v>44</v>
      </c>
      <c r="H225" s="2">
        <f t="shared" si="35"/>
        <v>1</v>
      </c>
      <c r="I225" s="2">
        <v>1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/>
      <c r="AJ225" s="2" t="s">
        <v>77</v>
      </c>
      <c r="AK225" s="2">
        <f t="shared" si="28"/>
        <v>1</v>
      </c>
      <c r="AL225" s="2">
        <f t="shared" si="29"/>
        <v>0</v>
      </c>
      <c r="AM225" s="2">
        <f t="shared" si="30"/>
        <v>0</v>
      </c>
      <c r="AN225" s="2">
        <f t="shared" si="31"/>
        <v>0</v>
      </c>
      <c r="AO225" s="2">
        <f t="shared" si="32"/>
        <v>0</v>
      </c>
      <c r="AP225" s="2">
        <f t="shared" si="33"/>
        <v>0</v>
      </c>
      <c r="AQ225" s="25">
        <f t="shared" si="34"/>
        <v>0</v>
      </c>
    </row>
    <row r="226" spans="1:43">
      <c r="A226" s="24">
        <v>46121</v>
      </c>
      <c r="B226" s="23">
        <f t="shared" si="27"/>
        <v>46113</v>
      </c>
      <c r="C226" s="2" t="s">
        <v>114</v>
      </c>
      <c r="D226" s="2" t="s">
        <v>500</v>
      </c>
      <c r="E226" s="2">
        <v>1766</v>
      </c>
      <c r="F226" s="2">
        <v>40</v>
      </c>
      <c r="G226" s="2">
        <v>38</v>
      </c>
      <c r="H226" s="2">
        <f t="shared" si="35"/>
        <v>2</v>
      </c>
      <c r="I226" s="2">
        <v>2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/>
      <c r="AJ226" s="2" t="s">
        <v>103</v>
      </c>
      <c r="AK226" s="2">
        <f t="shared" si="28"/>
        <v>2</v>
      </c>
      <c r="AL226" s="2">
        <f t="shared" si="29"/>
        <v>0</v>
      </c>
      <c r="AM226" s="2">
        <f t="shared" si="30"/>
        <v>0</v>
      </c>
      <c r="AN226" s="2">
        <f t="shared" si="31"/>
        <v>0</v>
      </c>
      <c r="AO226" s="2">
        <f t="shared" si="32"/>
        <v>0</v>
      </c>
      <c r="AP226" s="2">
        <f t="shared" si="33"/>
        <v>0</v>
      </c>
      <c r="AQ226" s="25">
        <f t="shared" si="34"/>
        <v>0</v>
      </c>
    </row>
    <row r="227" spans="1:43">
      <c r="A227" s="24">
        <v>46121</v>
      </c>
      <c r="B227" s="23">
        <f t="shared" si="27"/>
        <v>46113</v>
      </c>
      <c r="C227" s="2" t="s">
        <v>72</v>
      </c>
      <c r="D227" s="2" t="s">
        <v>573</v>
      </c>
      <c r="E227" s="2">
        <v>2455</v>
      </c>
      <c r="F227" s="2">
        <v>48</v>
      </c>
      <c r="G227" s="2">
        <v>44</v>
      </c>
      <c r="H227" s="2">
        <f t="shared" si="35"/>
        <v>4</v>
      </c>
      <c r="I227" s="2">
        <v>4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/>
      <c r="AJ227" s="2" t="s">
        <v>103</v>
      </c>
      <c r="AK227" s="2">
        <f t="shared" si="28"/>
        <v>4</v>
      </c>
      <c r="AL227" s="2">
        <f t="shared" si="29"/>
        <v>0</v>
      </c>
      <c r="AM227" s="2">
        <f t="shared" si="30"/>
        <v>0</v>
      </c>
      <c r="AN227" s="2">
        <f t="shared" si="31"/>
        <v>0</v>
      </c>
      <c r="AO227" s="2">
        <f t="shared" si="32"/>
        <v>0</v>
      </c>
      <c r="AP227" s="2">
        <f t="shared" si="33"/>
        <v>0</v>
      </c>
      <c r="AQ227" s="25">
        <f t="shared" si="34"/>
        <v>0</v>
      </c>
    </row>
    <row r="228" spans="1:43">
      <c r="A228" s="24">
        <v>46121</v>
      </c>
      <c r="B228" s="23">
        <f t="shared" si="27"/>
        <v>46113</v>
      </c>
      <c r="C228" s="2" t="s">
        <v>114</v>
      </c>
      <c r="D228" s="2" t="s">
        <v>481</v>
      </c>
      <c r="E228" s="2">
        <v>1734</v>
      </c>
      <c r="F228" s="2">
        <v>32</v>
      </c>
      <c r="G228" s="2">
        <v>32</v>
      </c>
      <c r="H228" s="2">
        <f t="shared" si="35"/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/>
      <c r="AJ228" s="2" t="s">
        <v>103</v>
      </c>
      <c r="AK228" s="2">
        <f t="shared" si="28"/>
        <v>0</v>
      </c>
      <c r="AL228" s="2">
        <f t="shared" si="29"/>
        <v>0</v>
      </c>
      <c r="AM228" s="2">
        <f t="shared" si="30"/>
        <v>0</v>
      </c>
      <c r="AN228" s="2">
        <f t="shared" si="31"/>
        <v>0</v>
      </c>
      <c r="AO228" s="2">
        <f t="shared" si="32"/>
        <v>0</v>
      </c>
      <c r="AP228" s="2">
        <f t="shared" si="33"/>
        <v>0</v>
      </c>
      <c r="AQ228" s="25">
        <f t="shared" si="34"/>
        <v>0</v>
      </c>
    </row>
    <row r="229" spans="1:43">
      <c r="A229" s="24">
        <v>46121</v>
      </c>
      <c r="B229" s="23">
        <f t="shared" si="27"/>
        <v>46113</v>
      </c>
      <c r="C229" s="2" t="s">
        <v>114</v>
      </c>
      <c r="D229" s="2" t="s">
        <v>529</v>
      </c>
      <c r="E229" s="2">
        <v>1803</v>
      </c>
      <c r="F229" s="2">
        <v>174</v>
      </c>
      <c r="G229" s="2">
        <v>172</v>
      </c>
      <c r="H229" s="2">
        <f t="shared" si="35"/>
        <v>2</v>
      </c>
      <c r="I229" s="2">
        <v>1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1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/>
      <c r="AJ229" s="2" t="s">
        <v>103</v>
      </c>
      <c r="AK229" s="2">
        <f t="shared" si="28"/>
        <v>1</v>
      </c>
      <c r="AL229" s="2">
        <f t="shared" si="29"/>
        <v>0</v>
      </c>
      <c r="AM229" s="2">
        <f t="shared" si="30"/>
        <v>0</v>
      </c>
      <c r="AN229" s="2">
        <f t="shared" si="31"/>
        <v>0</v>
      </c>
      <c r="AO229" s="2">
        <f t="shared" si="32"/>
        <v>1</v>
      </c>
      <c r="AP229" s="2">
        <f t="shared" si="33"/>
        <v>0</v>
      </c>
      <c r="AQ229" s="25">
        <f t="shared" si="34"/>
        <v>0</v>
      </c>
    </row>
    <row r="230" spans="1:43">
      <c r="A230" s="24">
        <v>46121</v>
      </c>
      <c r="B230" s="23">
        <f t="shared" si="27"/>
        <v>46113</v>
      </c>
      <c r="C230" s="2" t="s">
        <v>114</v>
      </c>
      <c r="D230" s="2" t="s">
        <v>1540</v>
      </c>
      <c r="E230" s="2">
        <v>1767</v>
      </c>
      <c r="F230" s="2">
        <v>506</v>
      </c>
      <c r="G230" s="2">
        <v>482</v>
      </c>
      <c r="H230" s="2">
        <f t="shared" si="35"/>
        <v>24</v>
      </c>
      <c r="I230" s="2">
        <v>17</v>
      </c>
      <c r="J230" s="2">
        <v>0</v>
      </c>
      <c r="K230" s="2">
        <v>3</v>
      </c>
      <c r="L230" s="2">
        <v>0</v>
      </c>
      <c r="M230" s="2">
        <v>0</v>
      </c>
      <c r="N230" s="2">
        <v>0</v>
      </c>
      <c r="O230" s="2">
        <v>3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1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/>
      <c r="AJ230" s="2" t="s">
        <v>103</v>
      </c>
      <c r="AK230" s="2">
        <f t="shared" si="28"/>
        <v>17</v>
      </c>
      <c r="AL230" s="2">
        <f t="shared" si="29"/>
        <v>6</v>
      </c>
      <c r="AM230" s="2">
        <f t="shared" si="30"/>
        <v>0</v>
      </c>
      <c r="AN230" s="2">
        <f t="shared" si="31"/>
        <v>1</v>
      </c>
      <c r="AO230" s="2">
        <f t="shared" si="32"/>
        <v>0</v>
      </c>
      <c r="AP230" s="2">
        <f t="shared" si="33"/>
        <v>0</v>
      </c>
      <c r="AQ230" s="25">
        <f t="shared" si="34"/>
        <v>0</v>
      </c>
    </row>
    <row r="231" spans="1:43">
      <c r="A231" s="24">
        <v>46121</v>
      </c>
      <c r="B231" s="23">
        <f t="shared" si="27"/>
        <v>46113</v>
      </c>
      <c r="C231" s="2" t="s">
        <v>63</v>
      </c>
      <c r="D231" s="2" t="s">
        <v>1384</v>
      </c>
      <c r="E231" s="2">
        <v>2480</v>
      </c>
      <c r="F231" s="2">
        <v>105</v>
      </c>
      <c r="G231" s="2">
        <v>103</v>
      </c>
      <c r="H231" s="2">
        <f t="shared" si="35"/>
        <v>2</v>
      </c>
      <c r="I231" s="2">
        <v>2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/>
      <c r="AJ231" s="2" t="s">
        <v>1568</v>
      </c>
      <c r="AK231" s="2">
        <f t="shared" si="28"/>
        <v>2</v>
      </c>
      <c r="AL231" s="2">
        <f t="shared" si="29"/>
        <v>0</v>
      </c>
      <c r="AM231" s="2">
        <f t="shared" si="30"/>
        <v>0</v>
      </c>
      <c r="AN231" s="2">
        <f t="shared" si="31"/>
        <v>0</v>
      </c>
      <c r="AO231" s="2">
        <f t="shared" si="32"/>
        <v>0</v>
      </c>
      <c r="AP231" s="2">
        <f t="shared" si="33"/>
        <v>0</v>
      </c>
      <c r="AQ231" s="25">
        <f t="shared" si="34"/>
        <v>0</v>
      </c>
    </row>
    <row r="232" spans="1:43">
      <c r="A232" s="24">
        <v>46121</v>
      </c>
      <c r="B232" s="23">
        <f t="shared" si="27"/>
        <v>46113</v>
      </c>
      <c r="C232" s="2" t="s">
        <v>63</v>
      </c>
      <c r="D232" s="2" t="s">
        <v>1452</v>
      </c>
      <c r="E232" s="2">
        <v>2480</v>
      </c>
      <c r="F232" s="2">
        <v>174</v>
      </c>
      <c r="G232" s="2">
        <v>174</v>
      </c>
      <c r="H232" s="2">
        <f t="shared" si="35"/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/>
      <c r="AJ232" s="2" t="s">
        <v>1568</v>
      </c>
      <c r="AK232" s="2">
        <f t="shared" si="28"/>
        <v>0</v>
      </c>
      <c r="AL232" s="2">
        <f t="shared" si="29"/>
        <v>0</v>
      </c>
      <c r="AM232" s="2">
        <f t="shared" si="30"/>
        <v>0</v>
      </c>
      <c r="AN232" s="2">
        <f t="shared" si="31"/>
        <v>0</v>
      </c>
      <c r="AO232" s="2">
        <f t="shared" si="32"/>
        <v>0</v>
      </c>
      <c r="AP232" s="2">
        <f t="shared" si="33"/>
        <v>0</v>
      </c>
      <c r="AQ232" s="25">
        <f t="shared" si="34"/>
        <v>0</v>
      </c>
    </row>
    <row r="233" spans="1:43">
      <c r="A233" s="24">
        <v>46121</v>
      </c>
      <c r="B233" s="23">
        <f t="shared" si="27"/>
        <v>46113</v>
      </c>
      <c r="C233" s="2" t="s">
        <v>62</v>
      </c>
      <c r="D233" s="2" t="s">
        <v>505</v>
      </c>
      <c r="E233" s="2">
        <v>2589</v>
      </c>
      <c r="F233" s="2">
        <v>204</v>
      </c>
      <c r="G233" s="2">
        <v>200</v>
      </c>
      <c r="H233" s="2">
        <f t="shared" si="35"/>
        <v>4</v>
      </c>
      <c r="I233" s="2">
        <v>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2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1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/>
      <c r="AJ233" s="2" t="s">
        <v>1568</v>
      </c>
      <c r="AK233" s="2">
        <f t="shared" si="28"/>
        <v>1</v>
      </c>
      <c r="AL233" s="2">
        <f t="shared" si="29"/>
        <v>2</v>
      </c>
      <c r="AM233" s="2">
        <f t="shared" si="30"/>
        <v>0</v>
      </c>
      <c r="AN233" s="2">
        <f t="shared" si="31"/>
        <v>1</v>
      </c>
      <c r="AO233" s="2">
        <f t="shared" si="32"/>
        <v>0</v>
      </c>
      <c r="AP233" s="2">
        <f t="shared" si="33"/>
        <v>0</v>
      </c>
      <c r="AQ233" s="25">
        <f t="shared" si="34"/>
        <v>0</v>
      </c>
    </row>
    <row r="234" spans="1:43">
      <c r="A234" s="24">
        <v>46121</v>
      </c>
      <c r="B234" s="23">
        <f t="shared" si="27"/>
        <v>46113</v>
      </c>
      <c r="C234" s="2" t="s">
        <v>62</v>
      </c>
      <c r="D234" s="2" t="s">
        <v>527</v>
      </c>
      <c r="E234" s="2">
        <v>2622</v>
      </c>
      <c r="F234" s="2">
        <v>338</v>
      </c>
      <c r="G234" s="2">
        <v>336</v>
      </c>
      <c r="H234" s="2">
        <f t="shared" si="35"/>
        <v>2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1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/>
      <c r="AJ234" s="2" t="s">
        <v>1568</v>
      </c>
      <c r="AK234" s="2">
        <f t="shared" si="28"/>
        <v>1</v>
      </c>
      <c r="AL234" s="2">
        <f t="shared" si="29"/>
        <v>1</v>
      </c>
      <c r="AM234" s="2">
        <f t="shared" si="30"/>
        <v>0</v>
      </c>
      <c r="AN234" s="2">
        <f t="shared" si="31"/>
        <v>0</v>
      </c>
      <c r="AO234" s="2">
        <f t="shared" si="32"/>
        <v>0</v>
      </c>
      <c r="AP234" s="2">
        <f t="shared" si="33"/>
        <v>0</v>
      </c>
      <c r="AQ234" s="25">
        <f t="shared" si="34"/>
        <v>0</v>
      </c>
    </row>
    <row r="235" spans="1:43">
      <c r="A235" s="24">
        <v>46121</v>
      </c>
      <c r="B235" s="23">
        <f t="shared" si="27"/>
        <v>46113</v>
      </c>
      <c r="C235" s="2" t="s">
        <v>63</v>
      </c>
      <c r="D235" s="2" t="s">
        <v>1384</v>
      </c>
      <c r="E235" s="2">
        <v>2480</v>
      </c>
      <c r="F235" s="2">
        <v>20</v>
      </c>
      <c r="G235" s="2">
        <v>20</v>
      </c>
      <c r="H235" s="2">
        <f t="shared" si="35"/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/>
      <c r="AJ235" s="2" t="s">
        <v>1568</v>
      </c>
      <c r="AK235" s="2">
        <f t="shared" si="28"/>
        <v>0</v>
      </c>
      <c r="AL235" s="2">
        <f t="shared" si="29"/>
        <v>0</v>
      </c>
      <c r="AM235" s="2">
        <f t="shared" si="30"/>
        <v>0</v>
      </c>
      <c r="AN235" s="2">
        <f t="shared" si="31"/>
        <v>0</v>
      </c>
      <c r="AO235" s="2">
        <f t="shared" si="32"/>
        <v>0</v>
      </c>
      <c r="AP235" s="2">
        <f t="shared" si="33"/>
        <v>0</v>
      </c>
      <c r="AQ235" s="25">
        <f t="shared" si="34"/>
        <v>0</v>
      </c>
    </row>
    <row r="236" spans="1:43">
      <c r="A236" s="24">
        <v>46121</v>
      </c>
      <c r="B236" s="23">
        <f t="shared" si="27"/>
        <v>46113</v>
      </c>
      <c r="C236" s="2" t="s">
        <v>63</v>
      </c>
      <c r="D236" s="2" t="s">
        <v>1452</v>
      </c>
      <c r="E236" s="2">
        <v>2480</v>
      </c>
      <c r="F236" s="2">
        <v>33</v>
      </c>
      <c r="G236" s="2">
        <v>32</v>
      </c>
      <c r="H236" s="2">
        <f t="shared" si="35"/>
        <v>1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1</v>
      </c>
      <c r="AH236" s="2">
        <v>0</v>
      </c>
      <c r="AI236" s="2"/>
      <c r="AJ236" s="2" t="s">
        <v>1568</v>
      </c>
      <c r="AK236" s="2">
        <f t="shared" si="28"/>
        <v>0</v>
      </c>
      <c r="AL236" s="2">
        <f t="shared" si="29"/>
        <v>0</v>
      </c>
      <c r="AM236" s="2">
        <f t="shared" si="30"/>
        <v>0</v>
      </c>
      <c r="AN236" s="2">
        <f t="shared" si="31"/>
        <v>1</v>
      </c>
      <c r="AO236" s="2">
        <f t="shared" si="32"/>
        <v>0</v>
      </c>
      <c r="AP236" s="2">
        <f t="shared" si="33"/>
        <v>0</v>
      </c>
      <c r="AQ236" s="25">
        <f t="shared" si="34"/>
        <v>0</v>
      </c>
    </row>
    <row r="237" spans="1:43">
      <c r="A237" s="24">
        <v>46121</v>
      </c>
      <c r="B237" s="23">
        <f t="shared" si="27"/>
        <v>46113</v>
      </c>
      <c r="C237" s="2" t="s">
        <v>63</v>
      </c>
      <c r="D237" s="2" t="s">
        <v>571</v>
      </c>
      <c r="E237" s="2">
        <v>2576</v>
      </c>
      <c r="F237" s="2">
        <v>32</v>
      </c>
      <c r="G237" s="2">
        <v>30</v>
      </c>
      <c r="H237" s="2">
        <f t="shared" si="35"/>
        <v>2</v>
      </c>
      <c r="I237" s="2">
        <v>2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/>
      <c r="AJ237" s="2" t="s">
        <v>1568</v>
      </c>
      <c r="AK237" s="2">
        <f t="shared" si="28"/>
        <v>2</v>
      </c>
      <c r="AL237" s="2">
        <f t="shared" si="29"/>
        <v>0</v>
      </c>
      <c r="AM237" s="2">
        <f t="shared" si="30"/>
        <v>0</v>
      </c>
      <c r="AN237" s="2">
        <f t="shared" si="31"/>
        <v>0</v>
      </c>
      <c r="AO237" s="2">
        <f t="shared" si="32"/>
        <v>0</v>
      </c>
      <c r="AP237" s="2">
        <f t="shared" si="33"/>
        <v>0</v>
      </c>
      <c r="AQ237" s="25">
        <f t="shared" si="34"/>
        <v>0</v>
      </c>
    </row>
    <row r="238" spans="1:43">
      <c r="A238" s="24">
        <v>46121</v>
      </c>
      <c r="B238" s="23">
        <f t="shared" si="27"/>
        <v>46113</v>
      </c>
      <c r="C238" s="2" t="s">
        <v>63</v>
      </c>
      <c r="D238" s="2" t="s">
        <v>1558</v>
      </c>
      <c r="E238" s="2">
        <v>2576</v>
      </c>
      <c r="F238" s="2">
        <v>20</v>
      </c>
      <c r="G238" s="2">
        <v>19</v>
      </c>
      <c r="H238" s="2">
        <f t="shared" si="35"/>
        <v>1</v>
      </c>
      <c r="I238" s="2">
        <v>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/>
      <c r="AJ238" s="2" t="s">
        <v>1568</v>
      </c>
      <c r="AK238" s="2">
        <f t="shared" si="28"/>
        <v>1</v>
      </c>
      <c r="AL238" s="2">
        <f t="shared" si="29"/>
        <v>0</v>
      </c>
      <c r="AM238" s="2">
        <f t="shared" si="30"/>
        <v>0</v>
      </c>
      <c r="AN238" s="2">
        <f t="shared" si="31"/>
        <v>0</v>
      </c>
      <c r="AO238" s="2">
        <f t="shared" si="32"/>
        <v>0</v>
      </c>
      <c r="AP238" s="2">
        <f t="shared" si="33"/>
        <v>0</v>
      </c>
      <c r="AQ238" s="25">
        <f t="shared" si="34"/>
        <v>0</v>
      </c>
    </row>
    <row r="239" spans="1:43">
      <c r="A239" s="24">
        <v>46121</v>
      </c>
      <c r="B239" s="23">
        <f t="shared" si="27"/>
        <v>46113</v>
      </c>
      <c r="C239" s="2" t="s">
        <v>62</v>
      </c>
      <c r="D239" s="2" t="s">
        <v>458</v>
      </c>
      <c r="E239" s="2">
        <v>1824</v>
      </c>
      <c r="F239" s="2">
        <v>94</v>
      </c>
      <c r="G239" s="2">
        <v>91</v>
      </c>
      <c r="H239" s="2">
        <f t="shared" si="35"/>
        <v>3</v>
      </c>
      <c r="I239" s="2">
        <v>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/>
      <c r="AJ239" s="2" t="s">
        <v>99</v>
      </c>
      <c r="AK239" s="2">
        <f t="shared" si="28"/>
        <v>3</v>
      </c>
      <c r="AL239" s="2">
        <f t="shared" si="29"/>
        <v>0</v>
      </c>
      <c r="AM239" s="2">
        <f t="shared" si="30"/>
        <v>0</v>
      </c>
      <c r="AN239" s="2">
        <f t="shared" si="31"/>
        <v>0</v>
      </c>
      <c r="AO239" s="2">
        <f t="shared" si="32"/>
        <v>0</v>
      </c>
      <c r="AP239" s="2">
        <f t="shared" si="33"/>
        <v>0</v>
      </c>
      <c r="AQ239" s="25">
        <f t="shared" si="34"/>
        <v>0</v>
      </c>
    </row>
    <row r="240" spans="1:43">
      <c r="A240" s="24">
        <v>46121</v>
      </c>
      <c r="B240" s="23">
        <f t="shared" si="27"/>
        <v>46113</v>
      </c>
      <c r="C240" s="2" t="s">
        <v>114</v>
      </c>
      <c r="D240" s="2" t="s">
        <v>481</v>
      </c>
      <c r="E240" s="2">
        <v>1734</v>
      </c>
      <c r="F240" s="2">
        <v>233</v>
      </c>
      <c r="G240" s="2">
        <v>224</v>
      </c>
      <c r="H240" s="2">
        <f t="shared" si="35"/>
        <v>9</v>
      </c>
      <c r="I240" s="2">
        <v>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1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5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/>
      <c r="AJ240" s="2" t="s">
        <v>99</v>
      </c>
      <c r="AK240" s="2">
        <f t="shared" si="28"/>
        <v>3</v>
      </c>
      <c r="AL240" s="2">
        <f t="shared" si="29"/>
        <v>1</v>
      </c>
      <c r="AM240" s="2">
        <f t="shared" si="30"/>
        <v>0</v>
      </c>
      <c r="AN240" s="2">
        <f t="shared" si="31"/>
        <v>0</v>
      </c>
      <c r="AO240" s="2">
        <f t="shared" si="32"/>
        <v>5</v>
      </c>
      <c r="AP240" s="2">
        <f t="shared" si="33"/>
        <v>0</v>
      </c>
      <c r="AQ240" s="25">
        <f t="shared" si="34"/>
        <v>0</v>
      </c>
    </row>
    <row r="241" spans="1:43">
      <c r="A241" s="24">
        <v>46121</v>
      </c>
      <c r="B241" s="23">
        <f t="shared" si="27"/>
        <v>46113</v>
      </c>
      <c r="C241" s="2" t="s">
        <v>63</v>
      </c>
      <c r="D241" s="2" t="s">
        <v>574</v>
      </c>
      <c r="E241" s="2">
        <v>1627</v>
      </c>
      <c r="F241" s="2">
        <v>37</v>
      </c>
      <c r="G241" s="2">
        <v>34</v>
      </c>
      <c r="H241" s="2">
        <f t="shared" si="35"/>
        <v>3</v>
      </c>
      <c r="I241" s="2">
        <v>3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/>
      <c r="AJ241" s="2" t="s">
        <v>1568</v>
      </c>
      <c r="AK241" s="2">
        <f t="shared" si="28"/>
        <v>3</v>
      </c>
      <c r="AL241" s="2">
        <f t="shared" si="29"/>
        <v>0</v>
      </c>
      <c r="AM241" s="2">
        <f t="shared" si="30"/>
        <v>0</v>
      </c>
      <c r="AN241" s="2">
        <f t="shared" si="31"/>
        <v>0</v>
      </c>
      <c r="AO241" s="2">
        <f t="shared" si="32"/>
        <v>0</v>
      </c>
      <c r="AP241" s="2">
        <f t="shared" si="33"/>
        <v>0</v>
      </c>
      <c r="AQ241" s="25">
        <f t="shared" si="34"/>
        <v>0</v>
      </c>
    </row>
    <row r="242" spans="1:43">
      <c r="A242" s="24">
        <v>46121</v>
      </c>
      <c r="B242" s="23">
        <f t="shared" si="27"/>
        <v>46113</v>
      </c>
      <c r="C242" s="2" t="s">
        <v>63</v>
      </c>
      <c r="D242" s="2" t="s">
        <v>1538</v>
      </c>
      <c r="E242" s="2">
        <v>10059</v>
      </c>
      <c r="F242" s="2">
        <v>50</v>
      </c>
      <c r="G242" s="2">
        <v>46</v>
      </c>
      <c r="H242" s="2">
        <f t="shared" si="35"/>
        <v>4</v>
      </c>
      <c r="I242" s="2">
        <v>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1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/>
      <c r="AJ242" s="2" t="s">
        <v>1568</v>
      </c>
      <c r="AK242" s="2">
        <f t="shared" si="28"/>
        <v>3</v>
      </c>
      <c r="AL242" s="2">
        <f t="shared" si="29"/>
        <v>0</v>
      </c>
      <c r="AM242" s="2">
        <f t="shared" si="30"/>
        <v>1</v>
      </c>
      <c r="AN242" s="2">
        <f t="shared" si="31"/>
        <v>0</v>
      </c>
      <c r="AO242" s="2">
        <f t="shared" si="32"/>
        <v>0</v>
      </c>
      <c r="AP242" s="2">
        <f t="shared" si="33"/>
        <v>0</v>
      </c>
      <c r="AQ242" s="25">
        <f t="shared" si="34"/>
        <v>0</v>
      </c>
    </row>
    <row r="243" spans="1:43">
      <c r="A243" s="24">
        <v>46121</v>
      </c>
      <c r="B243" s="23">
        <f t="shared" si="27"/>
        <v>46113</v>
      </c>
      <c r="C243" s="2" t="s">
        <v>62</v>
      </c>
      <c r="D243" s="2" t="s">
        <v>1534</v>
      </c>
      <c r="E243" s="2">
        <v>1927</v>
      </c>
      <c r="F243" s="2">
        <v>234</v>
      </c>
      <c r="G243" s="2">
        <v>226</v>
      </c>
      <c r="H243" s="2">
        <f t="shared" si="35"/>
        <v>8</v>
      </c>
      <c r="I243" s="2">
        <v>8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/>
      <c r="AJ243" s="2" t="s">
        <v>1568</v>
      </c>
      <c r="AK243" s="2">
        <f t="shared" si="28"/>
        <v>8</v>
      </c>
      <c r="AL243" s="2">
        <f t="shared" si="29"/>
        <v>0</v>
      </c>
      <c r="AM243" s="2">
        <f t="shared" si="30"/>
        <v>0</v>
      </c>
      <c r="AN243" s="2">
        <f t="shared" si="31"/>
        <v>0</v>
      </c>
      <c r="AO243" s="2">
        <f t="shared" si="32"/>
        <v>0</v>
      </c>
      <c r="AP243" s="2">
        <f t="shared" si="33"/>
        <v>0</v>
      </c>
      <c r="AQ243" s="25">
        <f t="shared" si="34"/>
        <v>0</v>
      </c>
    </row>
    <row r="244" spans="1:43">
      <c r="A244" s="24">
        <v>46121</v>
      </c>
      <c r="B244" s="23">
        <f t="shared" si="27"/>
        <v>46113</v>
      </c>
      <c r="C244" s="2" t="s">
        <v>63</v>
      </c>
      <c r="D244" s="2" t="s">
        <v>1538</v>
      </c>
      <c r="E244" s="2">
        <v>10059</v>
      </c>
      <c r="F244" s="2">
        <v>358</v>
      </c>
      <c r="G244" s="2">
        <v>357</v>
      </c>
      <c r="H244" s="2">
        <f t="shared" si="35"/>
        <v>1</v>
      </c>
      <c r="I244" s="2">
        <v>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/>
      <c r="AJ244" s="2" t="s">
        <v>1568</v>
      </c>
      <c r="AK244" s="2">
        <f t="shared" si="28"/>
        <v>1</v>
      </c>
      <c r="AL244" s="2">
        <f t="shared" si="29"/>
        <v>0</v>
      </c>
      <c r="AM244" s="2">
        <f t="shared" si="30"/>
        <v>0</v>
      </c>
      <c r="AN244" s="2">
        <f t="shared" si="31"/>
        <v>0</v>
      </c>
      <c r="AO244" s="2">
        <f t="shared" si="32"/>
        <v>0</v>
      </c>
      <c r="AP244" s="2">
        <f t="shared" si="33"/>
        <v>0</v>
      </c>
      <c r="AQ244" s="25">
        <f t="shared" si="34"/>
        <v>0</v>
      </c>
    </row>
    <row r="245" spans="1:43">
      <c r="A245" s="24">
        <v>46121</v>
      </c>
      <c r="B245" s="23">
        <f t="shared" si="27"/>
        <v>46113</v>
      </c>
      <c r="C245" s="2" t="s">
        <v>66</v>
      </c>
      <c r="D245" s="2" t="s">
        <v>464</v>
      </c>
      <c r="E245" s="2">
        <v>2642</v>
      </c>
      <c r="F245" s="2">
        <v>258</v>
      </c>
      <c r="G245" s="2">
        <v>252</v>
      </c>
      <c r="H245" s="2">
        <f t="shared" si="35"/>
        <v>6</v>
      </c>
      <c r="I245" s="2">
        <v>6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/>
      <c r="AJ245" s="2" t="s">
        <v>110</v>
      </c>
      <c r="AK245" s="2">
        <f t="shared" si="28"/>
        <v>6</v>
      </c>
      <c r="AL245" s="2">
        <f t="shared" si="29"/>
        <v>0</v>
      </c>
      <c r="AM245" s="2">
        <f t="shared" si="30"/>
        <v>0</v>
      </c>
      <c r="AN245" s="2">
        <f t="shared" si="31"/>
        <v>0</v>
      </c>
      <c r="AO245" s="2">
        <f t="shared" si="32"/>
        <v>0</v>
      </c>
      <c r="AP245" s="2">
        <f t="shared" si="33"/>
        <v>0</v>
      </c>
      <c r="AQ245" s="25">
        <f t="shared" si="34"/>
        <v>0</v>
      </c>
    </row>
    <row r="246" spans="1:43">
      <c r="A246" s="24">
        <v>46121</v>
      </c>
      <c r="B246" s="23">
        <f t="shared" si="27"/>
        <v>46113</v>
      </c>
      <c r="C246" s="2" t="s">
        <v>66</v>
      </c>
      <c r="D246" s="2" t="s">
        <v>464</v>
      </c>
      <c r="E246" s="2">
        <v>2642</v>
      </c>
      <c r="F246" s="2">
        <v>32</v>
      </c>
      <c r="G246" s="2">
        <v>32</v>
      </c>
      <c r="H246" s="2">
        <f t="shared" si="35"/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/>
      <c r="AJ246" s="2" t="s">
        <v>110</v>
      </c>
      <c r="AK246" s="2">
        <f t="shared" si="28"/>
        <v>0</v>
      </c>
      <c r="AL246" s="2">
        <f t="shared" si="29"/>
        <v>0</v>
      </c>
      <c r="AM246" s="2">
        <f t="shared" si="30"/>
        <v>0</v>
      </c>
      <c r="AN246" s="2">
        <f t="shared" si="31"/>
        <v>0</v>
      </c>
      <c r="AO246" s="2">
        <f t="shared" si="32"/>
        <v>0</v>
      </c>
      <c r="AP246" s="2">
        <f t="shared" si="33"/>
        <v>0</v>
      </c>
      <c r="AQ246" s="25">
        <f t="shared" si="34"/>
        <v>0</v>
      </c>
    </row>
    <row r="247" spans="1:43">
      <c r="A247" s="24">
        <v>46121</v>
      </c>
      <c r="B247" s="23">
        <f t="shared" si="27"/>
        <v>46113</v>
      </c>
      <c r="C247" s="2" t="s">
        <v>97</v>
      </c>
      <c r="D247" s="2" t="s">
        <v>1540</v>
      </c>
      <c r="E247" s="2">
        <v>1767</v>
      </c>
      <c r="F247" s="2">
        <v>746</v>
      </c>
      <c r="G247" s="2">
        <v>710</v>
      </c>
      <c r="H247" s="2">
        <f t="shared" si="35"/>
        <v>36</v>
      </c>
      <c r="I247" s="2">
        <v>11</v>
      </c>
      <c r="J247" s="2">
        <v>0</v>
      </c>
      <c r="K247" s="2">
        <v>22</v>
      </c>
      <c r="L247" s="2">
        <v>2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1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/>
      <c r="AJ247" s="2" t="s">
        <v>110</v>
      </c>
      <c r="AK247" s="2">
        <f t="shared" si="28"/>
        <v>11</v>
      </c>
      <c r="AL247" s="2">
        <f t="shared" si="29"/>
        <v>24</v>
      </c>
      <c r="AM247" s="2">
        <f t="shared" si="30"/>
        <v>0</v>
      </c>
      <c r="AN247" s="2">
        <f t="shared" si="31"/>
        <v>1</v>
      </c>
      <c r="AO247" s="2">
        <f t="shared" si="32"/>
        <v>0</v>
      </c>
      <c r="AP247" s="2">
        <f t="shared" si="33"/>
        <v>0</v>
      </c>
      <c r="AQ247" s="25">
        <f t="shared" si="34"/>
        <v>0</v>
      </c>
    </row>
    <row r="248" spans="1:43">
      <c r="A248" s="24">
        <v>46121</v>
      </c>
      <c r="B248" s="23">
        <f t="shared" si="27"/>
        <v>46113</v>
      </c>
      <c r="C248" s="2" t="s">
        <v>66</v>
      </c>
      <c r="D248" s="2" t="s">
        <v>1380</v>
      </c>
      <c r="E248" s="2">
        <v>2639</v>
      </c>
      <c r="F248" s="2">
        <v>30</v>
      </c>
      <c r="G248" s="2">
        <v>29</v>
      </c>
      <c r="H248" s="2">
        <f t="shared" si="35"/>
        <v>1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/>
      <c r="AJ248" s="2" t="s">
        <v>110</v>
      </c>
      <c r="AK248" s="2">
        <f t="shared" si="28"/>
        <v>0</v>
      </c>
      <c r="AL248" s="2">
        <f t="shared" si="29"/>
        <v>1</v>
      </c>
      <c r="AM248" s="2">
        <f t="shared" si="30"/>
        <v>0</v>
      </c>
      <c r="AN248" s="2">
        <f t="shared" si="31"/>
        <v>0</v>
      </c>
      <c r="AO248" s="2">
        <f t="shared" si="32"/>
        <v>0</v>
      </c>
      <c r="AP248" s="2">
        <f t="shared" si="33"/>
        <v>0</v>
      </c>
      <c r="AQ248" s="25">
        <f t="shared" si="34"/>
        <v>0</v>
      </c>
    </row>
    <row r="249" spans="1:43">
      <c r="A249" s="24">
        <v>46121</v>
      </c>
      <c r="B249" s="23">
        <f t="shared" si="27"/>
        <v>46113</v>
      </c>
      <c r="C249" s="2" t="s">
        <v>66</v>
      </c>
      <c r="D249" s="2" t="s">
        <v>1540</v>
      </c>
      <c r="E249" s="2">
        <v>1767</v>
      </c>
      <c r="F249" s="2">
        <v>995</v>
      </c>
      <c r="G249" s="2">
        <v>941</v>
      </c>
      <c r="H249" s="2">
        <f t="shared" si="35"/>
        <v>54</v>
      </c>
      <c r="I249" s="2">
        <v>11</v>
      </c>
      <c r="J249" s="2">
        <v>0</v>
      </c>
      <c r="K249" s="2">
        <v>43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/>
      <c r="AJ249" s="2" t="s">
        <v>110</v>
      </c>
      <c r="AK249" s="2">
        <f t="shared" si="28"/>
        <v>11</v>
      </c>
      <c r="AL249" s="2">
        <f t="shared" si="29"/>
        <v>43</v>
      </c>
      <c r="AM249" s="2">
        <f t="shared" si="30"/>
        <v>0</v>
      </c>
      <c r="AN249" s="2">
        <f t="shared" si="31"/>
        <v>0</v>
      </c>
      <c r="AO249" s="2">
        <f t="shared" si="32"/>
        <v>0</v>
      </c>
      <c r="AP249" s="2">
        <f t="shared" si="33"/>
        <v>0</v>
      </c>
      <c r="AQ249" s="25">
        <f t="shared" si="34"/>
        <v>0</v>
      </c>
    </row>
    <row r="250" spans="1:43">
      <c r="A250" s="24">
        <v>46121</v>
      </c>
      <c r="B250" s="23">
        <f t="shared" si="27"/>
        <v>46113</v>
      </c>
      <c r="C250" s="2" t="s">
        <v>97</v>
      </c>
      <c r="D250" s="2" t="s">
        <v>1540</v>
      </c>
      <c r="E250" s="2">
        <v>1767</v>
      </c>
      <c r="F250" s="2">
        <v>77</v>
      </c>
      <c r="G250" s="2">
        <v>76</v>
      </c>
      <c r="H250" s="2">
        <f t="shared" si="35"/>
        <v>1</v>
      </c>
      <c r="I250" s="2">
        <v>0</v>
      </c>
      <c r="J250" s="2">
        <v>0</v>
      </c>
      <c r="K250" s="2">
        <v>1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/>
      <c r="AJ250" s="2" t="s">
        <v>110</v>
      </c>
      <c r="AK250" s="2">
        <f t="shared" si="28"/>
        <v>0</v>
      </c>
      <c r="AL250" s="2">
        <f t="shared" si="29"/>
        <v>1</v>
      </c>
      <c r="AM250" s="2">
        <f t="shared" si="30"/>
        <v>0</v>
      </c>
      <c r="AN250" s="2">
        <f t="shared" si="31"/>
        <v>0</v>
      </c>
      <c r="AO250" s="2">
        <f t="shared" si="32"/>
        <v>0</v>
      </c>
      <c r="AP250" s="2">
        <f t="shared" si="33"/>
        <v>0</v>
      </c>
      <c r="AQ250" s="25">
        <f t="shared" si="34"/>
        <v>0</v>
      </c>
    </row>
    <row r="251" spans="1:43">
      <c r="A251" s="24">
        <v>46121</v>
      </c>
      <c r="B251" s="23">
        <f t="shared" si="27"/>
        <v>46113</v>
      </c>
      <c r="C251" s="2" t="s">
        <v>55</v>
      </c>
      <c r="D251" s="2" t="s">
        <v>521</v>
      </c>
      <c r="E251" s="2">
        <v>2590</v>
      </c>
      <c r="F251" s="2">
        <v>184</v>
      </c>
      <c r="G251" s="2">
        <v>178</v>
      </c>
      <c r="H251" s="2">
        <f t="shared" si="35"/>
        <v>6</v>
      </c>
      <c r="I251" s="2">
        <v>5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/>
      <c r="AJ251" s="2" t="s">
        <v>1566</v>
      </c>
      <c r="AK251" s="2">
        <f t="shared" si="28"/>
        <v>5</v>
      </c>
      <c r="AL251" s="2">
        <f t="shared" si="29"/>
        <v>1</v>
      </c>
      <c r="AM251" s="2">
        <f t="shared" si="30"/>
        <v>0</v>
      </c>
      <c r="AN251" s="2">
        <f t="shared" si="31"/>
        <v>0</v>
      </c>
      <c r="AO251" s="2">
        <f t="shared" si="32"/>
        <v>0</v>
      </c>
      <c r="AP251" s="2">
        <f t="shared" si="33"/>
        <v>0</v>
      </c>
      <c r="AQ251" s="25">
        <f t="shared" si="34"/>
        <v>0</v>
      </c>
    </row>
    <row r="252" spans="1:43">
      <c r="A252" s="24">
        <v>46121</v>
      </c>
      <c r="B252" s="23">
        <f t="shared" si="27"/>
        <v>46113</v>
      </c>
      <c r="C252" s="2" t="s">
        <v>62</v>
      </c>
      <c r="D252" s="2" t="s">
        <v>527</v>
      </c>
      <c r="E252" s="2">
        <v>2622</v>
      </c>
      <c r="F252" s="2">
        <v>319</v>
      </c>
      <c r="G252" s="2">
        <v>302</v>
      </c>
      <c r="H252" s="2">
        <f t="shared" si="35"/>
        <v>17</v>
      </c>
      <c r="I252" s="2">
        <v>2</v>
      </c>
      <c r="J252" s="2">
        <v>0</v>
      </c>
      <c r="K252" s="2">
        <v>10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1</v>
      </c>
      <c r="R252" s="2">
        <v>4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/>
      <c r="AJ252" s="2" t="s">
        <v>1566</v>
      </c>
      <c r="AK252" s="2">
        <f t="shared" si="28"/>
        <v>2</v>
      </c>
      <c r="AL252" s="2">
        <f t="shared" si="29"/>
        <v>15</v>
      </c>
      <c r="AM252" s="2">
        <f t="shared" si="30"/>
        <v>0</v>
      </c>
      <c r="AN252" s="2">
        <f t="shared" si="31"/>
        <v>0</v>
      </c>
      <c r="AO252" s="2">
        <f t="shared" si="32"/>
        <v>0</v>
      </c>
      <c r="AP252" s="2">
        <f t="shared" si="33"/>
        <v>0</v>
      </c>
      <c r="AQ252" s="25">
        <f t="shared" si="34"/>
        <v>0</v>
      </c>
    </row>
    <row r="253" spans="1:43">
      <c r="A253" s="24">
        <v>46121</v>
      </c>
      <c r="B253" s="23">
        <f t="shared" si="27"/>
        <v>46113</v>
      </c>
      <c r="C253" s="2" t="s">
        <v>133</v>
      </c>
      <c r="D253" s="2" t="s">
        <v>427</v>
      </c>
      <c r="E253" s="2">
        <v>95154</v>
      </c>
      <c r="F253" s="2">
        <v>160</v>
      </c>
      <c r="G253" s="2">
        <v>137</v>
      </c>
      <c r="H253" s="2">
        <f t="shared" si="35"/>
        <v>23</v>
      </c>
      <c r="I253" s="2">
        <v>23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/>
      <c r="AJ253" s="2" t="s">
        <v>1566</v>
      </c>
      <c r="AK253" s="2">
        <f t="shared" si="28"/>
        <v>23</v>
      </c>
      <c r="AL253" s="2">
        <f t="shared" si="29"/>
        <v>0</v>
      </c>
      <c r="AM253" s="2">
        <f t="shared" si="30"/>
        <v>0</v>
      </c>
      <c r="AN253" s="2">
        <f t="shared" si="31"/>
        <v>0</v>
      </c>
      <c r="AO253" s="2">
        <f t="shared" si="32"/>
        <v>0</v>
      </c>
      <c r="AP253" s="2">
        <f t="shared" si="33"/>
        <v>0</v>
      </c>
      <c r="AQ253" s="25">
        <f t="shared" si="34"/>
        <v>0</v>
      </c>
    </row>
    <row r="254" spans="1:43">
      <c r="A254" s="24">
        <v>46121</v>
      </c>
      <c r="B254" s="23">
        <f t="shared" si="27"/>
        <v>46113</v>
      </c>
      <c r="C254" s="2" t="s">
        <v>133</v>
      </c>
      <c r="D254" s="2" t="s">
        <v>470</v>
      </c>
      <c r="E254" s="2">
        <v>95156</v>
      </c>
      <c r="F254" s="2">
        <v>508</v>
      </c>
      <c r="G254" s="2">
        <v>487</v>
      </c>
      <c r="H254" s="2">
        <f t="shared" si="35"/>
        <v>21</v>
      </c>
      <c r="I254" s="2">
        <v>12</v>
      </c>
      <c r="J254" s="2">
        <v>0</v>
      </c>
      <c r="K254" s="2">
        <v>8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1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/>
      <c r="AJ254" s="2" t="s">
        <v>1566</v>
      </c>
      <c r="AK254" s="2">
        <f t="shared" si="28"/>
        <v>12</v>
      </c>
      <c r="AL254" s="2">
        <f t="shared" si="29"/>
        <v>9</v>
      </c>
      <c r="AM254" s="2">
        <f t="shared" si="30"/>
        <v>0</v>
      </c>
      <c r="AN254" s="2">
        <f t="shared" si="31"/>
        <v>0</v>
      </c>
      <c r="AO254" s="2">
        <f t="shared" si="32"/>
        <v>0</v>
      </c>
      <c r="AP254" s="2">
        <f t="shared" si="33"/>
        <v>0</v>
      </c>
      <c r="AQ254" s="25">
        <f t="shared" si="34"/>
        <v>0</v>
      </c>
    </row>
    <row r="255" spans="1:43">
      <c r="A255" s="24">
        <v>46121</v>
      </c>
      <c r="B255" s="23">
        <f t="shared" si="27"/>
        <v>46113</v>
      </c>
      <c r="C255" s="2" t="s">
        <v>95</v>
      </c>
      <c r="D255" s="2" t="s">
        <v>490</v>
      </c>
      <c r="E255" s="2">
        <v>1698</v>
      </c>
      <c r="F255" s="2">
        <v>97</v>
      </c>
      <c r="G255" s="2">
        <v>95</v>
      </c>
      <c r="H255" s="2">
        <f t="shared" si="35"/>
        <v>2</v>
      </c>
      <c r="I255" s="2">
        <v>2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/>
      <c r="AJ255" s="2" t="s">
        <v>1567</v>
      </c>
      <c r="AK255" s="2">
        <f t="shared" si="28"/>
        <v>2</v>
      </c>
      <c r="AL255" s="2">
        <f t="shared" si="29"/>
        <v>0</v>
      </c>
      <c r="AM255" s="2">
        <f t="shared" si="30"/>
        <v>0</v>
      </c>
      <c r="AN255" s="2">
        <f t="shared" si="31"/>
        <v>0</v>
      </c>
      <c r="AO255" s="2">
        <f t="shared" si="32"/>
        <v>0</v>
      </c>
      <c r="AP255" s="2">
        <f t="shared" si="33"/>
        <v>0</v>
      </c>
      <c r="AQ255" s="25">
        <f t="shared" si="34"/>
        <v>0</v>
      </c>
    </row>
    <row r="256" spans="1:43">
      <c r="A256" s="24">
        <v>46121</v>
      </c>
      <c r="B256" s="23">
        <f t="shared" si="27"/>
        <v>46113</v>
      </c>
      <c r="C256" s="2" t="s">
        <v>46</v>
      </c>
      <c r="D256" s="2" t="s">
        <v>432</v>
      </c>
      <c r="E256" s="2">
        <v>2565</v>
      </c>
      <c r="F256" s="2">
        <v>326</v>
      </c>
      <c r="G256" s="2">
        <v>319</v>
      </c>
      <c r="H256" s="2">
        <f t="shared" si="35"/>
        <v>7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7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/>
      <c r="AJ256" s="2" t="s">
        <v>1567</v>
      </c>
      <c r="AK256" s="2">
        <f t="shared" si="28"/>
        <v>0</v>
      </c>
      <c r="AL256" s="2">
        <f t="shared" si="29"/>
        <v>0</v>
      </c>
      <c r="AM256" s="2">
        <f t="shared" si="30"/>
        <v>7</v>
      </c>
      <c r="AN256" s="2">
        <f t="shared" si="31"/>
        <v>0</v>
      </c>
      <c r="AO256" s="2">
        <f t="shared" si="32"/>
        <v>0</v>
      </c>
      <c r="AP256" s="2">
        <f t="shared" si="33"/>
        <v>0</v>
      </c>
      <c r="AQ256" s="25">
        <f t="shared" si="34"/>
        <v>0</v>
      </c>
    </row>
    <row r="257" spans="1:43">
      <c r="A257" s="24">
        <v>46121</v>
      </c>
      <c r="B257" s="23">
        <f t="shared" si="27"/>
        <v>46113</v>
      </c>
      <c r="C257" s="2" t="s">
        <v>95</v>
      </c>
      <c r="D257" s="2" t="s">
        <v>541</v>
      </c>
      <c r="E257" s="2">
        <v>2579</v>
      </c>
      <c r="F257" s="2">
        <v>126</v>
      </c>
      <c r="G257" s="2">
        <v>126</v>
      </c>
      <c r="H257" s="2">
        <f t="shared" si="35"/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/>
      <c r="AJ257" s="2" t="s">
        <v>1567</v>
      </c>
      <c r="AK257" s="2">
        <f t="shared" si="28"/>
        <v>0</v>
      </c>
      <c r="AL257" s="2">
        <f t="shared" si="29"/>
        <v>0</v>
      </c>
      <c r="AM257" s="2">
        <f t="shared" si="30"/>
        <v>0</v>
      </c>
      <c r="AN257" s="2">
        <f t="shared" si="31"/>
        <v>0</v>
      </c>
      <c r="AO257" s="2">
        <f t="shared" si="32"/>
        <v>0</v>
      </c>
      <c r="AP257" s="2">
        <f t="shared" si="33"/>
        <v>0</v>
      </c>
      <c r="AQ257" s="25">
        <f t="shared" si="34"/>
        <v>0</v>
      </c>
    </row>
    <row r="258" spans="1:43">
      <c r="A258" s="24">
        <v>46121</v>
      </c>
      <c r="B258" s="23">
        <f t="shared" ref="B258:B321" si="36">EOMONTH(A258,-1)+1</f>
        <v>46113</v>
      </c>
      <c r="C258" s="2" t="s">
        <v>95</v>
      </c>
      <c r="D258" s="2" t="s">
        <v>567</v>
      </c>
      <c r="E258" s="2">
        <v>2579</v>
      </c>
      <c r="F258" s="2">
        <v>45</v>
      </c>
      <c r="G258" s="2">
        <v>45</v>
      </c>
      <c r="H258" s="2">
        <f t="shared" si="35"/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/>
      <c r="AJ258" s="2" t="s">
        <v>1567</v>
      </c>
      <c r="AK258" s="2">
        <f t="shared" ref="AK258:AK321" si="37">+I258+AF258</f>
        <v>0</v>
      </c>
      <c r="AL258" s="2">
        <f t="shared" ref="AL258:AL321" si="38">+J258+K258+O258+N258+P258+R258+S258+Q258+M258+L258</f>
        <v>0</v>
      </c>
      <c r="AM258" s="2">
        <f t="shared" ref="AM258:AM321" si="39">+AB258+AC258</f>
        <v>0</v>
      </c>
      <c r="AN258" s="2">
        <f t="shared" ref="AN258:AN321" si="40">+AH258+AG258+AA258+Z258</f>
        <v>0</v>
      </c>
      <c r="AO258" s="2">
        <f t="shared" ref="AO258:AO321" si="41">+X258+W258+V258+U258+T258+Y258</f>
        <v>0</v>
      </c>
      <c r="AP258" s="2">
        <f t="shared" ref="AP258:AP321" si="42">+AD258</f>
        <v>0</v>
      </c>
      <c r="AQ258" s="25">
        <f t="shared" ref="AQ258:AQ321" si="43">+AE258</f>
        <v>0</v>
      </c>
    </row>
    <row r="259" spans="1:43">
      <c r="A259" s="24">
        <v>46121</v>
      </c>
      <c r="B259" s="23">
        <f t="shared" si="36"/>
        <v>46113</v>
      </c>
      <c r="C259" s="2" t="s">
        <v>95</v>
      </c>
      <c r="D259" s="2" t="s">
        <v>557</v>
      </c>
      <c r="E259" s="2">
        <v>2604</v>
      </c>
      <c r="F259" s="2">
        <v>52</v>
      </c>
      <c r="G259" s="2">
        <v>52</v>
      </c>
      <c r="H259" s="2">
        <f t="shared" ref="H259:H322" si="44">F259-G259</f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/>
      <c r="AJ259" s="2" t="s">
        <v>1567</v>
      </c>
      <c r="AK259" s="2">
        <f t="shared" si="37"/>
        <v>0</v>
      </c>
      <c r="AL259" s="2">
        <f t="shared" si="38"/>
        <v>0</v>
      </c>
      <c r="AM259" s="2">
        <f t="shared" si="39"/>
        <v>0</v>
      </c>
      <c r="AN259" s="2">
        <f t="shared" si="40"/>
        <v>0</v>
      </c>
      <c r="AO259" s="2">
        <f t="shared" si="41"/>
        <v>0</v>
      </c>
      <c r="AP259" s="2">
        <f t="shared" si="42"/>
        <v>0</v>
      </c>
      <c r="AQ259" s="25">
        <f t="shared" si="43"/>
        <v>0</v>
      </c>
    </row>
    <row r="260" spans="1:43">
      <c r="A260" s="24">
        <v>46121</v>
      </c>
      <c r="B260" s="23">
        <f t="shared" si="36"/>
        <v>46113</v>
      </c>
      <c r="C260" s="2" t="s">
        <v>95</v>
      </c>
      <c r="D260" s="2" t="s">
        <v>454</v>
      </c>
      <c r="E260" s="2">
        <v>2727</v>
      </c>
      <c r="F260" s="2">
        <v>142</v>
      </c>
      <c r="G260" s="2">
        <v>140</v>
      </c>
      <c r="H260" s="2">
        <f t="shared" si="44"/>
        <v>2</v>
      </c>
      <c r="I260" s="2">
        <v>2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/>
      <c r="AJ260" s="2" t="s">
        <v>1567</v>
      </c>
      <c r="AK260" s="2">
        <f t="shared" si="37"/>
        <v>2</v>
      </c>
      <c r="AL260" s="2">
        <f t="shared" si="38"/>
        <v>0</v>
      </c>
      <c r="AM260" s="2">
        <f t="shared" si="39"/>
        <v>0</v>
      </c>
      <c r="AN260" s="2">
        <f t="shared" si="40"/>
        <v>0</v>
      </c>
      <c r="AO260" s="2">
        <f t="shared" si="41"/>
        <v>0</v>
      </c>
      <c r="AP260" s="2">
        <f t="shared" si="42"/>
        <v>0</v>
      </c>
      <c r="AQ260" s="25">
        <f t="shared" si="43"/>
        <v>0</v>
      </c>
    </row>
    <row r="261" spans="1:43">
      <c r="A261" s="24">
        <v>46121</v>
      </c>
      <c r="B261" s="23">
        <f t="shared" si="36"/>
        <v>46113</v>
      </c>
      <c r="C261" s="2" t="s">
        <v>95</v>
      </c>
      <c r="D261" s="2" t="s">
        <v>542</v>
      </c>
      <c r="E261" s="2">
        <v>2596</v>
      </c>
      <c r="F261" s="2">
        <v>30</v>
      </c>
      <c r="G261" s="2">
        <v>30</v>
      </c>
      <c r="H261" s="2">
        <f t="shared" si="44"/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/>
      <c r="AJ261" s="2" t="s">
        <v>1567</v>
      </c>
      <c r="AK261" s="2">
        <f t="shared" si="37"/>
        <v>0</v>
      </c>
      <c r="AL261" s="2">
        <f t="shared" si="38"/>
        <v>0</v>
      </c>
      <c r="AM261" s="2">
        <f t="shared" si="39"/>
        <v>0</v>
      </c>
      <c r="AN261" s="2">
        <f t="shared" si="40"/>
        <v>0</v>
      </c>
      <c r="AO261" s="2">
        <f t="shared" si="41"/>
        <v>0</v>
      </c>
      <c r="AP261" s="2">
        <f t="shared" si="42"/>
        <v>0</v>
      </c>
      <c r="AQ261" s="25">
        <f t="shared" si="43"/>
        <v>0</v>
      </c>
    </row>
    <row r="262" spans="1:43">
      <c r="A262" s="24">
        <v>46121</v>
      </c>
      <c r="B262" s="23">
        <f t="shared" si="36"/>
        <v>46113</v>
      </c>
      <c r="C262" s="2" t="s">
        <v>95</v>
      </c>
      <c r="D262" s="2" t="s">
        <v>1540</v>
      </c>
      <c r="E262" s="2">
        <v>1767</v>
      </c>
      <c r="F262" s="2">
        <v>440</v>
      </c>
      <c r="G262" s="2">
        <v>438</v>
      </c>
      <c r="H262" s="2">
        <f t="shared" si="44"/>
        <v>2</v>
      </c>
      <c r="I262" s="2">
        <v>2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/>
      <c r="AJ262" s="2" t="s">
        <v>1567</v>
      </c>
      <c r="AK262" s="2">
        <f t="shared" si="37"/>
        <v>2</v>
      </c>
      <c r="AL262" s="2">
        <f t="shared" si="38"/>
        <v>0</v>
      </c>
      <c r="AM262" s="2">
        <f t="shared" si="39"/>
        <v>0</v>
      </c>
      <c r="AN262" s="2">
        <f t="shared" si="40"/>
        <v>0</v>
      </c>
      <c r="AO262" s="2">
        <f t="shared" si="41"/>
        <v>0</v>
      </c>
      <c r="AP262" s="2">
        <f t="shared" si="42"/>
        <v>0</v>
      </c>
      <c r="AQ262" s="25">
        <f t="shared" si="43"/>
        <v>0</v>
      </c>
    </row>
    <row r="263" spans="1:43">
      <c r="A263" s="24">
        <v>46121</v>
      </c>
      <c r="B263" s="23">
        <f t="shared" si="36"/>
        <v>46113</v>
      </c>
      <c r="C263" s="2" t="s">
        <v>46</v>
      </c>
      <c r="D263" s="2" t="s">
        <v>512</v>
      </c>
      <c r="E263" s="2">
        <v>1845</v>
      </c>
      <c r="F263" s="2">
        <v>3</v>
      </c>
      <c r="G263" s="2">
        <v>3</v>
      </c>
      <c r="H263" s="2">
        <f t="shared" si="44"/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/>
      <c r="AJ263" s="2" t="s">
        <v>1567</v>
      </c>
      <c r="AK263" s="2">
        <f t="shared" si="37"/>
        <v>0</v>
      </c>
      <c r="AL263" s="2">
        <f t="shared" si="38"/>
        <v>0</v>
      </c>
      <c r="AM263" s="2">
        <f t="shared" si="39"/>
        <v>0</v>
      </c>
      <c r="AN263" s="2">
        <f t="shared" si="40"/>
        <v>0</v>
      </c>
      <c r="AO263" s="2">
        <f t="shared" si="41"/>
        <v>0</v>
      </c>
      <c r="AP263" s="2">
        <f t="shared" si="42"/>
        <v>0</v>
      </c>
      <c r="AQ263" s="25">
        <f t="shared" si="43"/>
        <v>0</v>
      </c>
    </row>
    <row r="264" spans="1:43">
      <c r="A264" s="24">
        <v>46121</v>
      </c>
      <c r="B264" s="23">
        <f t="shared" si="36"/>
        <v>46113</v>
      </c>
      <c r="C264" s="2" t="s">
        <v>160</v>
      </c>
      <c r="D264" s="2" t="s">
        <v>439</v>
      </c>
      <c r="E264" s="2">
        <v>1733</v>
      </c>
      <c r="F264" s="2">
        <v>157</v>
      </c>
      <c r="G264" s="2">
        <v>139</v>
      </c>
      <c r="H264" s="2">
        <f t="shared" si="44"/>
        <v>18</v>
      </c>
      <c r="I264" s="2">
        <v>7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4</v>
      </c>
      <c r="R264" s="2">
        <v>1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6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/>
      <c r="AJ264" s="2" t="s">
        <v>93</v>
      </c>
      <c r="AK264" s="2">
        <f t="shared" si="37"/>
        <v>7</v>
      </c>
      <c r="AL264" s="2">
        <f t="shared" si="38"/>
        <v>5</v>
      </c>
      <c r="AM264" s="2">
        <f t="shared" si="39"/>
        <v>0</v>
      </c>
      <c r="AN264" s="2">
        <f t="shared" si="40"/>
        <v>0</v>
      </c>
      <c r="AO264" s="2">
        <f t="shared" si="41"/>
        <v>6</v>
      </c>
      <c r="AP264" s="2">
        <f t="shared" si="42"/>
        <v>0</v>
      </c>
      <c r="AQ264" s="25">
        <f t="shared" si="43"/>
        <v>0</v>
      </c>
    </row>
    <row r="265" spans="1:43">
      <c r="A265" s="24">
        <v>46121</v>
      </c>
      <c r="B265" s="23">
        <f t="shared" si="36"/>
        <v>46113</v>
      </c>
      <c r="C265" s="2" t="s">
        <v>160</v>
      </c>
      <c r="D265" s="2" t="s">
        <v>448</v>
      </c>
      <c r="E265" s="2">
        <v>3318</v>
      </c>
      <c r="F265" s="2">
        <v>86</v>
      </c>
      <c r="G265" s="2">
        <v>86</v>
      </c>
      <c r="H265" s="2">
        <f t="shared" si="44"/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/>
      <c r="AJ265" s="2" t="s">
        <v>93</v>
      </c>
      <c r="AK265" s="2">
        <f t="shared" si="37"/>
        <v>0</v>
      </c>
      <c r="AL265" s="2">
        <f t="shared" si="38"/>
        <v>0</v>
      </c>
      <c r="AM265" s="2">
        <f t="shared" si="39"/>
        <v>0</v>
      </c>
      <c r="AN265" s="2">
        <f t="shared" si="40"/>
        <v>0</v>
      </c>
      <c r="AO265" s="2">
        <f t="shared" si="41"/>
        <v>0</v>
      </c>
      <c r="AP265" s="2">
        <f t="shared" si="42"/>
        <v>0</v>
      </c>
      <c r="AQ265" s="25">
        <f t="shared" si="43"/>
        <v>0</v>
      </c>
    </row>
    <row r="266" spans="1:43">
      <c r="A266" s="24">
        <v>46121</v>
      </c>
      <c r="B266" s="23">
        <f t="shared" si="36"/>
        <v>46113</v>
      </c>
      <c r="C266" s="2" t="s">
        <v>160</v>
      </c>
      <c r="D266" s="2" t="s">
        <v>449</v>
      </c>
      <c r="E266" s="2">
        <v>3318</v>
      </c>
      <c r="F266" s="2">
        <v>78</v>
      </c>
      <c r="G266" s="2">
        <v>71</v>
      </c>
      <c r="H266" s="2">
        <f t="shared" si="44"/>
        <v>7</v>
      </c>
      <c r="I266" s="2">
        <v>4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/>
      <c r="AJ266" s="2" t="s">
        <v>93</v>
      </c>
      <c r="AK266" s="2">
        <f t="shared" si="37"/>
        <v>4</v>
      </c>
      <c r="AL266" s="2">
        <f t="shared" si="38"/>
        <v>3</v>
      </c>
      <c r="AM266" s="2">
        <f t="shared" si="39"/>
        <v>0</v>
      </c>
      <c r="AN266" s="2">
        <f t="shared" si="40"/>
        <v>0</v>
      </c>
      <c r="AO266" s="2">
        <f t="shared" si="41"/>
        <v>0</v>
      </c>
      <c r="AP266" s="2">
        <f t="shared" si="42"/>
        <v>0</v>
      </c>
      <c r="AQ266" s="25">
        <f t="shared" si="43"/>
        <v>0</v>
      </c>
    </row>
    <row r="267" spans="1:43">
      <c r="A267" s="24">
        <v>46121</v>
      </c>
      <c r="B267" s="23">
        <f t="shared" si="36"/>
        <v>46113</v>
      </c>
      <c r="C267" s="2" t="s">
        <v>82</v>
      </c>
      <c r="D267" s="2" t="s">
        <v>469</v>
      </c>
      <c r="E267" s="2">
        <v>2606</v>
      </c>
      <c r="F267" s="2">
        <v>51</v>
      </c>
      <c r="G267" s="2">
        <v>51</v>
      </c>
      <c r="H267" s="2">
        <f t="shared" si="44"/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/>
      <c r="AJ267" s="2" t="s">
        <v>93</v>
      </c>
      <c r="AK267" s="2">
        <f t="shared" si="37"/>
        <v>0</v>
      </c>
      <c r="AL267" s="2">
        <f t="shared" si="38"/>
        <v>0</v>
      </c>
      <c r="AM267" s="2">
        <f t="shared" si="39"/>
        <v>0</v>
      </c>
      <c r="AN267" s="2">
        <f t="shared" si="40"/>
        <v>0</v>
      </c>
      <c r="AO267" s="2">
        <f t="shared" si="41"/>
        <v>0</v>
      </c>
      <c r="AP267" s="2">
        <f t="shared" si="42"/>
        <v>0</v>
      </c>
      <c r="AQ267" s="25">
        <f t="shared" si="43"/>
        <v>0</v>
      </c>
    </row>
    <row r="268" spans="1:43">
      <c r="A268" s="24">
        <v>46121</v>
      </c>
      <c r="B268" s="23">
        <f t="shared" si="36"/>
        <v>46113</v>
      </c>
      <c r="C268" s="2" t="s">
        <v>82</v>
      </c>
      <c r="D268" s="2" t="s">
        <v>560</v>
      </c>
      <c r="E268" s="2">
        <v>2606</v>
      </c>
      <c r="F268" s="2">
        <v>47</v>
      </c>
      <c r="G268" s="2">
        <v>47</v>
      </c>
      <c r="H268" s="2">
        <f t="shared" si="44"/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/>
      <c r="AJ268" s="2" t="s">
        <v>93</v>
      </c>
      <c r="AK268" s="2">
        <f t="shared" si="37"/>
        <v>0</v>
      </c>
      <c r="AL268" s="2">
        <f t="shared" si="38"/>
        <v>0</v>
      </c>
      <c r="AM268" s="2">
        <f t="shared" si="39"/>
        <v>0</v>
      </c>
      <c r="AN268" s="2">
        <f t="shared" si="40"/>
        <v>0</v>
      </c>
      <c r="AO268" s="2">
        <f t="shared" si="41"/>
        <v>0</v>
      </c>
      <c r="AP268" s="2">
        <f t="shared" si="42"/>
        <v>0</v>
      </c>
      <c r="AQ268" s="25">
        <f t="shared" si="43"/>
        <v>0</v>
      </c>
    </row>
    <row r="269" spans="1:43">
      <c r="A269" s="24">
        <v>46121</v>
      </c>
      <c r="B269" s="23">
        <f t="shared" si="36"/>
        <v>46113</v>
      </c>
      <c r="C269" s="2" t="s">
        <v>82</v>
      </c>
      <c r="D269" s="2" t="s">
        <v>560</v>
      </c>
      <c r="E269" s="2">
        <v>2606</v>
      </c>
      <c r="F269" s="2">
        <v>20</v>
      </c>
      <c r="G269" s="2">
        <v>20</v>
      </c>
      <c r="H269" s="2">
        <f t="shared" si="44"/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/>
      <c r="AJ269" s="2" t="s">
        <v>93</v>
      </c>
      <c r="AK269" s="2">
        <f t="shared" si="37"/>
        <v>0</v>
      </c>
      <c r="AL269" s="2">
        <f t="shared" si="38"/>
        <v>0</v>
      </c>
      <c r="AM269" s="2">
        <f t="shared" si="39"/>
        <v>0</v>
      </c>
      <c r="AN269" s="2">
        <f t="shared" si="40"/>
        <v>0</v>
      </c>
      <c r="AO269" s="2">
        <f t="shared" si="41"/>
        <v>0</v>
      </c>
      <c r="AP269" s="2">
        <f t="shared" si="42"/>
        <v>0</v>
      </c>
      <c r="AQ269" s="25">
        <f t="shared" si="43"/>
        <v>0</v>
      </c>
    </row>
    <row r="270" spans="1:43">
      <c r="A270" s="24">
        <v>46121</v>
      </c>
      <c r="B270" s="23">
        <f t="shared" si="36"/>
        <v>46113</v>
      </c>
      <c r="C270" s="2" t="s">
        <v>82</v>
      </c>
      <c r="D270" s="2" t="s">
        <v>478</v>
      </c>
      <c r="E270" s="2">
        <v>2608</v>
      </c>
      <c r="F270" s="2">
        <v>110</v>
      </c>
      <c r="G270" s="2">
        <v>110</v>
      </c>
      <c r="H270" s="2">
        <f t="shared" si="44"/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/>
      <c r="AJ270" s="2" t="s">
        <v>93</v>
      </c>
      <c r="AK270" s="2">
        <f t="shared" si="37"/>
        <v>0</v>
      </c>
      <c r="AL270" s="2">
        <f t="shared" si="38"/>
        <v>0</v>
      </c>
      <c r="AM270" s="2">
        <f t="shared" si="39"/>
        <v>0</v>
      </c>
      <c r="AN270" s="2">
        <f t="shared" si="40"/>
        <v>0</v>
      </c>
      <c r="AO270" s="2">
        <f t="shared" si="41"/>
        <v>0</v>
      </c>
      <c r="AP270" s="2">
        <f t="shared" si="42"/>
        <v>0</v>
      </c>
      <c r="AQ270" s="25">
        <f t="shared" si="43"/>
        <v>0</v>
      </c>
    </row>
    <row r="271" spans="1:43">
      <c r="A271" s="24">
        <v>46121</v>
      </c>
      <c r="B271" s="23">
        <f t="shared" si="36"/>
        <v>46113</v>
      </c>
      <c r="C271" s="2" t="s">
        <v>82</v>
      </c>
      <c r="D271" s="2" t="s">
        <v>532</v>
      </c>
      <c r="E271" s="2">
        <v>2606</v>
      </c>
      <c r="F271" s="2">
        <v>93</v>
      </c>
      <c r="G271" s="2">
        <v>92</v>
      </c>
      <c r="H271" s="2">
        <f t="shared" si="44"/>
        <v>1</v>
      </c>
      <c r="I271" s="2">
        <v>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/>
      <c r="AJ271" s="2" t="s">
        <v>93</v>
      </c>
      <c r="AK271" s="2">
        <f t="shared" si="37"/>
        <v>1</v>
      </c>
      <c r="AL271" s="2">
        <f t="shared" si="38"/>
        <v>0</v>
      </c>
      <c r="AM271" s="2">
        <f t="shared" si="39"/>
        <v>0</v>
      </c>
      <c r="AN271" s="2">
        <f t="shared" si="40"/>
        <v>0</v>
      </c>
      <c r="AO271" s="2">
        <f t="shared" si="41"/>
        <v>0</v>
      </c>
      <c r="AP271" s="2">
        <f t="shared" si="42"/>
        <v>0</v>
      </c>
      <c r="AQ271" s="25">
        <f t="shared" si="43"/>
        <v>0</v>
      </c>
    </row>
    <row r="272" spans="1:43">
      <c r="A272" s="24">
        <v>46121</v>
      </c>
      <c r="B272" s="23">
        <f t="shared" si="36"/>
        <v>46113</v>
      </c>
      <c r="C272" s="2" t="s">
        <v>160</v>
      </c>
      <c r="D272" s="2" t="s">
        <v>449</v>
      </c>
      <c r="E272" s="2">
        <v>3318</v>
      </c>
      <c r="F272" s="2">
        <v>10</v>
      </c>
      <c r="G272" s="2">
        <v>10</v>
      </c>
      <c r="H272" s="2">
        <f t="shared" si="44"/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/>
      <c r="AJ272" s="2" t="s">
        <v>93</v>
      </c>
      <c r="AK272" s="2">
        <f t="shared" si="37"/>
        <v>0</v>
      </c>
      <c r="AL272" s="2">
        <f t="shared" si="38"/>
        <v>0</v>
      </c>
      <c r="AM272" s="2">
        <f t="shared" si="39"/>
        <v>0</v>
      </c>
      <c r="AN272" s="2">
        <f t="shared" si="40"/>
        <v>0</v>
      </c>
      <c r="AO272" s="2">
        <f t="shared" si="41"/>
        <v>0</v>
      </c>
      <c r="AP272" s="2">
        <f t="shared" si="42"/>
        <v>0</v>
      </c>
      <c r="AQ272" s="25">
        <f t="shared" si="43"/>
        <v>0</v>
      </c>
    </row>
    <row r="273" spans="1:43">
      <c r="A273" s="24">
        <v>46121</v>
      </c>
      <c r="B273" s="23">
        <f t="shared" si="36"/>
        <v>46113</v>
      </c>
      <c r="C273" s="2" t="s">
        <v>160</v>
      </c>
      <c r="D273" s="2" t="s">
        <v>448</v>
      </c>
      <c r="E273" s="2">
        <v>3318</v>
      </c>
      <c r="F273" s="2">
        <v>10</v>
      </c>
      <c r="G273" s="2">
        <v>10</v>
      </c>
      <c r="H273" s="2">
        <f t="shared" si="44"/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/>
      <c r="AJ273" s="2" t="s">
        <v>93</v>
      </c>
      <c r="AK273" s="2">
        <f t="shared" si="37"/>
        <v>0</v>
      </c>
      <c r="AL273" s="2">
        <f t="shared" si="38"/>
        <v>0</v>
      </c>
      <c r="AM273" s="2">
        <f t="shared" si="39"/>
        <v>0</v>
      </c>
      <c r="AN273" s="2">
        <f t="shared" si="40"/>
        <v>0</v>
      </c>
      <c r="AO273" s="2">
        <f t="shared" si="41"/>
        <v>0</v>
      </c>
      <c r="AP273" s="2">
        <f t="shared" si="42"/>
        <v>0</v>
      </c>
      <c r="AQ273" s="25">
        <f t="shared" si="43"/>
        <v>0</v>
      </c>
    </row>
    <row r="274" spans="1:43">
      <c r="A274" s="24">
        <v>46121</v>
      </c>
      <c r="B274" s="23">
        <f t="shared" si="36"/>
        <v>46113</v>
      </c>
      <c r="C274" s="2" t="s">
        <v>97</v>
      </c>
      <c r="D274" s="2" t="s">
        <v>543</v>
      </c>
      <c r="E274" s="2">
        <v>1884</v>
      </c>
      <c r="F274" s="2">
        <v>195</v>
      </c>
      <c r="G274" s="2">
        <v>194</v>
      </c>
      <c r="H274" s="2">
        <f t="shared" si="44"/>
        <v>1</v>
      </c>
      <c r="I274" s="2">
        <v>1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/>
      <c r="AJ274" s="2" t="s">
        <v>93</v>
      </c>
      <c r="AK274" s="2">
        <f t="shared" si="37"/>
        <v>1</v>
      </c>
      <c r="AL274" s="2">
        <f t="shared" si="38"/>
        <v>0</v>
      </c>
      <c r="AM274" s="2">
        <f t="shared" si="39"/>
        <v>0</v>
      </c>
      <c r="AN274" s="2">
        <f t="shared" si="40"/>
        <v>0</v>
      </c>
      <c r="AO274" s="2">
        <f t="shared" si="41"/>
        <v>0</v>
      </c>
      <c r="AP274" s="2">
        <f t="shared" si="42"/>
        <v>0</v>
      </c>
      <c r="AQ274" s="25">
        <f t="shared" si="43"/>
        <v>0</v>
      </c>
    </row>
    <row r="275" spans="1:43">
      <c r="A275" s="24">
        <v>46121</v>
      </c>
      <c r="B275" s="23">
        <f t="shared" si="36"/>
        <v>46113</v>
      </c>
      <c r="C275" s="2" t="s">
        <v>160</v>
      </c>
      <c r="D275" s="2" t="s">
        <v>488</v>
      </c>
      <c r="E275" s="2">
        <v>2331</v>
      </c>
      <c r="F275" s="2">
        <v>94</v>
      </c>
      <c r="G275" s="2">
        <v>93</v>
      </c>
      <c r="H275" s="2">
        <f t="shared" si="44"/>
        <v>1</v>
      </c>
      <c r="I275" s="2">
        <v>1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/>
      <c r="AJ275" s="2" t="s">
        <v>93</v>
      </c>
      <c r="AK275" s="2">
        <f t="shared" si="37"/>
        <v>1</v>
      </c>
      <c r="AL275" s="2">
        <f t="shared" si="38"/>
        <v>0</v>
      </c>
      <c r="AM275" s="2">
        <f t="shared" si="39"/>
        <v>0</v>
      </c>
      <c r="AN275" s="2">
        <f t="shared" si="40"/>
        <v>0</v>
      </c>
      <c r="AO275" s="2">
        <f t="shared" si="41"/>
        <v>0</v>
      </c>
      <c r="AP275" s="2">
        <f t="shared" si="42"/>
        <v>0</v>
      </c>
      <c r="AQ275" s="25">
        <f t="shared" si="43"/>
        <v>0</v>
      </c>
    </row>
    <row r="276" spans="1:43">
      <c r="A276" s="24">
        <v>46122</v>
      </c>
      <c r="B276" s="23">
        <f t="shared" si="36"/>
        <v>46113</v>
      </c>
      <c r="C276" s="2" t="s">
        <v>114</v>
      </c>
      <c r="D276" s="2" t="s">
        <v>1540</v>
      </c>
      <c r="E276" s="2">
        <v>1767</v>
      </c>
      <c r="F276" s="2">
        <v>172</v>
      </c>
      <c r="G276" s="2">
        <v>157</v>
      </c>
      <c r="H276" s="2">
        <f t="shared" si="44"/>
        <v>15</v>
      </c>
      <c r="I276" s="2">
        <v>6</v>
      </c>
      <c r="J276" s="2">
        <v>1</v>
      </c>
      <c r="K276" s="2">
        <v>0</v>
      </c>
      <c r="L276" s="2">
        <v>0</v>
      </c>
      <c r="M276" s="2">
        <v>4</v>
      </c>
      <c r="N276" s="2">
        <v>0</v>
      </c>
      <c r="O276" s="2">
        <v>4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/>
      <c r="AJ276" s="2" t="s">
        <v>80</v>
      </c>
      <c r="AK276" s="2">
        <f t="shared" si="37"/>
        <v>6</v>
      </c>
      <c r="AL276" s="2">
        <f t="shared" si="38"/>
        <v>9</v>
      </c>
      <c r="AM276" s="2">
        <f t="shared" si="39"/>
        <v>0</v>
      </c>
      <c r="AN276" s="2">
        <f t="shared" si="40"/>
        <v>0</v>
      </c>
      <c r="AO276" s="2">
        <f t="shared" si="41"/>
        <v>0</v>
      </c>
      <c r="AP276" s="2">
        <f t="shared" si="42"/>
        <v>0</v>
      </c>
      <c r="AQ276" s="25">
        <f t="shared" si="43"/>
        <v>0</v>
      </c>
    </row>
    <row r="277" spans="1:43">
      <c r="A277" s="24">
        <v>46122</v>
      </c>
      <c r="B277" s="23">
        <f t="shared" si="36"/>
        <v>46113</v>
      </c>
      <c r="C277" s="2" t="s">
        <v>82</v>
      </c>
      <c r="D277" s="2" t="s">
        <v>1184</v>
      </c>
      <c r="E277" s="2">
        <v>2621</v>
      </c>
      <c r="F277" s="2">
        <v>250</v>
      </c>
      <c r="G277" s="2">
        <v>229</v>
      </c>
      <c r="H277" s="2">
        <f t="shared" si="44"/>
        <v>21</v>
      </c>
      <c r="I277" s="2">
        <v>7</v>
      </c>
      <c r="J277" s="2">
        <v>0</v>
      </c>
      <c r="K277" s="2">
        <v>3</v>
      </c>
      <c r="L277" s="2">
        <v>0</v>
      </c>
      <c r="M277" s="2">
        <v>10</v>
      </c>
      <c r="N277" s="2">
        <v>0</v>
      </c>
      <c r="O277" s="2">
        <v>1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/>
      <c r="AJ277" s="2" t="s">
        <v>80</v>
      </c>
      <c r="AK277" s="2">
        <f t="shared" si="37"/>
        <v>7</v>
      </c>
      <c r="AL277" s="2">
        <f t="shared" si="38"/>
        <v>14</v>
      </c>
      <c r="AM277" s="2">
        <f t="shared" si="39"/>
        <v>0</v>
      </c>
      <c r="AN277" s="2">
        <f t="shared" si="40"/>
        <v>0</v>
      </c>
      <c r="AO277" s="2">
        <f t="shared" si="41"/>
        <v>0</v>
      </c>
      <c r="AP277" s="2">
        <f t="shared" si="42"/>
        <v>0</v>
      </c>
      <c r="AQ277" s="25">
        <f t="shared" si="43"/>
        <v>0</v>
      </c>
    </row>
    <row r="278" spans="1:43">
      <c r="A278" s="24">
        <v>46122</v>
      </c>
      <c r="B278" s="23">
        <f t="shared" si="36"/>
        <v>46113</v>
      </c>
      <c r="C278" s="2" t="s">
        <v>82</v>
      </c>
      <c r="D278" s="2" t="s">
        <v>1184</v>
      </c>
      <c r="E278" s="2">
        <v>2621</v>
      </c>
      <c r="F278" s="2">
        <v>46</v>
      </c>
      <c r="G278" s="2">
        <v>46</v>
      </c>
      <c r="H278" s="2">
        <f t="shared" si="44"/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/>
      <c r="AJ278" s="2" t="s">
        <v>80</v>
      </c>
      <c r="AK278" s="2">
        <f t="shared" si="37"/>
        <v>0</v>
      </c>
      <c r="AL278" s="2">
        <f t="shared" si="38"/>
        <v>0</v>
      </c>
      <c r="AM278" s="2">
        <f t="shared" si="39"/>
        <v>0</v>
      </c>
      <c r="AN278" s="2">
        <f t="shared" si="40"/>
        <v>0</v>
      </c>
      <c r="AO278" s="2">
        <f t="shared" si="41"/>
        <v>0</v>
      </c>
      <c r="AP278" s="2">
        <f t="shared" si="42"/>
        <v>0</v>
      </c>
      <c r="AQ278" s="25">
        <f t="shared" si="43"/>
        <v>0</v>
      </c>
    </row>
    <row r="279" spans="1:43">
      <c r="A279" s="24">
        <v>46122</v>
      </c>
      <c r="B279" s="23">
        <f t="shared" si="36"/>
        <v>46113</v>
      </c>
      <c r="C279" s="2" t="s">
        <v>63</v>
      </c>
      <c r="D279" s="2" t="s">
        <v>462</v>
      </c>
      <c r="E279" s="2">
        <v>2665</v>
      </c>
      <c r="F279" s="2">
        <v>149</v>
      </c>
      <c r="G279" s="2">
        <v>121</v>
      </c>
      <c r="H279" s="2">
        <f t="shared" si="44"/>
        <v>28</v>
      </c>
      <c r="I279" s="2">
        <v>3</v>
      </c>
      <c r="J279" s="2">
        <v>0</v>
      </c>
      <c r="K279" s="2">
        <v>0</v>
      </c>
      <c r="L279" s="2">
        <v>0</v>
      </c>
      <c r="M279" s="2">
        <v>25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/>
      <c r="AJ279" s="2" t="s">
        <v>80</v>
      </c>
      <c r="AK279" s="2">
        <f t="shared" si="37"/>
        <v>3</v>
      </c>
      <c r="AL279" s="2">
        <f t="shared" si="38"/>
        <v>25</v>
      </c>
      <c r="AM279" s="2">
        <f t="shared" si="39"/>
        <v>0</v>
      </c>
      <c r="AN279" s="2">
        <f t="shared" si="40"/>
        <v>0</v>
      </c>
      <c r="AO279" s="2">
        <f t="shared" si="41"/>
        <v>0</v>
      </c>
      <c r="AP279" s="2">
        <f t="shared" si="42"/>
        <v>0</v>
      </c>
      <c r="AQ279" s="25">
        <f t="shared" si="43"/>
        <v>0</v>
      </c>
    </row>
    <row r="280" spans="1:43">
      <c r="A280" s="24">
        <v>46122</v>
      </c>
      <c r="B280" s="23">
        <f t="shared" si="36"/>
        <v>46113</v>
      </c>
      <c r="C280" s="2" t="s">
        <v>1484</v>
      </c>
      <c r="D280" s="2" t="s">
        <v>1201</v>
      </c>
      <c r="E280" s="2">
        <v>2606</v>
      </c>
      <c r="F280" s="2">
        <v>143</v>
      </c>
      <c r="G280" s="2">
        <v>137</v>
      </c>
      <c r="H280" s="2">
        <f t="shared" si="44"/>
        <v>6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6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/>
      <c r="AJ280" s="2" t="s">
        <v>80</v>
      </c>
      <c r="AK280" s="2">
        <f t="shared" si="37"/>
        <v>0</v>
      </c>
      <c r="AL280" s="2">
        <f t="shared" si="38"/>
        <v>0</v>
      </c>
      <c r="AM280" s="2">
        <f t="shared" si="39"/>
        <v>0</v>
      </c>
      <c r="AN280" s="2">
        <f t="shared" si="40"/>
        <v>6</v>
      </c>
      <c r="AO280" s="2">
        <f t="shared" si="41"/>
        <v>0</v>
      </c>
      <c r="AP280" s="2">
        <f t="shared" si="42"/>
        <v>0</v>
      </c>
      <c r="AQ280" s="25">
        <f t="shared" si="43"/>
        <v>0</v>
      </c>
    </row>
    <row r="281" spans="1:43">
      <c r="A281" s="24">
        <v>46122</v>
      </c>
      <c r="B281" s="23">
        <f t="shared" si="36"/>
        <v>46113</v>
      </c>
      <c r="C281" s="2" t="s">
        <v>66</v>
      </c>
      <c r="D281" s="2" t="s">
        <v>572</v>
      </c>
      <c r="E281" s="2">
        <v>2644</v>
      </c>
      <c r="F281" s="2">
        <v>63</v>
      </c>
      <c r="G281" s="2">
        <v>63</v>
      </c>
      <c r="H281" s="2">
        <f t="shared" si="44"/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/>
      <c r="AJ281" s="2" t="s">
        <v>80</v>
      </c>
      <c r="AK281" s="2">
        <f t="shared" si="37"/>
        <v>0</v>
      </c>
      <c r="AL281" s="2">
        <f t="shared" si="38"/>
        <v>0</v>
      </c>
      <c r="AM281" s="2">
        <f t="shared" si="39"/>
        <v>0</v>
      </c>
      <c r="AN281" s="2">
        <f t="shared" si="40"/>
        <v>0</v>
      </c>
      <c r="AO281" s="2">
        <f t="shared" si="41"/>
        <v>0</v>
      </c>
      <c r="AP281" s="2">
        <f t="shared" si="42"/>
        <v>0</v>
      </c>
      <c r="AQ281" s="25">
        <f t="shared" si="43"/>
        <v>0</v>
      </c>
    </row>
    <row r="282" spans="1:43">
      <c r="A282" s="24">
        <v>46122</v>
      </c>
      <c r="B282" s="23">
        <f t="shared" si="36"/>
        <v>46113</v>
      </c>
      <c r="C282" s="2" t="s">
        <v>63</v>
      </c>
      <c r="D282" s="2" t="s">
        <v>462</v>
      </c>
      <c r="E282" s="2">
        <v>2665</v>
      </c>
      <c r="F282" s="2">
        <v>17</v>
      </c>
      <c r="G282" s="2">
        <v>17</v>
      </c>
      <c r="H282" s="2">
        <f t="shared" si="44"/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/>
      <c r="AJ282" s="2" t="s">
        <v>80</v>
      </c>
      <c r="AK282" s="2">
        <f t="shared" si="37"/>
        <v>0</v>
      </c>
      <c r="AL282" s="2">
        <f t="shared" si="38"/>
        <v>0</v>
      </c>
      <c r="AM282" s="2">
        <f t="shared" si="39"/>
        <v>0</v>
      </c>
      <c r="AN282" s="2">
        <f t="shared" si="40"/>
        <v>0</v>
      </c>
      <c r="AO282" s="2">
        <f t="shared" si="41"/>
        <v>0</v>
      </c>
      <c r="AP282" s="2">
        <f t="shared" si="42"/>
        <v>0</v>
      </c>
      <c r="AQ282" s="25">
        <f t="shared" si="43"/>
        <v>0</v>
      </c>
    </row>
    <row r="283" spans="1:43">
      <c r="A283" s="24">
        <v>46122</v>
      </c>
      <c r="B283" s="23">
        <f t="shared" si="36"/>
        <v>46113</v>
      </c>
      <c r="C283" s="2" t="s">
        <v>66</v>
      </c>
      <c r="D283" s="2" t="s">
        <v>522</v>
      </c>
      <c r="E283" s="2">
        <v>2642</v>
      </c>
      <c r="F283" s="2">
        <v>218</v>
      </c>
      <c r="G283" s="2">
        <v>218</v>
      </c>
      <c r="H283" s="2">
        <f t="shared" si="44"/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/>
      <c r="AJ283" s="2" t="s">
        <v>80</v>
      </c>
      <c r="AK283" s="2">
        <f t="shared" si="37"/>
        <v>0</v>
      </c>
      <c r="AL283" s="2">
        <f t="shared" si="38"/>
        <v>0</v>
      </c>
      <c r="AM283" s="2">
        <f t="shared" si="39"/>
        <v>0</v>
      </c>
      <c r="AN283" s="2">
        <f t="shared" si="40"/>
        <v>0</v>
      </c>
      <c r="AO283" s="2">
        <f t="shared" si="41"/>
        <v>0</v>
      </c>
      <c r="AP283" s="2">
        <f t="shared" si="42"/>
        <v>0</v>
      </c>
      <c r="AQ283" s="25">
        <f t="shared" si="43"/>
        <v>0</v>
      </c>
    </row>
    <row r="284" spans="1:43">
      <c r="A284" s="24">
        <v>46122</v>
      </c>
      <c r="B284" s="23">
        <f t="shared" si="36"/>
        <v>46113</v>
      </c>
      <c r="C284" s="2" t="s">
        <v>46</v>
      </c>
      <c r="D284" s="2" t="s">
        <v>546</v>
      </c>
      <c r="E284" s="2">
        <v>1845</v>
      </c>
      <c r="F284" s="2">
        <v>72</v>
      </c>
      <c r="G284" s="2">
        <v>72</v>
      </c>
      <c r="H284" s="2">
        <f t="shared" si="44"/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/>
      <c r="AJ284" s="2" t="s">
        <v>80</v>
      </c>
      <c r="AK284" s="2">
        <f t="shared" si="37"/>
        <v>0</v>
      </c>
      <c r="AL284" s="2">
        <f t="shared" si="38"/>
        <v>0</v>
      </c>
      <c r="AM284" s="2">
        <f t="shared" si="39"/>
        <v>0</v>
      </c>
      <c r="AN284" s="2">
        <f t="shared" si="40"/>
        <v>0</v>
      </c>
      <c r="AO284" s="2">
        <f t="shared" si="41"/>
        <v>0</v>
      </c>
      <c r="AP284" s="2">
        <f t="shared" si="42"/>
        <v>0</v>
      </c>
      <c r="AQ284" s="25">
        <f t="shared" si="43"/>
        <v>0</v>
      </c>
    </row>
    <row r="285" spans="1:43">
      <c r="A285" s="24">
        <v>46122</v>
      </c>
      <c r="B285" s="23">
        <f t="shared" si="36"/>
        <v>46113</v>
      </c>
      <c r="C285" s="2" t="s">
        <v>82</v>
      </c>
      <c r="D285" s="2" t="s">
        <v>467</v>
      </c>
      <c r="E285" s="2">
        <v>2603</v>
      </c>
      <c r="F285" s="2">
        <v>267</v>
      </c>
      <c r="G285" s="2">
        <v>261</v>
      </c>
      <c r="H285" s="2">
        <f t="shared" si="44"/>
        <v>6</v>
      </c>
      <c r="I285" s="2">
        <v>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5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/>
      <c r="AJ285" s="2" t="s">
        <v>80</v>
      </c>
      <c r="AK285" s="2">
        <f t="shared" si="37"/>
        <v>1</v>
      </c>
      <c r="AL285" s="2">
        <f t="shared" si="38"/>
        <v>5</v>
      </c>
      <c r="AM285" s="2">
        <f t="shared" si="39"/>
        <v>0</v>
      </c>
      <c r="AN285" s="2">
        <f t="shared" si="40"/>
        <v>0</v>
      </c>
      <c r="AO285" s="2">
        <f t="shared" si="41"/>
        <v>0</v>
      </c>
      <c r="AP285" s="2">
        <f t="shared" si="42"/>
        <v>0</v>
      </c>
      <c r="AQ285" s="25">
        <f t="shared" si="43"/>
        <v>0</v>
      </c>
    </row>
    <row r="286" spans="1:43">
      <c r="A286" s="24">
        <v>46122</v>
      </c>
      <c r="B286" s="23">
        <f t="shared" si="36"/>
        <v>46113</v>
      </c>
      <c r="C286" s="2" t="s">
        <v>46</v>
      </c>
      <c r="D286" s="2" t="s">
        <v>499</v>
      </c>
      <c r="E286" s="2">
        <v>1845</v>
      </c>
      <c r="F286" s="2">
        <v>76</v>
      </c>
      <c r="G286" s="2">
        <v>76</v>
      </c>
      <c r="H286" s="2">
        <f t="shared" si="44"/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/>
      <c r="AJ286" s="2" t="s">
        <v>80</v>
      </c>
      <c r="AK286" s="2">
        <f t="shared" si="37"/>
        <v>0</v>
      </c>
      <c r="AL286" s="2">
        <f t="shared" si="38"/>
        <v>0</v>
      </c>
      <c r="AM286" s="2">
        <f t="shared" si="39"/>
        <v>0</v>
      </c>
      <c r="AN286" s="2">
        <f t="shared" si="40"/>
        <v>0</v>
      </c>
      <c r="AO286" s="2">
        <f t="shared" si="41"/>
        <v>0</v>
      </c>
      <c r="AP286" s="2">
        <f t="shared" si="42"/>
        <v>0</v>
      </c>
      <c r="AQ286" s="25">
        <f t="shared" si="43"/>
        <v>0</v>
      </c>
    </row>
    <row r="287" spans="1:43">
      <c r="A287" s="24">
        <v>46122</v>
      </c>
      <c r="B287" s="23">
        <f t="shared" si="36"/>
        <v>46113</v>
      </c>
      <c r="C287" s="2" t="s">
        <v>63</v>
      </c>
      <c r="D287" s="2" t="s">
        <v>1540</v>
      </c>
      <c r="E287" s="2">
        <v>1767</v>
      </c>
      <c r="F287" s="2">
        <v>1108</v>
      </c>
      <c r="G287" s="2">
        <v>1075</v>
      </c>
      <c r="H287" s="2">
        <f t="shared" si="44"/>
        <v>33</v>
      </c>
      <c r="I287" s="2">
        <v>16</v>
      </c>
      <c r="J287" s="2">
        <v>0</v>
      </c>
      <c r="K287" s="2">
        <v>17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/>
      <c r="AJ287" s="2" t="s">
        <v>77</v>
      </c>
      <c r="AK287" s="2">
        <f t="shared" si="37"/>
        <v>16</v>
      </c>
      <c r="AL287" s="2">
        <f t="shared" si="38"/>
        <v>17</v>
      </c>
      <c r="AM287" s="2">
        <f t="shared" si="39"/>
        <v>0</v>
      </c>
      <c r="AN287" s="2">
        <f t="shared" si="40"/>
        <v>0</v>
      </c>
      <c r="AO287" s="2">
        <f t="shared" si="41"/>
        <v>0</v>
      </c>
      <c r="AP287" s="2">
        <f t="shared" si="42"/>
        <v>0</v>
      </c>
      <c r="AQ287" s="25">
        <f t="shared" si="43"/>
        <v>0</v>
      </c>
    </row>
    <row r="288" spans="1:43">
      <c r="A288" s="24">
        <v>46122</v>
      </c>
      <c r="B288" s="23">
        <f t="shared" si="36"/>
        <v>46113</v>
      </c>
      <c r="C288" s="2" t="s">
        <v>62</v>
      </c>
      <c r="D288" s="2" t="s">
        <v>1421</v>
      </c>
      <c r="E288" s="2">
        <v>2634</v>
      </c>
      <c r="F288" s="2">
        <v>191</v>
      </c>
      <c r="G288" s="2">
        <v>191</v>
      </c>
      <c r="H288" s="2">
        <f t="shared" si="44"/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/>
      <c r="AJ288" s="2" t="s">
        <v>77</v>
      </c>
      <c r="AK288" s="2">
        <f t="shared" si="37"/>
        <v>0</v>
      </c>
      <c r="AL288" s="2">
        <f t="shared" si="38"/>
        <v>0</v>
      </c>
      <c r="AM288" s="2">
        <f t="shared" si="39"/>
        <v>0</v>
      </c>
      <c r="AN288" s="2">
        <f t="shared" si="40"/>
        <v>0</v>
      </c>
      <c r="AO288" s="2">
        <f t="shared" si="41"/>
        <v>0</v>
      </c>
      <c r="AP288" s="2">
        <f t="shared" si="42"/>
        <v>0</v>
      </c>
      <c r="AQ288" s="25">
        <f t="shared" si="43"/>
        <v>0</v>
      </c>
    </row>
    <row r="289" spans="1:43">
      <c r="A289" s="24">
        <v>46122</v>
      </c>
      <c r="B289" s="23">
        <f t="shared" si="36"/>
        <v>46113</v>
      </c>
      <c r="C289" s="2" t="s">
        <v>62</v>
      </c>
      <c r="D289" s="2" t="s">
        <v>1420</v>
      </c>
      <c r="E289" s="2">
        <v>2634</v>
      </c>
      <c r="F289" s="2">
        <v>308</v>
      </c>
      <c r="G289" s="2">
        <v>306</v>
      </c>
      <c r="H289" s="2">
        <f t="shared" si="44"/>
        <v>2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2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/>
      <c r="AJ289" s="2" t="s">
        <v>77</v>
      </c>
      <c r="AK289" s="2">
        <f t="shared" si="37"/>
        <v>0</v>
      </c>
      <c r="AL289" s="2">
        <f t="shared" si="38"/>
        <v>0</v>
      </c>
      <c r="AM289" s="2">
        <f t="shared" si="39"/>
        <v>0</v>
      </c>
      <c r="AN289" s="2">
        <f t="shared" si="40"/>
        <v>2</v>
      </c>
      <c r="AO289" s="2">
        <f t="shared" si="41"/>
        <v>0</v>
      </c>
      <c r="AP289" s="2">
        <f t="shared" si="42"/>
        <v>0</v>
      </c>
      <c r="AQ289" s="25">
        <f t="shared" si="43"/>
        <v>0</v>
      </c>
    </row>
    <row r="290" spans="1:43">
      <c r="A290" s="24">
        <v>46122</v>
      </c>
      <c r="B290" s="23">
        <f t="shared" si="36"/>
        <v>46113</v>
      </c>
      <c r="C290" s="2" t="s">
        <v>62</v>
      </c>
      <c r="D290" s="2" t="s">
        <v>1421</v>
      </c>
      <c r="E290" s="2">
        <v>2634</v>
      </c>
      <c r="F290" s="2">
        <v>32</v>
      </c>
      <c r="G290" s="2">
        <v>32</v>
      </c>
      <c r="H290" s="2">
        <f t="shared" si="44"/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/>
      <c r="AJ290" s="2" t="s">
        <v>77</v>
      </c>
      <c r="AK290" s="2">
        <f t="shared" si="37"/>
        <v>0</v>
      </c>
      <c r="AL290" s="2">
        <f t="shared" si="38"/>
        <v>0</v>
      </c>
      <c r="AM290" s="2">
        <f t="shared" si="39"/>
        <v>0</v>
      </c>
      <c r="AN290" s="2">
        <f t="shared" si="40"/>
        <v>0</v>
      </c>
      <c r="AO290" s="2">
        <f t="shared" si="41"/>
        <v>0</v>
      </c>
      <c r="AP290" s="2">
        <f t="shared" si="42"/>
        <v>0</v>
      </c>
      <c r="AQ290" s="25">
        <f t="shared" si="43"/>
        <v>0</v>
      </c>
    </row>
    <row r="291" spans="1:43">
      <c r="A291" s="24">
        <v>46122</v>
      </c>
      <c r="B291" s="23">
        <f t="shared" si="36"/>
        <v>46113</v>
      </c>
      <c r="C291" s="2" t="s">
        <v>46</v>
      </c>
      <c r="D291" s="2" t="s">
        <v>489</v>
      </c>
      <c r="E291" s="2">
        <v>10038</v>
      </c>
      <c r="F291" s="2">
        <v>103</v>
      </c>
      <c r="G291" s="2">
        <v>102</v>
      </c>
      <c r="H291" s="2">
        <f t="shared" si="44"/>
        <v>1</v>
      </c>
      <c r="I291" s="2">
        <v>1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/>
      <c r="AJ291" s="2" t="s">
        <v>103</v>
      </c>
      <c r="AK291" s="2">
        <f t="shared" si="37"/>
        <v>1</v>
      </c>
      <c r="AL291" s="2">
        <f t="shared" si="38"/>
        <v>0</v>
      </c>
      <c r="AM291" s="2">
        <f t="shared" si="39"/>
        <v>0</v>
      </c>
      <c r="AN291" s="2">
        <f t="shared" si="40"/>
        <v>0</v>
      </c>
      <c r="AO291" s="2">
        <f t="shared" si="41"/>
        <v>0</v>
      </c>
      <c r="AP291" s="2">
        <f t="shared" si="42"/>
        <v>0</v>
      </c>
      <c r="AQ291" s="25">
        <f t="shared" si="43"/>
        <v>0</v>
      </c>
    </row>
    <row r="292" spans="1:43">
      <c r="A292" s="24">
        <v>46122</v>
      </c>
      <c r="B292" s="23">
        <f t="shared" si="36"/>
        <v>46113</v>
      </c>
      <c r="C292" s="2" t="s">
        <v>133</v>
      </c>
      <c r="D292" s="2" t="s">
        <v>427</v>
      </c>
      <c r="E292" s="2">
        <v>95154</v>
      </c>
      <c r="F292" s="2">
        <v>243</v>
      </c>
      <c r="G292" s="2">
        <v>226</v>
      </c>
      <c r="H292" s="2">
        <f t="shared" si="44"/>
        <v>17</v>
      </c>
      <c r="I292" s="2">
        <v>17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/>
      <c r="AJ292" s="2" t="s">
        <v>103</v>
      </c>
      <c r="AK292" s="2">
        <f t="shared" si="37"/>
        <v>17</v>
      </c>
      <c r="AL292" s="2">
        <f t="shared" si="38"/>
        <v>0</v>
      </c>
      <c r="AM292" s="2">
        <f t="shared" si="39"/>
        <v>0</v>
      </c>
      <c r="AN292" s="2">
        <f t="shared" si="40"/>
        <v>0</v>
      </c>
      <c r="AO292" s="2">
        <f t="shared" si="41"/>
        <v>0</v>
      </c>
      <c r="AP292" s="2">
        <f t="shared" si="42"/>
        <v>0</v>
      </c>
      <c r="AQ292" s="25">
        <f t="shared" si="43"/>
        <v>0</v>
      </c>
    </row>
    <row r="293" spans="1:43">
      <c r="A293" s="24">
        <v>46122</v>
      </c>
      <c r="B293" s="23">
        <f t="shared" si="36"/>
        <v>46113</v>
      </c>
      <c r="C293" s="2" t="s">
        <v>72</v>
      </c>
      <c r="D293" s="2" t="s">
        <v>571</v>
      </c>
      <c r="E293" s="2">
        <v>2576</v>
      </c>
      <c r="F293" s="2">
        <v>76</v>
      </c>
      <c r="G293" s="2">
        <v>76</v>
      </c>
      <c r="H293" s="2">
        <f t="shared" si="44"/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/>
      <c r="AJ293" s="2" t="s">
        <v>103</v>
      </c>
      <c r="AK293" s="2">
        <f t="shared" si="37"/>
        <v>0</v>
      </c>
      <c r="AL293" s="2">
        <f t="shared" si="38"/>
        <v>0</v>
      </c>
      <c r="AM293" s="2">
        <f t="shared" si="39"/>
        <v>0</v>
      </c>
      <c r="AN293" s="2">
        <f t="shared" si="40"/>
        <v>0</v>
      </c>
      <c r="AO293" s="2">
        <f t="shared" si="41"/>
        <v>0</v>
      </c>
      <c r="AP293" s="2">
        <f t="shared" si="42"/>
        <v>0</v>
      </c>
      <c r="AQ293" s="25">
        <f t="shared" si="43"/>
        <v>0</v>
      </c>
    </row>
    <row r="294" spans="1:43">
      <c r="A294" s="24">
        <v>46122</v>
      </c>
      <c r="B294" s="23">
        <f t="shared" si="36"/>
        <v>46113</v>
      </c>
      <c r="C294" s="2" t="s">
        <v>72</v>
      </c>
      <c r="D294" s="2" t="s">
        <v>429</v>
      </c>
      <c r="E294" s="2">
        <v>2576</v>
      </c>
      <c r="F294" s="2">
        <v>234</v>
      </c>
      <c r="G294" s="2">
        <v>232</v>
      </c>
      <c r="H294" s="2">
        <f t="shared" si="44"/>
        <v>2</v>
      </c>
      <c r="I294" s="2">
        <v>1</v>
      </c>
      <c r="J294" s="2">
        <v>0</v>
      </c>
      <c r="K294" s="2">
        <v>0</v>
      </c>
      <c r="L294" s="2">
        <v>0</v>
      </c>
      <c r="M294" s="2">
        <v>1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/>
      <c r="AJ294" s="2" t="s">
        <v>103</v>
      </c>
      <c r="AK294" s="2">
        <f t="shared" si="37"/>
        <v>1</v>
      </c>
      <c r="AL294" s="2">
        <f t="shared" si="38"/>
        <v>1</v>
      </c>
      <c r="AM294" s="2">
        <f t="shared" si="39"/>
        <v>0</v>
      </c>
      <c r="AN294" s="2">
        <f t="shared" si="40"/>
        <v>0</v>
      </c>
      <c r="AO294" s="2">
        <f t="shared" si="41"/>
        <v>0</v>
      </c>
      <c r="AP294" s="2">
        <f t="shared" si="42"/>
        <v>0</v>
      </c>
      <c r="AQ294" s="25">
        <f t="shared" si="43"/>
        <v>0</v>
      </c>
    </row>
    <row r="295" spans="1:43">
      <c r="A295" s="24">
        <v>46122</v>
      </c>
      <c r="B295" s="23">
        <f t="shared" si="36"/>
        <v>46113</v>
      </c>
      <c r="C295" s="2" t="s">
        <v>114</v>
      </c>
      <c r="D295" s="2" t="s">
        <v>549</v>
      </c>
      <c r="E295" s="2">
        <v>1870</v>
      </c>
      <c r="F295" s="2">
        <v>118</v>
      </c>
      <c r="G295" s="2">
        <v>118</v>
      </c>
      <c r="H295" s="2">
        <f t="shared" si="44"/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/>
      <c r="AJ295" s="2" t="s">
        <v>103</v>
      </c>
      <c r="AK295" s="2">
        <f t="shared" si="37"/>
        <v>0</v>
      </c>
      <c r="AL295" s="2">
        <f t="shared" si="38"/>
        <v>0</v>
      </c>
      <c r="AM295" s="2">
        <f t="shared" si="39"/>
        <v>0</v>
      </c>
      <c r="AN295" s="2">
        <f t="shared" si="40"/>
        <v>0</v>
      </c>
      <c r="AO295" s="2">
        <f t="shared" si="41"/>
        <v>0</v>
      </c>
      <c r="AP295" s="2">
        <f t="shared" si="42"/>
        <v>0</v>
      </c>
      <c r="AQ295" s="25">
        <f t="shared" si="43"/>
        <v>0</v>
      </c>
    </row>
    <row r="296" spans="1:43">
      <c r="A296" s="24">
        <v>46122</v>
      </c>
      <c r="B296" s="23">
        <f t="shared" si="36"/>
        <v>46113</v>
      </c>
      <c r="C296" s="2" t="s">
        <v>114</v>
      </c>
      <c r="D296" s="2" t="s">
        <v>1540</v>
      </c>
      <c r="E296" s="2">
        <v>1767</v>
      </c>
      <c r="F296" s="2">
        <v>110</v>
      </c>
      <c r="G296" s="2">
        <v>108</v>
      </c>
      <c r="H296" s="2">
        <f t="shared" si="44"/>
        <v>2</v>
      </c>
      <c r="I296" s="2">
        <v>2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/>
      <c r="AJ296" s="2" t="s">
        <v>103</v>
      </c>
      <c r="AK296" s="2">
        <f t="shared" si="37"/>
        <v>2</v>
      </c>
      <c r="AL296" s="2">
        <f t="shared" si="38"/>
        <v>0</v>
      </c>
      <c r="AM296" s="2">
        <f t="shared" si="39"/>
        <v>0</v>
      </c>
      <c r="AN296" s="2">
        <f t="shared" si="40"/>
        <v>0</v>
      </c>
      <c r="AO296" s="2">
        <f t="shared" si="41"/>
        <v>0</v>
      </c>
      <c r="AP296" s="2">
        <f t="shared" si="42"/>
        <v>0</v>
      </c>
      <c r="AQ296" s="25">
        <f t="shared" si="43"/>
        <v>0</v>
      </c>
    </row>
    <row r="297" spans="1:43">
      <c r="A297" s="24">
        <v>46122</v>
      </c>
      <c r="B297" s="23">
        <f t="shared" si="36"/>
        <v>46113</v>
      </c>
      <c r="C297" s="2" t="s">
        <v>114</v>
      </c>
      <c r="D297" s="2" t="s">
        <v>571</v>
      </c>
      <c r="E297" s="2">
        <v>2576</v>
      </c>
      <c r="F297" s="2">
        <v>77</v>
      </c>
      <c r="G297" s="2">
        <v>77</v>
      </c>
      <c r="H297" s="2">
        <f t="shared" si="44"/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/>
      <c r="AJ297" s="2" t="s">
        <v>103</v>
      </c>
      <c r="AK297" s="2">
        <f t="shared" si="37"/>
        <v>0</v>
      </c>
      <c r="AL297" s="2">
        <f t="shared" si="38"/>
        <v>0</v>
      </c>
      <c r="AM297" s="2">
        <f t="shared" si="39"/>
        <v>0</v>
      </c>
      <c r="AN297" s="2">
        <f t="shared" si="40"/>
        <v>0</v>
      </c>
      <c r="AO297" s="2">
        <f t="shared" si="41"/>
        <v>0</v>
      </c>
      <c r="AP297" s="2">
        <f t="shared" si="42"/>
        <v>0</v>
      </c>
      <c r="AQ297" s="25">
        <f t="shared" si="43"/>
        <v>0</v>
      </c>
    </row>
    <row r="298" spans="1:43">
      <c r="A298" s="24">
        <v>46122</v>
      </c>
      <c r="B298" s="23">
        <f t="shared" si="36"/>
        <v>46113</v>
      </c>
      <c r="C298" s="2" t="s">
        <v>114</v>
      </c>
      <c r="D298" s="2" t="s">
        <v>426</v>
      </c>
      <c r="E298" s="2">
        <v>2669</v>
      </c>
      <c r="F298" s="2">
        <v>182</v>
      </c>
      <c r="G298" s="2">
        <v>177</v>
      </c>
      <c r="H298" s="2">
        <f t="shared" si="44"/>
        <v>5</v>
      </c>
      <c r="I298" s="2">
        <v>4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1</v>
      </c>
      <c r="AE298" s="2">
        <v>0</v>
      </c>
      <c r="AF298" s="2">
        <v>0</v>
      </c>
      <c r="AG298" s="2">
        <v>0</v>
      </c>
      <c r="AH298" s="2">
        <v>0</v>
      </c>
      <c r="AI298" s="2"/>
      <c r="AJ298" s="2" t="s">
        <v>103</v>
      </c>
      <c r="AK298" s="2">
        <f t="shared" si="37"/>
        <v>4</v>
      </c>
      <c r="AL298" s="2">
        <f t="shared" si="38"/>
        <v>0</v>
      </c>
      <c r="AM298" s="2">
        <f t="shared" si="39"/>
        <v>0</v>
      </c>
      <c r="AN298" s="2">
        <f t="shared" si="40"/>
        <v>0</v>
      </c>
      <c r="AO298" s="2">
        <f t="shared" si="41"/>
        <v>0</v>
      </c>
      <c r="AP298" s="2">
        <f t="shared" si="42"/>
        <v>1</v>
      </c>
      <c r="AQ298" s="25">
        <f t="shared" si="43"/>
        <v>0</v>
      </c>
    </row>
    <row r="299" spans="1:43">
      <c r="A299" s="24">
        <v>46122</v>
      </c>
      <c r="B299" s="23">
        <f t="shared" si="36"/>
        <v>46113</v>
      </c>
      <c r="C299" s="2" t="s">
        <v>160</v>
      </c>
      <c r="D299" s="2" t="s">
        <v>1296</v>
      </c>
      <c r="E299" s="2">
        <v>2651</v>
      </c>
      <c r="F299" s="2">
        <v>153</v>
      </c>
      <c r="G299" s="2">
        <v>148</v>
      </c>
      <c r="H299" s="2">
        <f t="shared" si="44"/>
        <v>5</v>
      </c>
      <c r="I299" s="2">
        <v>3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v>0</v>
      </c>
      <c r="V299" s="2">
        <v>1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/>
      <c r="AJ299" s="2" t="s">
        <v>93</v>
      </c>
      <c r="AK299" s="2">
        <f t="shared" si="37"/>
        <v>3</v>
      </c>
      <c r="AL299" s="2">
        <f t="shared" si="38"/>
        <v>0</v>
      </c>
      <c r="AM299" s="2">
        <f t="shared" si="39"/>
        <v>0</v>
      </c>
      <c r="AN299" s="2">
        <f t="shared" si="40"/>
        <v>0</v>
      </c>
      <c r="AO299" s="2">
        <f t="shared" si="41"/>
        <v>2</v>
      </c>
      <c r="AP299" s="2">
        <f t="shared" si="42"/>
        <v>0</v>
      </c>
      <c r="AQ299" s="25">
        <f t="shared" si="43"/>
        <v>0</v>
      </c>
    </row>
    <row r="300" spans="1:43">
      <c r="A300" s="24">
        <v>46122</v>
      </c>
      <c r="B300" s="23">
        <f t="shared" si="36"/>
        <v>46113</v>
      </c>
      <c r="C300" s="2" t="s">
        <v>97</v>
      </c>
      <c r="D300" s="2" t="s">
        <v>543</v>
      </c>
      <c r="E300" s="2">
        <v>1884</v>
      </c>
      <c r="F300" s="2">
        <v>30</v>
      </c>
      <c r="G300" s="2">
        <v>30</v>
      </c>
      <c r="H300" s="2">
        <f t="shared" si="44"/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/>
      <c r="AJ300" s="2" t="s">
        <v>93</v>
      </c>
      <c r="AK300" s="2">
        <f t="shared" si="37"/>
        <v>0</v>
      </c>
      <c r="AL300" s="2">
        <f t="shared" si="38"/>
        <v>0</v>
      </c>
      <c r="AM300" s="2">
        <f t="shared" si="39"/>
        <v>0</v>
      </c>
      <c r="AN300" s="2">
        <f t="shared" si="40"/>
        <v>0</v>
      </c>
      <c r="AO300" s="2">
        <f t="shared" si="41"/>
        <v>0</v>
      </c>
      <c r="AP300" s="2">
        <f t="shared" si="42"/>
        <v>0</v>
      </c>
      <c r="AQ300" s="25">
        <f t="shared" si="43"/>
        <v>0</v>
      </c>
    </row>
    <row r="301" spans="1:43">
      <c r="A301" s="24">
        <v>46122</v>
      </c>
      <c r="B301" s="23">
        <f t="shared" si="36"/>
        <v>46113</v>
      </c>
      <c r="C301" s="2" t="s">
        <v>160</v>
      </c>
      <c r="D301" s="2" t="s">
        <v>1559</v>
      </c>
      <c r="E301" s="2">
        <v>2651</v>
      </c>
      <c r="F301" s="2">
        <v>56</v>
      </c>
      <c r="G301" s="2">
        <v>55</v>
      </c>
      <c r="H301" s="2">
        <f t="shared" si="44"/>
        <v>1</v>
      </c>
      <c r="I301" s="2">
        <v>1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/>
      <c r="AJ301" s="2" t="s">
        <v>93</v>
      </c>
      <c r="AK301" s="2">
        <f t="shared" si="37"/>
        <v>1</v>
      </c>
      <c r="AL301" s="2">
        <f t="shared" si="38"/>
        <v>0</v>
      </c>
      <c r="AM301" s="2">
        <f t="shared" si="39"/>
        <v>0</v>
      </c>
      <c r="AN301" s="2">
        <f t="shared" si="40"/>
        <v>0</v>
      </c>
      <c r="AO301" s="2">
        <f t="shared" si="41"/>
        <v>0</v>
      </c>
      <c r="AP301" s="2">
        <f t="shared" si="42"/>
        <v>0</v>
      </c>
      <c r="AQ301" s="25">
        <f t="shared" si="43"/>
        <v>0</v>
      </c>
    </row>
    <row r="302" spans="1:43">
      <c r="A302" s="24">
        <v>46122</v>
      </c>
      <c r="B302" s="23">
        <f t="shared" si="36"/>
        <v>46113</v>
      </c>
      <c r="C302" s="2" t="s">
        <v>160</v>
      </c>
      <c r="D302" s="2" t="s">
        <v>487</v>
      </c>
      <c r="E302" s="2">
        <v>2651</v>
      </c>
      <c r="F302" s="2">
        <v>78</v>
      </c>
      <c r="G302" s="2">
        <v>72</v>
      </c>
      <c r="H302" s="2">
        <f t="shared" si="44"/>
        <v>6</v>
      </c>
      <c r="I302" s="2">
        <v>3</v>
      </c>
      <c r="J302" s="2">
        <v>0</v>
      </c>
      <c r="K302" s="2">
        <v>1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2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/>
      <c r="AJ302" s="2" t="s">
        <v>93</v>
      </c>
      <c r="AK302" s="2">
        <f t="shared" si="37"/>
        <v>3</v>
      </c>
      <c r="AL302" s="2">
        <f t="shared" si="38"/>
        <v>1</v>
      </c>
      <c r="AM302" s="2">
        <f t="shared" si="39"/>
        <v>0</v>
      </c>
      <c r="AN302" s="2">
        <f t="shared" si="40"/>
        <v>0</v>
      </c>
      <c r="AO302" s="2">
        <f t="shared" si="41"/>
        <v>2</v>
      </c>
      <c r="AP302" s="2">
        <f t="shared" si="42"/>
        <v>0</v>
      </c>
      <c r="AQ302" s="25">
        <f t="shared" si="43"/>
        <v>0</v>
      </c>
    </row>
    <row r="303" spans="1:43">
      <c r="A303" s="24">
        <v>46122</v>
      </c>
      <c r="B303" s="23">
        <f t="shared" si="36"/>
        <v>46113</v>
      </c>
      <c r="C303" s="2" t="s">
        <v>160</v>
      </c>
      <c r="D303" s="2" t="s">
        <v>488</v>
      </c>
      <c r="E303" s="2">
        <v>2331</v>
      </c>
      <c r="F303" s="2">
        <v>20</v>
      </c>
      <c r="G303" s="2">
        <v>20</v>
      </c>
      <c r="H303" s="2">
        <f t="shared" si="44"/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/>
      <c r="AJ303" s="2" t="s">
        <v>93</v>
      </c>
      <c r="AK303" s="2">
        <f t="shared" si="37"/>
        <v>0</v>
      </c>
      <c r="AL303" s="2">
        <f t="shared" si="38"/>
        <v>0</v>
      </c>
      <c r="AM303" s="2">
        <f t="shared" si="39"/>
        <v>0</v>
      </c>
      <c r="AN303" s="2">
        <f t="shared" si="40"/>
        <v>0</v>
      </c>
      <c r="AO303" s="2">
        <f t="shared" si="41"/>
        <v>0</v>
      </c>
      <c r="AP303" s="2">
        <f t="shared" si="42"/>
        <v>0</v>
      </c>
      <c r="AQ303" s="25">
        <f t="shared" si="43"/>
        <v>0</v>
      </c>
    </row>
    <row r="304" spans="1:43">
      <c r="A304" s="24">
        <v>46122</v>
      </c>
      <c r="B304" s="23">
        <f t="shared" si="36"/>
        <v>46113</v>
      </c>
      <c r="C304" s="2" t="s">
        <v>160</v>
      </c>
      <c r="D304" s="2" t="s">
        <v>1560</v>
      </c>
      <c r="E304" s="2">
        <v>2651</v>
      </c>
      <c r="F304" s="2">
        <v>112</v>
      </c>
      <c r="G304" s="2">
        <v>111</v>
      </c>
      <c r="H304" s="2">
        <f t="shared" si="44"/>
        <v>1</v>
      </c>
      <c r="I304" s="2">
        <v>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/>
      <c r="AJ304" s="2" t="s">
        <v>93</v>
      </c>
      <c r="AK304" s="2">
        <f t="shared" si="37"/>
        <v>1</v>
      </c>
      <c r="AL304" s="2">
        <f t="shared" si="38"/>
        <v>0</v>
      </c>
      <c r="AM304" s="2">
        <f t="shared" si="39"/>
        <v>0</v>
      </c>
      <c r="AN304" s="2">
        <f t="shared" si="40"/>
        <v>0</v>
      </c>
      <c r="AO304" s="2">
        <f t="shared" si="41"/>
        <v>0</v>
      </c>
      <c r="AP304" s="2">
        <f t="shared" si="42"/>
        <v>0</v>
      </c>
      <c r="AQ304" s="25">
        <f t="shared" si="43"/>
        <v>0</v>
      </c>
    </row>
    <row r="305" spans="1:43">
      <c r="A305" s="24">
        <v>46122</v>
      </c>
      <c r="B305" s="23">
        <f t="shared" si="36"/>
        <v>46113</v>
      </c>
      <c r="C305" s="2" t="s">
        <v>160</v>
      </c>
      <c r="D305" s="2" t="s">
        <v>569</v>
      </c>
      <c r="E305" s="2">
        <v>1733</v>
      </c>
      <c r="F305" s="2">
        <v>180</v>
      </c>
      <c r="G305" s="2">
        <v>173</v>
      </c>
      <c r="H305" s="2">
        <f t="shared" si="44"/>
        <v>7</v>
      </c>
      <c r="I305" s="2">
        <v>6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1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/>
      <c r="AJ305" s="2" t="s">
        <v>93</v>
      </c>
      <c r="AK305" s="2">
        <f t="shared" si="37"/>
        <v>6</v>
      </c>
      <c r="AL305" s="2">
        <f t="shared" si="38"/>
        <v>0</v>
      </c>
      <c r="AM305" s="2">
        <f t="shared" si="39"/>
        <v>0</v>
      </c>
      <c r="AN305" s="2">
        <f t="shared" si="40"/>
        <v>0</v>
      </c>
      <c r="AO305" s="2">
        <f t="shared" si="41"/>
        <v>1</v>
      </c>
      <c r="AP305" s="2">
        <f t="shared" si="42"/>
        <v>0</v>
      </c>
      <c r="AQ305" s="25">
        <f t="shared" si="43"/>
        <v>0</v>
      </c>
    </row>
    <row r="306" spans="1:43">
      <c r="A306" s="24">
        <v>46122</v>
      </c>
      <c r="B306" s="23">
        <f t="shared" si="36"/>
        <v>46113</v>
      </c>
      <c r="C306" s="2" t="s">
        <v>160</v>
      </c>
      <c r="D306" s="2" t="s">
        <v>569</v>
      </c>
      <c r="E306" s="2">
        <v>1733</v>
      </c>
      <c r="F306" s="2">
        <v>240</v>
      </c>
      <c r="G306" s="2">
        <v>228</v>
      </c>
      <c r="H306" s="2">
        <f t="shared" si="44"/>
        <v>12</v>
      </c>
      <c r="I306" s="2">
        <v>2</v>
      </c>
      <c r="J306" s="2">
        <v>0</v>
      </c>
      <c r="K306" s="2">
        <v>0</v>
      </c>
      <c r="L306" s="2">
        <v>0</v>
      </c>
      <c r="M306" s="2">
        <v>2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1</v>
      </c>
      <c r="X306" s="2">
        <v>6</v>
      </c>
      <c r="Y306" s="2">
        <v>1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/>
      <c r="AJ306" s="2" t="s">
        <v>93</v>
      </c>
      <c r="AK306" s="2">
        <f t="shared" si="37"/>
        <v>2</v>
      </c>
      <c r="AL306" s="2">
        <f t="shared" si="38"/>
        <v>2</v>
      </c>
      <c r="AM306" s="2">
        <f t="shared" si="39"/>
        <v>0</v>
      </c>
      <c r="AN306" s="2">
        <f t="shared" si="40"/>
        <v>0</v>
      </c>
      <c r="AO306" s="2">
        <f t="shared" si="41"/>
        <v>8</v>
      </c>
      <c r="AP306" s="2">
        <f t="shared" si="42"/>
        <v>0</v>
      </c>
      <c r="AQ306" s="25">
        <f t="shared" si="43"/>
        <v>0</v>
      </c>
    </row>
    <row r="307" spans="1:43">
      <c r="A307" s="24">
        <v>46122</v>
      </c>
      <c r="B307" s="23">
        <f t="shared" si="36"/>
        <v>46113</v>
      </c>
      <c r="C307" s="2" t="s">
        <v>82</v>
      </c>
      <c r="D307" s="2" t="s">
        <v>467</v>
      </c>
      <c r="E307" s="2">
        <v>2603</v>
      </c>
      <c r="F307" s="2">
        <v>391</v>
      </c>
      <c r="G307" s="2">
        <v>387</v>
      </c>
      <c r="H307" s="2">
        <f t="shared" si="44"/>
        <v>4</v>
      </c>
      <c r="I307" s="2">
        <v>1</v>
      </c>
      <c r="J307" s="2">
        <v>0</v>
      </c>
      <c r="K307" s="2">
        <v>1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2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/>
      <c r="AJ307" s="2" t="s">
        <v>93</v>
      </c>
      <c r="AK307" s="2">
        <f t="shared" si="37"/>
        <v>1</v>
      </c>
      <c r="AL307" s="2">
        <f t="shared" si="38"/>
        <v>3</v>
      </c>
      <c r="AM307" s="2">
        <f t="shared" si="39"/>
        <v>0</v>
      </c>
      <c r="AN307" s="2">
        <f t="shared" si="40"/>
        <v>0</v>
      </c>
      <c r="AO307" s="2">
        <f t="shared" si="41"/>
        <v>0</v>
      </c>
      <c r="AP307" s="2">
        <f t="shared" si="42"/>
        <v>0</v>
      </c>
      <c r="AQ307" s="25">
        <f t="shared" si="43"/>
        <v>0</v>
      </c>
    </row>
    <row r="308" spans="1:43">
      <c r="A308" s="24">
        <v>46122</v>
      </c>
      <c r="B308" s="23">
        <f t="shared" si="36"/>
        <v>46113</v>
      </c>
      <c r="C308" s="2" t="s">
        <v>82</v>
      </c>
      <c r="D308" s="2" t="s">
        <v>467</v>
      </c>
      <c r="E308" s="2">
        <v>2603</v>
      </c>
      <c r="F308" s="2">
        <v>40</v>
      </c>
      <c r="G308" s="2">
        <v>39</v>
      </c>
      <c r="H308" s="2">
        <f t="shared" si="44"/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1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/>
      <c r="AJ308" s="2" t="s">
        <v>93</v>
      </c>
      <c r="AK308" s="2">
        <f t="shared" si="37"/>
        <v>0</v>
      </c>
      <c r="AL308" s="2">
        <f t="shared" si="38"/>
        <v>1</v>
      </c>
      <c r="AM308" s="2">
        <f t="shared" si="39"/>
        <v>0</v>
      </c>
      <c r="AN308" s="2">
        <f t="shared" si="40"/>
        <v>0</v>
      </c>
      <c r="AO308" s="2">
        <f t="shared" si="41"/>
        <v>0</v>
      </c>
      <c r="AP308" s="2">
        <f t="shared" si="42"/>
        <v>0</v>
      </c>
      <c r="AQ308" s="25">
        <f t="shared" si="43"/>
        <v>0</v>
      </c>
    </row>
    <row r="309" spans="1:43">
      <c r="A309" s="24">
        <v>46122</v>
      </c>
      <c r="B309" s="23">
        <f t="shared" si="36"/>
        <v>46113</v>
      </c>
      <c r="C309" s="2" t="s">
        <v>62</v>
      </c>
      <c r="D309" s="2" t="s">
        <v>453</v>
      </c>
      <c r="E309" s="2">
        <v>2370</v>
      </c>
      <c r="F309" s="2">
        <v>188</v>
      </c>
      <c r="G309" s="2">
        <v>184</v>
      </c>
      <c r="H309" s="2">
        <f t="shared" si="44"/>
        <v>4</v>
      </c>
      <c r="I309" s="2">
        <v>0</v>
      </c>
      <c r="J309" s="2">
        <v>0</v>
      </c>
      <c r="K309" s="2">
        <v>4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/>
      <c r="AJ309" s="2" t="s">
        <v>1568</v>
      </c>
      <c r="AK309" s="2">
        <f t="shared" si="37"/>
        <v>0</v>
      </c>
      <c r="AL309" s="2">
        <f t="shared" si="38"/>
        <v>4</v>
      </c>
      <c r="AM309" s="2">
        <f t="shared" si="39"/>
        <v>0</v>
      </c>
      <c r="AN309" s="2">
        <f t="shared" si="40"/>
        <v>0</v>
      </c>
      <c r="AO309" s="2">
        <f t="shared" si="41"/>
        <v>0</v>
      </c>
      <c r="AP309" s="2">
        <f t="shared" si="42"/>
        <v>0</v>
      </c>
      <c r="AQ309" s="25">
        <f t="shared" si="43"/>
        <v>0</v>
      </c>
    </row>
    <row r="310" spans="1:43">
      <c r="A310" s="24">
        <v>46122</v>
      </c>
      <c r="B310" s="23">
        <f t="shared" si="36"/>
        <v>46113</v>
      </c>
      <c r="C310" s="2" t="s">
        <v>62</v>
      </c>
      <c r="D310" s="2" t="s">
        <v>516</v>
      </c>
      <c r="E310" s="2">
        <v>2621</v>
      </c>
      <c r="F310" s="2">
        <v>223</v>
      </c>
      <c r="G310" s="2">
        <v>221</v>
      </c>
      <c r="H310" s="2">
        <f t="shared" si="44"/>
        <v>2</v>
      </c>
      <c r="I310" s="2">
        <v>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1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/>
      <c r="AJ310" s="2" t="s">
        <v>1568</v>
      </c>
      <c r="AK310" s="2">
        <f t="shared" si="37"/>
        <v>1</v>
      </c>
      <c r="AL310" s="2">
        <f t="shared" si="38"/>
        <v>1</v>
      </c>
      <c r="AM310" s="2">
        <f t="shared" si="39"/>
        <v>0</v>
      </c>
      <c r="AN310" s="2">
        <f t="shared" si="40"/>
        <v>0</v>
      </c>
      <c r="AO310" s="2">
        <f t="shared" si="41"/>
        <v>0</v>
      </c>
      <c r="AP310" s="2">
        <f t="shared" si="42"/>
        <v>0</v>
      </c>
      <c r="AQ310" s="25">
        <f t="shared" si="43"/>
        <v>0</v>
      </c>
    </row>
    <row r="311" spans="1:43">
      <c r="A311" s="24">
        <v>46122</v>
      </c>
      <c r="B311" s="23">
        <f t="shared" si="36"/>
        <v>46113</v>
      </c>
      <c r="C311" s="2" t="s">
        <v>62</v>
      </c>
      <c r="D311" s="2" t="s">
        <v>466</v>
      </c>
      <c r="E311" s="2">
        <v>2634</v>
      </c>
      <c r="F311" s="2">
        <v>168</v>
      </c>
      <c r="G311" s="2">
        <v>151</v>
      </c>
      <c r="H311" s="2">
        <f t="shared" si="44"/>
        <v>17</v>
      </c>
      <c r="I311" s="2">
        <v>0</v>
      </c>
      <c r="J311" s="2">
        <v>17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/>
      <c r="AJ311" s="2" t="s">
        <v>1568</v>
      </c>
      <c r="AK311" s="2">
        <f t="shared" si="37"/>
        <v>0</v>
      </c>
      <c r="AL311" s="2">
        <f t="shared" si="38"/>
        <v>17</v>
      </c>
      <c r="AM311" s="2">
        <f t="shared" si="39"/>
        <v>0</v>
      </c>
      <c r="AN311" s="2">
        <f t="shared" si="40"/>
        <v>0</v>
      </c>
      <c r="AO311" s="2">
        <f t="shared" si="41"/>
        <v>0</v>
      </c>
      <c r="AP311" s="2">
        <f t="shared" si="42"/>
        <v>0</v>
      </c>
      <c r="AQ311" s="25">
        <f t="shared" si="43"/>
        <v>0</v>
      </c>
    </row>
    <row r="312" spans="1:43">
      <c r="A312" s="24">
        <v>46122</v>
      </c>
      <c r="B312" s="23">
        <f t="shared" si="36"/>
        <v>46113</v>
      </c>
      <c r="C312" s="2" t="s">
        <v>62</v>
      </c>
      <c r="D312" s="2" t="s">
        <v>516</v>
      </c>
      <c r="E312" s="2">
        <v>2621</v>
      </c>
      <c r="F312" s="2">
        <v>32</v>
      </c>
      <c r="G312" s="2">
        <v>32</v>
      </c>
      <c r="H312" s="2">
        <f t="shared" si="44"/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/>
      <c r="AJ312" s="2" t="s">
        <v>1568</v>
      </c>
      <c r="AK312" s="2">
        <f t="shared" si="37"/>
        <v>0</v>
      </c>
      <c r="AL312" s="2">
        <f t="shared" si="38"/>
        <v>0</v>
      </c>
      <c r="AM312" s="2">
        <f t="shared" si="39"/>
        <v>0</v>
      </c>
      <c r="AN312" s="2">
        <f t="shared" si="40"/>
        <v>0</v>
      </c>
      <c r="AO312" s="2">
        <f t="shared" si="41"/>
        <v>0</v>
      </c>
      <c r="AP312" s="2">
        <f t="shared" si="42"/>
        <v>0</v>
      </c>
      <c r="AQ312" s="25">
        <f t="shared" si="43"/>
        <v>0</v>
      </c>
    </row>
    <row r="313" spans="1:43">
      <c r="A313" s="24">
        <v>46122</v>
      </c>
      <c r="B313" s="23">
        <f t="shared" si="36"/>
        <v>46113</v>
      </c>
      <c r="C313" s="2" t="s">
        <v>62</v>
      </c>
      <c r="D313" s="2" t="s">
        <v>450</v>
      </c>
      <c r="E313" s="2">
        <v>1823</v>
      </c>
      <c r="F313" s="2">
        <v>31</v>
      </c>
      <c r="G313" s="2">
        <v>31</v>
      </c>
      <c r="H313" s="2">
        <f t="shared" si="44"/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/>
      <c r="AJ313" s="2" t="s">
        <v>1568</v>
      </c>
      <c r="AK313" s="2">
        <f t="shared" si="37"/>
        <v>0</v>
      </c>
      <c r="AL313" s="2">
        <f t="shared" si="38"/>
        <v>0</v>
      </c>
      <c r="AM313" s="2">
        <f t="shared" si="39"/>
        <v>0</v>
      </c>
      <c r="AN313" s="2">
        <f t="shared" si="40"/>
        <v>0</v>
      </c>
      <c r="AO313" s="2">
        <f t="shared" si="41"/>
        <v>0</v>
      </c>
      <c r="AP313" s="2">
        <f t="shared" si="42"/>
        <v>0</v>
      </c>
      <c r="AQ313" s="25">
        <f t="shared" si="43"/>
        <v>0</v>
      </c>
    </row>
    <row r="314" spans="1:43">
      <c r="A314" s="24">
        <v>46122</v>
      </c>
      <c r="B314" s="23">
        <f t="shared" si="36"/>
        <v>46113</v>
      </c>
      <c r="C314" s="2" t="s">
        <v>62</v>
      </c>
      <c r="D314" s="2" t="s">
        <v>461</v>
      </c>
      <c r="E314" s="2">
        <v>1806</v>
      </c>
      <c r="F314" s="2">
        <v>13</v>
      </c>
      <c r="G314" s="2">
        <v>13</v>
      </c>
      <c r="H314" s="2">
        <f t="shared" si="44"/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/>
      <c r="AJ314" s="2" t="s">
        <v>1568</v>
      </c>
      <c r="AK314" s="2">
        <f t="shared" si="37"/>
        <v>0</v>
      </c>
      <c r="AL314" s="2">
        <f t="shared" si="38"/>
        <v>0</v>
      </c>
      <c r="AM314" s="2">
        <f t="shared" si="39"/>
        <v>0</v>
      </c>
      <c r="AN314" s="2">
        <f t="shared" si="40"/>
        <v>0</v>
      </c>
      <c r="AO314" s="2">
        <f t="shared" si="41"/>
        <v>0</v>
      </c>
      <c r="AP314" s="2">
        <f t="shared" si="42"/>
        <v>0</v>
      </c>
      <c r="AQ314" s="25">
        <f t="shared" si="43"/>
        <v>0</v>
      </c>
    </row>
    <row r="315" spans="1:43">
      <c r="A315" s="24">
        <v>46122</v>
      </c>
      <c r="B315" s="23">
        <f t="shared" si="36"/>
        <v>46113</v>
      </c>
      <c r="C315" s="2" t="s">
        <v>63</v>
      </c>
      <c r="D315" s="2" t="s">
        <v>432</v>
      </c>
      <c r="E315" s="2">
        <v>2565</v>
      </c>
      <c r="F315" s="2">
        <v>400</v>
      </c>
      <c r="G315" s="2">
        <v>400</v>
      </c>
      <c r="H315" s="2">
        <f t="shared" si="44"/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/>
      <c r="AJ315" s="2" t="s">
        <v>1568</v>
      </c>
      <c r="AK315" s="2">
        <f t="shared" si="37"/>
        <v>0</v>
      </c>
      <c r="AL315" s="2">
        <f t="shared" si="38"/>
        <v>0</v>
      </c>
      <c r="AM315" s="2">
        <f t="shared" si="39"/>
        <v>0</v>
      </c>
      <c r="AN315" s="2">
        <f t="shared" si="40"/>
        <v>0</v>
      </c>
      <c r="AO315" s="2">
        <f t="shared" si="41"/>
        <v>0</v>
      </c>
      <c r="AP315" s="2">
        <f t="shared" si="42"/>
        <v>0</v>
      </c>
      <c r="AQ315" s="25">
        <f t="shared" si="43"/>
        <v>0</v>
      </c>
    </row>
    <row r="316" spans="1:43">
      <c r="A316" s="24">
        <v>46122</v>
      </c>
      <c r="B316" s="23">
        <f t="shared" si="36"/>
        <v>46113</v>
      </c>
      <c r="C316" s="2" t="s">
        <v>63</v>
      </c>
      <c r="D316" s="2" t="s">
        <v>508</v>
      </c>
      <c r="E316" s="2">
        <v>2565</v>
      </c>
      <c r="F316" s="2">
        <v>51</v>
      </c>
      <c r="G316" s="2">
        <v>50</v>
      </c>
      <c r="H316" s="2">
        <f t="shared" si="44"/>
        <v>1</v>
      </c>
      <c r="I316" s="2">
        <v>1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/>
      <c r="AJ316" s="2" t="s">
        <v>1568</v>
      </c>
      <c r="AK316" s="2">
        <f t="shared" si="37"/>
        <v>1</v>
      </c>
      <c r="AL316" s="2">
        <f t="shared" si="38"/>
        <v>0</v>
      </c>
      <c r="AM316" s="2">
        <f t="shared" si="39"/>
        <v>0</v>
      </c>
      <c r="AN316" s="2">
        <f t="shared" si="40"/>
        <v>0</v>
      </c>
      <c r="AO316" s="2">
        <f t="shared" si="41"/>
        <v>0</v>
      </c>
      <c r="AP316" s="2">
        <f t="shared" si="42"/>
        <v>0</v>
      </c>
      <c r="AQ316" s="25">
        <f t="shared" si="43"/>
        <v>0</v>
      </c>
    </row>
    <row r="317" spans="1:43">
      <c r="A317" s="24">
        <v>46122</v>
      </c>
      <c r="B317" s="23">
        <f t="shared" si="36"/>
        <v>46113</v>
      </c>
      <c r="C317" s="2" t="s">
        <v>62</v>
      </c>
      <c r="D317" s="2" t="s">
        <v>463</v>
      </c>
      <c r="E317" s="2">
        <v>2634</v>
      </c>
      <c r="F317" s="2">
        <v>69</v>
      </c>
      <c r="G317" s="2">
        <v>69</v>
      </c>
      <c r="H317" s="2">
        <f t="shared" si="44"/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/>
      <c r="AJ317" s="2" t="s">
        <v>1568</v>
      </c>
      <c r="AK317" s="2">
        <f t="shared" si="37"/>
        <v>0</v>
      </c>
      <c r="AL317" s="2">
        <f t="shared" si="38"/>
        <v>0</v>
      </c>
      <c r="AM317" s="2">
        <f t="shared" si="39"/>
        <v>0</v>
      </c>
      <c r="AN317" s="2">
        <f t="shared" si="40"/>
        <v>0</v>
      </c>
      <c r="AO317" s="2">
        <f t="shared" si="41"/>
        <v>0</v>
      </c>
      <c r="AP317" s="2">
        <f t="shared" si="42"/>
        <v>0</v>
      </c>
      <c r="AQ317" s="25">
        <f t="shared" si="43"/>
        <v>0</v>
      </c>
    </row>
    <row r="318" spans="1:43">
      <c r="A318" s="24">
        <v>46122</v>
      </c>
      <c r="B318" s="23">
        <f t="shared" si="36"/>
        <v>46113</v>
      </c>
      <c r="C318" s="2" t="s">
        <v>62</v>
      </c>
      <c r="D318" s="2" t="s">
        <v>559</v>
      </c>
      <c r="E318" s="2">
        <v>1824</v>
      </c>
      <c r="F318" s="2">
        <v>86</v>
      </c>
      <c r="G318" s="2">
        <v>86</v>
      </c>
      <c r="H318" s="2">
        <f t="shared" si="44"/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/>
      <c r="AJ318" s="2" t="s">
        <v>1568</v>
      </c>
      <c r="AK318" s="2">
        <f t="shared" si="37"/>
        <v>0</v>
      </c>
      <c r="AL318" s="2">
        <f t="shared" si="38"/>
        <v>0</v>
      </c>
      <c r="AM318" s="2">
        <f t="shared" si="39"/>
        <v>0</v>
      </c>
      <c r="AN318" s="2">
        <f t="shared" si="40"/>
        <v>0</v>
      </c>
      <c r="AO318" s="2">
        <f t="shared" si="41"/>
        <v>0</v>
      </c>
      <c r="AP318" s="2">
        <f t="shared" si="42"/>
        <v>0</v>
      </c>
      <c r="AQ318" s="25">
        <f t="shared" si="43"/>
        <v>0</v>
      </c>
    </row>
    <row r="319" spans="1:43">
      <c r="A319" s="24">
        <v>46122</v>
      </c>
      <c r="B319" s="23">
        <f t="shared" si="36"/>
        <v>46113</v>
      </c>
      <c r="C319" s="2" t="s">
        <v>62</v>
      </c>
      <c r="D319" s="2" t="s">
        <v>1198</v>
      </c>
      <c r="E319" s="2">
        <v>2775</v>
      </c>
      <c r="F319" s="2">
        <v>27</v>
      </c>
      <c r="G319" s="2">
        <v>27</v>
      </c>
      <c r="H319" s="2">
        <f t="shared" si="44"/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/>
      <c r="AJ319" s="2" t="s">
        <v>1568</v>
      </c>
      <c r="AK319" s="2">
        <f t="shared" si="37"/>
        <v>0</v>
      </c>
      <c r="AL319" s="2">
        <f t="shared" si="38"/>
        <v>0</v>
      </c>
      <c r="AM319" s="2">
        <f t="shared" si="39"/>
        <v>0</v>
      </c>
      <c r="AN319" s="2">
        <f t="shared" si="40"/>
        <v>0</v>
      </c>
      <c r="AO319" s="2">
        <f t="shared" si="41"/>
        <v>0</v>
      </c>
      <c r="AP319" s="2">
        <f t="shared" si="42"/>
        <v>0</v>
      </c>
      <c r="AQ319" s="25">
        <f t="shared" si="43"/>
        <v>0</v>
      </c>
    </row>
    <row r="320" spans="1:43">
      <c r="A320" s="24">
        <v>46122</v>
      </c>
      <c r="B320" s="23">
        <f t="shared" si="36"/>
        <v>46113</v>
      </c>
      <c r="C320" s="2" t="s">
        <v>62</v>
      </c>
      <c r="D320" s="2" t="s">
        <v>463</v>
      </c>
      <c r="E320" s="2">
        <v>2634</v>
      </c>
      <c r="F320" s="2">
        <v>20</v>
      </c>
      <c r="G320" s="2">
        <v>20</v>
      </c>
      <c r="H320" s="2">
        <f t="shared" si="44"/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/>
      <c r="AJ320" s="2" t="s">
        <v>1568</v>
      </c>
      <c r="AK320" s="2">
        <f t="shared" si="37"/>
        <v>0</v>
      </c>
      <c r="AL320" s="2">
        <f t="shared" si="38"/>
        <v>0</v>
      </c>
      <c r="AM320" s="2">
        <f t="shared" si="39"/>
        <v>0</v>
      </c>
      <c r="AN320" s="2">
        <f t="shared" si="40"/>
        <v>0</v>
      </c>
      <c r="AO320" s="2">
        <f t="shared" si="41"/>
        <v>0</v>
      </c>
      <c r="AP320" s="2">
        <f t="shared" si="42"/>
        <v>0</v>
      </c>
      <c r="AQ320" s="25">
        <f t="shared" si="43"/>
        <v>0</v>
      </c>
    </row>
    <row r="321" spans="1:43">
      <c r="A321" s="24">
        <v>46122</v>
      </c>
      <c r="B321" s="23">
        <f t="shared" si="36"/>
        <v>46113</v>
      </c>
      <c r="C321" s="2" t="s">
        <v>63</v>
      </c>
      <c r="D321" s="2" t="s">
        <v>466</v>
      </c>
      <c r="E321" s="2">
        <v>2634</v>
      </c>
      <c r="F321" s="2">
        <v>32</v>
      </c>
      <c r="G321" s="2">
        <v>26</v>
      </c>
      <c r="H321" s="2">
        <f t="shared" si="44"/>
        <v>6</v>
      </c>
      <c r="I321" s="2">
        <v>0</v>
      </c>
      <c r="J321" s="2">
        <v>6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/>
      <c r="AJ321" s="2" t="s">
        <v>1568</v>
      </c>
      <c r="AK321" s="2">
        <f t="shared" si="37"/>
        <v>0</v>
      </c>
      <c r="AL321" s="2">
        <f t="shared" si="38"/>
        <v>6</v>
      </c>
      <c r="AM321" s="2">
        <f t="shared" si="39"/>
        <v>0</v>
      </c>
      <c r="AN321" s="2">
        <f t="shared" si="40"/>
        <v>0</v>
      </c>
      <c r="AO321" s="2">
        <f t="shared" si="41"/>
        <v>0</v>
      </c>
      <c r="AP321" s="2">
        <f t="shared" si="42"/>
        <v>0</v>
      </c>
      <c r="AQ321" s="25">
        <f t="shared" si="43"/>
        <v>0</v>
      </c>
    </row>
    <row r="322" spans="1:43">
      <c r="A322" s="24">
        <v>46122</v>
      </c>
      <c r="B322" s="23">
        <f t="shared" ref="B322:B385" si="45">EOMONTH(A322,-1)+1</f>
        <v>46113</v>
      </c>
      <c r="C322" s="2" t="s">
        <v>1484</v>
      </c>
      <c r="D322" s="2" t="s">
        <v>1540</v>
      </c>
      <c r="E322" s="2">
        <v>1767</v>
      </c>
      <c r="F322" s="2">
        <v>11</v>
      </c>
      <c r="G322" s="2">
        <v>7</v>
      </c>
      <c r="H322" s="2">
        <f t="shared" si="44"/>
        <v>4</v>
      </c>
      <c r="I322" s="2">
        <v>1</v>
      </c>
      <c r="J322" s="2">
        <v>0</v>
      </c>
      <c r="K322" s="2">
        <v>2</v>
      </c>
      <c r="L322" s="2">
        <v>0</v>
      </c>
      <c r="M322" s="2">
        <v>1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/>
      <c r="AJ322" s="2" t="s">
        <v>1566</v>
      </c>
      <c r="AK322" s="2">
        <f t="shared" ref="AK322:AK385" si="46">+I322+AF322</f>
        <v>1</v>
      </c>
      <c r="AL322" s="2">
        <f t="shared" ref="AL322:AL385" si="47">+J322+K322+O322+N322+P322+R322+S322+Q322+M322+L322</f>
        <v>3</v>
      </c>
      <c r="AM322" s="2">
        <f t="shared" ref="AM322:AM385" si="48">+AB322+AC322</f>
        <v>0</v>
      </c>
      <c r="AN322" s="2">
        <f t="shared" ref="AN322:AN385" si="49">+AH322+AG322+AA322+Z322</f>
        <v>0</v>
      </c>
      <c r="AO322" s="2">
        <f t="shared" ref="AO322:AO385" si="50">+X322+W322+V322+U322+T322+Y322</f>
        <v>0</v>
      </c>
      <c r="AP322" s="2">
        <f t="shared" ref="AP322:AP385" si="51">+AD322</f>
        <v>0</v>
      </c>
      <c r="AQ322" s="25">
        <f t="shared" ref="AQ322:AQ385" si="52">+AE322</f>
        <v>0</v>
      </c>
    </row>
    <row r="323" spans="1:43">
      <c r="A323" s="24">
        <v>46122</v>
      </c>
      <c r="B323" s="23">
        <f t="shared" si="45"/>
        <v>46113</v>
      </c>
      <c r="C323" s="2" t="s">
        <v>55</v>
      </c>
      <c r="D323" s="2" t="s">
        <v>498</v>
      </c>
      <c r="E323" s="2">
        <v>2569</v>
      </c>
      <c r="F323" s="2">
        <v>44</v>
      </c>
      <c r="G323" s="2">
        <v>43</v>
      </c>
      <c r="H323" s="2">
        <f t="shared" ref="H323:H386" si="53">F323-G323</f>
        <v>1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1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/>
      <c r="AJ323" s="2" t="s">
        <v>1566</v>
      </c>
      <c r="AK323" s="2">
        <f t="shared" si="46"/>
        <v>0</v>
      </c>
      <c r="AL323" s="2">
        <f t="shared" si="47"/>
        <v>0</v>
      </c>
      <c r="AM323" s="2">
        <f t="shared" si="48"/>
        <v>1</v>
      </c>
      <c r="AN323" s="2">
        <f t="shared" si="49"/>
        <v>0</v>
      </c>
      <c r="AO323" s="2">
        <f t="shared" si="50"/>
        <v>0</v>
      </c>
      <c r="AP323" s="2">
        <f t="shared" si="51"/>
        <v>0</v>
      </c>
      <c r="AQ323" s="25">
        <f t="shared" si="52"/>
        <v>0</v>
      </c>
    </row>
    <row r="324" spans="1:43">
      <c r="A324" s="24">
        <v>46122</v>
      </c>
      <c r="B324" s="23">
        <f t="shared" si="45"/>
        <v>46113</v>
      </c>
      <c r="C324" s="2" t="s">
        <v>55</v>
      </c>
      <c r="D324" s="2" t="s">
        <v>1289</v>
      </c>
      <c r="E324" s="2">
        <v>2570</v>
      </c>
      <c r="F324" s="2">
        <v>28</v>
      </c>
      <c r="G324" s="2">
        <v>27</v>
      </c>
      <c r="H324" s="2">
        <f t="shared" si="53"/>
        <v>1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1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/>
      <c r="AJ324" s="2" t="s">
        <v>1566</v>
      </c>
      <c r="AK324" s="2">
        <f t="shared" si="46"/>
        <v>0</v>
      </c>
      <c r="AL324" s="2">
        <f t="shared" si="47"/>
        <v>0</v>
      </c>
      <c r="AM324" s="2">
        <f t="shared" si="48"/>
        <v>1</v>
      </c>
      <c r="AN324" s="2">
        <f t="shared" si="49"/>
        <v>0</v>
      </c>
      <c r="AO324" s="2">
        <f t="shared" si="50"/>
        <v>0</v>
      </c>
      <c r="AP324" s="2">
        <f t="shared" si="51"/>
        <v>0</v>
      </c>
      <c r="AQ324" s="25">
        <f t="shared" si="52"/>
        <v>0</v>
      </c>
    </row>
    <row r="325" spans="1:43">
      <c r="A325" s="24">
        <v>46122</v>
      </c>
      <c r="B325" s="23">
        <f t="shared" si="45"/>
        <v>46113</v>
      </c>
      <c r="C325" s="2" t="s">
        <v>133</v>
      </c>
      <c r="D325" s="2" t="s">
        <v>1493</v>
      </c>
      <c r="E325" s="2">
        <v>95232</v>
      </c>
      <c r="F325" s="2">
        <v>29</v>
      </c>
      <c r="G325" s="2">
        <v>27</v>
      </c>
      <c r="H325" s="2">
        <f t="shared" si="53"/>
        <v>2</v>
      </c>
      <c r="I325" s="2">
        <v>2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/>
      <c r="AJ325" s="2" t="s">
        <v>1566</v>
      </c>
      <c r="AK325" s="2">
        <f t="shared" si="46"/>
        <v>2</v>
      </c>
      <c r="AL325" s="2">
        <f t="shared" si="47"/>
        <v>0</v>
      </c>
      <c r="AM325" s="2">
        <f t="shared" si="48"/>
        <v>0</v>
      </c>
      <c r="AN325" s="2">
        <f t="shared" si="49"/>
        <v>0</v>
      </c>
      <c r="AO325" s="2">
        <f t="shared" si="50"/>
        <v>0</v>
      </c>
      <c r="AP325" s="2">
        <f t="shared" si="51"/>
        <v>0</v>
      </c>
      <c r="AQ325" s="25">
        <f t="shared" si="52"/>
        <v>0</v>
      </c>
    </row>
    <row r="326" spans="1:43">
      <c r="A326" s="24">
        <v>46122</v>
      </c>
      <c r="B326" s="23">
        <f t="shared" si="45"/>
        <v>46113</v>
      </c>
      <c r="C326" s="2" t="s">
        <v>55</v>
      </c>
      <c r="D326" s="2" t="s">
        <v>430</v>
      </c>
      <c r="E326" s="2">
        <v>2617</v>
      </c>
      <c r="F326" s="2">
        <v>28</v>
      </c>
      <c r="G326" s="2">
        <v>25</v>
      </c>
      <c r="H326" s="2">
        <f t="shared" si="53"/>
        <v>3</v>
      </c>
      <c r="I326" s="2">
        <v>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/>
      <c r="AJ326" s="2" t="s">
        <v>1566</v>
      </c>
      <c r="AK326" s="2">
        <f t="shared" si="46"/>
        <v>3</v>
      </c>
      <c r="AL326" s="2">
        <f t="shared" si="47"/>
        <v>0</v>
      </c>
      <c r="AM326" s="2">
        <f t="shared" si="48"/>
        <v>0</v>
      </c>
      <c r="AN326" s="2">
        <f t="shared" si="49"/>
        <v>0</v>
      </c>
      <c r="AO326" s="2">
        <f t="shared" si="50"/>
        <v>0</v>
      </c>
      <c r="AP326" s="2">
        <f t="shared" si="51"/>
        <v>0</v>
      </c>
      <c r="AQ326" s="25">
        <f t="shared" si="52"/>
        <v>0</v>
      </c>
    </row>
    <row r="327" spans="1:43">
      <c r="A327" s="24">
        <v>46122</v>
      </c>
      <c r="B327" s="23">
        <f t="shared" si="45"/>
        <v>46113</v>
      </c>
      <c r="C327" s="2" t="s">
        <v>95</v>
      </c>
      <c r="D327" s="2" t="s">
        <v>451</v>
      </c>
      <c r="E327" s="2">
        <v>1698</v>
      </c>
      <c r="F327" s="2">
        <v>164</v>
      </c>
      <c r="G327" s="2">
        <v>162</v>
      </c>
      <c r="H327" s="2">
        <f t="shared" si="53"/>
        <v>2</v>
      </c>
      <c r="I327" s="2">
        <v>2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/>
      <c r="AJ327" s="2" t="s">
        <v>1567</v>
      </c>
      <c r="AK327" s="2">
        <f t="shared" si="46"/>
        <v>2</v>
      </c>
      <c r="AL327" s="2">
        <f t="shared" si="47"/>
        <v>0</v>
      </c>
      <c r="AM327" s="2">
        <f t="shared" si="48"/>
        <v>0</v>
      </c>
      <c r="AN327" s="2">
        <f t="shared" si="49"/>
        <v>0</v>
      </c>
      <c r="AO327" s="2">
        <f t="shared" si="50"/>
        <v>0</v>
      </c>
      <c r="AP327" s="2">
        <f t="shared" si="51"/>
        <v>0</v>
      </c>
      <c r="AQ327" s="25">
        <f t="shared" si="52"/>
        <v>0</v>
      </c>
    </row>
    <row r="328" spans="1:43">
      <c r="A328" s="24">
        <v>46122</v>
      </c>
      <c r="B328" s="23">
        <f t="shared" si="45"/>
        <v>46113</v>
      </c>
      <c r="C328" s="2" t="s">
        <v>95</v>
      </c>
      <c r="D328" s="2" t="s">
        <v>583</v>
      </c>
      <c r="E328" s="2">
        <v>2667</v>
      </c>
      <c r="F328" s="2">
        <v>110</v>
      </c>
      <c r="G328" s="2">
        <v>109</v>
      </c>
      <c r="H328" s="2">
        <f t="shared" si="53"/>
        <v>1</v>
      </c>
      <c r="I328" s="2">
        <v>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/>
      <c r="AJ328" s="2" t="s">
        <v>1567</v>
      </c>
      <c r="AK328" s="2">
        <f t="shared" si="46"/>
        <v>1</v>
      </c>
      <c r="AL328" s="2">
        <f t="shared" si="47"/>
        <v>0</v>
      </c>
      <c r="AM328" s="2">
        <f t="shared" si="48"/>
        <v>0</v>
      </c>
      <c r="AN328" s="2">
        <f t="shared" si="49"/>
        <v>0</v>
      </c>
      <c r="AO328" s="2">
        <f t="shared" si="50"/>
        <v>0</v>
      </c>
      <c r="AP328" s="2">
        <f t="shared" si="51"/>
        <v>0</v>
      </c>
      <c r="AQ328" s="25">
        <f t="shared" si="52"/>
        <v>0</v>
      </c>
    </row>
    <row r="329" spans="1:43">
      <c r="A329" s="24">
        <v>46122</v>
      </c>
      <c r="B329" s="23">
        <f t="shared" si="45"/>
        <v>46113</v>
      </c>
      <c r="C329" s="2" t="s">
        <v>95</v>
      </c>
      <c r="D329" s="2" t="s">
        <v>1195</v>
      </c>
      <c r="E329" s="2">
        <v>2752</v>
      </c>
      <c r="F329" s="2">
        <v>83</v>
      </c>
      <c r="G329" s="2">
        <v>76</v>
      </c>
      <c r="H329" s="2">
        <f t="shared" si="53"/>
        <v>7</v>
      </c>
      <c r="I329" s="2">
        <v>5</v>
      </c>
      <c r="J329" s="2">
        <v>2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/>
      <c r="AJ329" s="2" t="s">
        <v>1567</v>
      </c>
      <c r="AK329" s="2">
        <f t="shared" si="46"/>
        <v>5</v>
      </c>
      <c r="AL329" s="2">
        <f t="shared" si="47"/>
        <v>2</v>
      </c>
      <c r="AM329" s="2">
        <f t="shared" si="48"/>
        <v>0</v>
      </c>
      <c r="AN329" s="2">
        <f t="shared" si="49"/>
        <v>0</v>
      </c>
      <c r="AO329" s="2">
        <f t="shared" si="50"/>
        <v>0</v>
      </c>
      <c r="AP329" s="2">
        <f t="shared" si="51"/>
        <v>0</v>
      </c>
      <c r="AQ329" s="25">
        <f t="shared" si="52"/>
        <v>0</v>
      </c>
    </row>
    <row r="330" spans="1:43">
      <c r="A330" s="24">
        <v>46122</v>
      </c>
      <c r="B330" s="23">
        <f t="shared" si="45"/>
        <v>46113</v>
      </c>
      <c r="C330" s="2" t="s">
        <v>95</v>
      </c>
      <c r="D330" s="2" t="s">
        <v>451</v>
      </c>
      <c r="E330" s="2">
        <v>1698</v>
      </c>
      <c r="F330" s="2">
        <v>401</v>
      </c>
      <c r="G330" s="2">
        <v>384</v>
      </c>
      <c r="H330" s="2">
        <f t="shared" si="53"/>
        <v>17</v>
      </c>
      <c r="I330" s="2">
        <v>15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2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/>
      <c r="AJ330" s="2" t="s">
        <v>99</v>
      </c>
      <c r="AK330" s="2">
        <f t="shared" si="46"/>
        <v>15</v>
      </c>
      <c r="AL330" s="2">
        <f t="shared" si="47"/>
        <v>2</v>
      </c>
      <c r="AM330" s="2">
        <f t="shared" si="48"/>
        <v>0</v>
      </c>
      <c r="AN330" s="2">
        <f t="shared" si="49"/>
        <v>0</v>
      </c>
      <c r="AO330" s="2">
        <f t="shared" si="50"/>
        <v>0</v>
      </c>
      <c r="AP330" s="2">
        <f t="shared" si="51"/>
        <v>0</v>
      </c>
      <c r="AQ330" s="25">
        <f t="shared" si="52"/>
        <v>0</v>
      </c>
    </row>
    <row r="331" spans="1:43">
      <c r="A331" s="24">
        <v>46122</v>
      </c>
      <c r="B331" s="23">
        <f t="shared" si="45"/>
        <v>46113</v>
      </c>
      <c r="C331" s="2" t="s">
        <v>46</v>
      </c>
      <c r="D331" s="2" t="s">
        <v>433</v>
      </c>
      <c r="E331" s="2">
        <v>10038</v>
      </c>
      <c r="F331" s="2">
        <v>480</v>
      </c>
      <c r="G331" s="2">
        <v>480</v>
      </c>
      <c r="H331" s="2">
        <f t="shared" si="53"/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/>
      <c r="AJ331" s="2" t="s">
        <v>1567</v>
      </c>
      <c r="AK331" s="2">
        <f t="shared" si="46"/>
        <v>0</v>
      </c>
      <c r="AL331" s="2">
        <f t="shared" si="47"/>
        <v>0</v>
      </c>
      <c r="AM331" s="2">
        <f t="shared" si="48"/>
        <v>0</v>
      </c>
      <c r="AN331" s="2">
        <f t="shared" si="49"/>
        <v>0</v>
      </c>
      <c r="AO331" s="2">
        <f t="shared" si="50"/>
        <v>0</v>
      </c>
      <c r="AP331" s="2">
        <f t="shared" si="51"/>
        <v>0</v>
      </c>
      <c r="AQ331" s="25">
        <f t="shared" si="52"/>
        <v>0</v>
      </c>
    </row>
    <row r="332" spans="1:43">
      <c r="A332" s="24">
        <v>46122</v>
      </c>
      <c r="B332" s="23">
        <f t="shared" si="45"/>
        <v>46113</v>
      </c>
      <c r="C332" s="2" t="s">
        <v>46</v>
      </c>
      <c r="D332" s="2" t="s">
        <v>512</v>
      </c>
      <c r="E332" s="2">
        <v>1845</v>
      </c>
      <c r="F332" s="2">
        <v>89</v>
      </c>
      <c r="G332" s="2">
        <v>86</v>
      </c>
      <c r="H332" s="2">
        <f t="shared" si="53"/>
        <v>3</v>
      </c>
      <c r="I332" s="2">
        <v>3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/>
      <c r="AJ332" s="2" t="s">
        <v>1567</v>
      </c>
      <c r="AK332" s="2">
        <f t="shared" si="46"/>
        <v>3</v>
      </c>
      <c r="AL332" s="2">
        <f t="shared" si="47"/>
        <v>0</v>
      </c>
      <c r="AM332" s="2">
        <f t="shared" si="48"/>
        <v>0</v>
      </c>
      <c r="AN332" s="2">
        <f t="shared" si="49"/>
        <v>0</v>
      </c>
      <c r="AO332" s="2">
        <f t="shared" si="50"/>
        <v>0</v>
      </c>
      <c r="AP332" s="2">
        <f t="shared" si="51"/>
        <v>0</v>
      </c>
      <c r="AQ332" s="25">
        <f t="shared" si="52"/>
        <v>0</v>
      </c>
    </row>
    <row r="333" spans="1:43">
      <c r="A333" s="24">
        <v>46122</v>
      </c>
      <c r="B333" s="23">
        <f t="shared" si="45"/>
        <v>46113</v>
      </c>
      <c r="C333" s="2" t="s">
        <v>95</v>
      </c>
      <c r="D333" s="2" t="s">
        <v>567</v>
      </c>
      <c r="E333" s="2">
        <v>2579</v>
      </c>
      <c r="F333" s="2">
        <v>91</v>
      </c>
      <c r="G333" s="2">
        <v>89</v>
      </c>
      <c r="H333" s="2">
        <f t="shared" si="53"/>
        <v>2</v>
      </c>
      <c r="I333" s="2">
        <v>2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/>
      <c r="AJ333" s="2" t="s">
        <v>1567</v>
      </c>
      <c r="AK333" s="2">
        <f t="shared" si="46"/>
        <v>2</v>
      </c>
      <c r="AL333" s="2">
        <f t="shared" si="47"/>
        <v>0</v>
      </c>
      <c r="AM333" s="2">
        <f t="shared" si="48"/>
        <v>0</v>
      </c>
      <c r="AN333" s="2">
        <f t="shared" si="49"/>
        <v>0</v>
      </c>
      <c r="AO333" s="2">
        <f t="shared" si="50"/>
        <v>0</v>
      </c>
      <c r="AP333" s="2">
        <f t="shared" si="51"/>
        <v>0</v>
      </c>
      <c r="AQ333" s="25">
        <f t="shared" si="52"/>
        <v>0</v>
      </c>
    </row>
    <row r="334" spans="1:43">
      <c r="A334" s="24">
        <v>46122</v>
      </c>
      <c r="B334" s="23">
        <f t="shared" si="45"/>
        <v>46113</v>
      </c>
      <c r="C334" s="2" t="s">
        <v>46</v>
      </c>
      <c r="D334" s="2" t="s">
        <v>493</v>
      </c>
      <c r="E334" s="2">
        <v>1877</v>
      </c>
      <c r="F334" s="2">
        <v>32</v>
      </c>
      <c r="G334" s="2">
        <v>32</v>
      </c>
      <c r="H334" s="2">
        <f t="shared" si="53"/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/>
      <c r="AJ334" s="2" t="s">
        <v>1567</v>
      </c>
      <c r="AK334" s="2">
        <f t="shared" si="46"/>
        <v>0</v>
      </c>
      <c r="AL334" s="2">
        <f t="shared" si="47"/>
        <v>0</v>
      </c>
      <c r="AM334" s="2">
        <f t="shared" si="48"/>
        <v>0</v>
      </c>
      <c r="AN334" s="2">
        <f t="shared" si="49"/>
        <v>0</v>
      </c>
      <c r="AO334" s="2">
        <f t="shared" si="50"/>
        <v>0</v>
      </c>
      <c r="AP334" s="2">
        <f t="shared" si="51"/>
        <v>0</v>
      </c>
      <c r="AQ334" s="25">
        <f t="shared" si="52"/>
        <v>0</v>
      </c>
    </row>
    <row r="335" spans="1:43">
      <c r="A335" s="24">
        <v>46122</v>
      </c>
      <c r="B335" s="23">
        <f t="shared" si="45"/>
        <v>46113</v>
      </c>
      <c r="C335" s="2" t="s">
        <v>46</v>
      </c>
      <c r="D335" s="2" t="s">
        <v>492</v>
      </c>
      <c r="E335" s="2">
        <v>1877</v>
      </c>
      <c r="F335" s="2">
        <v>43</v>
      </c>
      <c r="G335" s="2">
        <v>42</v>
      </c>
      <c r="H335" s="2">
        <f t="shared" si="53"/>
        <v>1</v>
      </c>
      <c r="I335" s="2">
        <v>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/>
      <c r="AJ335" s="2" t="s">
        <v>1567</v>
      </c>
      <c r="AK335" s="2">
        <f t="shared" si="46"/>
        <v>1</v>
      </c>
      <c r="AL335" s="2">
        <f t="shared" si="47"/>
        <v>0</v>
      </c>
      <c r="AM335" s="2">
        <f t="shared" si="48"/>
        <v>0</v>
      </c>
      <c r="AN335" s="2">
        <f t="shared" si="49"/>
        <v>0</v>
      </c>
      <c r="AO335" s="2">
        <f t="shared" si="50"/>
        <v>0</v>
      </c>
      <c r="AP335" s="2">
        <f t="shared" si="51"/>
        <v>0</v>
      </c>
      <c r="AQ335" s="25">
        <f t="shared" si="52"/>
        <v>0</v>
      </c>
    </row>
    <row r="336" spans="1:43">
      <c r="A336" s="24">
        <v>46122</v>
      </c>
      <c r="B336" s="23">
        <f t="shared" si="45"/>
        <v>46113</v>
      </c>
      <c r="C336" s="2" t="s">
        <v>46</v>
      </c>
      <c r="D336" s="2" t="s">
        <v>551</v>
      </c>
      <c r="E336" s="2">
        <v>1877</v>
      </c>
      <c r="F336" s="2">
        <v>74</v>
      </c>
      <c r="G336" s="2">
        <v>70</v>
      </c>
      <c r="H336" s="2">
        <f t="shared" si="53"/>
        <v>4</v>
      </c>
      <c r="I336" s="2">
        <v>4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/>
      <c r="AJ336" s="2" t="s">
        <v>1567</v>
      </c>
      <c r="AK336" s="2">
        <f t="shared" si="46"/>
        <v>4</v>
      </c>
      <c r="AL336" s="2">
        <f t="shared" si="47"/>
        <v>0</v>
      </c>
      <c r="AM336" s="2">
        <f t="shared" si="48"/>
        <v>0</v>
      </c>
      <c r="AN336" s="2">
        <f t="shared" si="49"/>
        <v>0</v>
      </c>
      <c r="AO336" s="2">
        <f t="shared" si="50"/>
        <v>0</v>
      </c>
      <c r="AP336" s="2">
        <f t="shared" si="51"/>
        <v>0</v>
      </c>
      <c r="AQ336" s="25">
        <f t="shared" si="52"/>
        <v>0</v>
      </c>
    </row>
    <row r="337" spans="1:43">
      <c r="A337" s="24">
        <v>46122</v>
      </c>
      <c r="B337" s="23">
        <f t="shared" si="45"/>
        <v>46113</v>
      </c>
      <c r="C337" s="2" t="s">
        <v>46</v>
      </c>
      <c r="D337" s="2" t="s">
        <v>509</v>
      </c>
      <c r="E337" s="2">
        <v>2659</v>
      </c>
      <c r="F337" s="2">
        <v>28</v>
      </c>
      <c r="G337" s="2">
        <v>28</v>
      </c>
      <c r="H337" s="2">
        <f t="shared" si="53"/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/>
      <c r="AJ337" s="2" t="s">
        <v>1567</v>
      </c>
      <c r="AK337" s="2">
        <f t="shared" si="46"/>
        <v>0</v>
      </c>
      <c r="AL337" s="2">
        <f t="shared" si="47"/>
        <v>0</v>
      </c>
      <c r="AM337" s="2">
        <f t="shared" si="48"/>
        <v>0</v>
      </c>
      <c r="AN337" s="2">
        <f t="shared" si="49"/>
        <v>0</v>
      </c>
      <c r="AO337" s="2">
        <f t="shared" si="50"/>
        <v>0</v>
      </c>
      <c r="AP337" s="2">
        <f t="shared" si="51"/>
        <v>0</v>
      </c>
      <c r="AQ337" s="25">
        <f t="shared" si="52"/>
        <v>0</v>
      </c>
    </row>
    <row r="338" spans="1:43">
      <c r="A338" s="24">
        <v>46122</v>
      </c>
      <c r="B338" s="23">
        <f t="shared" si="45"/>
        <v>46113</v>
      </c>
      <c r="C338" s="2" t="s">
        <v>46</v>
      </c>
      <c r="D338" s="2" t="s">
        <v>1509</v>
      </c>
      <c r="E338" s="2">
        <v>1163</v>
      </c>
      <c r="F338" s="2">
        <v>55</v>
      </c>
      <c r="G338" s="2">
        <v>53</v>
      </c>
      <c r="H338" s="2">
        <f t="shared" si="53"/>
        <v>2</v>
      </c>
      <c r="I338" s="2">
        <v>2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/>
      <c r="AJ338" s="2" t="s">
        <v>1567</v>
      </c>
      <c r="AK338" s="2">
        <f t="shared" si="46"/>
        <v>2</v>
      </c>
      <c r="AL338" s="2">
        <f t="shared" si="47"/>
        <v>0</v>
      </c>
      <c r="AM338" s="2">
        <f t="shared" si="48"/>
        <v>0</v>
      </c>
      <c r="AN338" s="2">
        <f t="shared" si="49"/>
        <v>0</v>
      </c>
      <c r="AO338" s="2">
        <f t="shared" si="50"/>
        <v>0</v>
      </c>
      <c r="AP338" s="2">
        <f t="shared" si="51"/>
        <v>0</v>
      </c>
      <c r="AQ338" s="25">
        <f t="shared" si="52"/>
        <v>0</v>
      </c>
    </row>
    <row r="339" spans="1:43">
      <c r="A339" s="24">
        <v>46122</v>
      </c>
      <c r="B339" s="23">
        <f t="shared" si="45"/>
        <v>46113</v>
      </c>
      <c r="C339" s="2" t="s">
        <v>66</v>
      </c>
      <c r="D339" s="2" t="s">
        <v>434</v>
      </c>
      <c r="E339" s="2">
        <v>1767</v>
      </c>
      <c r="F339" s="2">
        <v>119</v>
      </c>
      <c r="G339" s="2">
        <v>109</v>
      </c>
      <c r="H339" s="2">
        <f t="shared" si="53"/>
        <v>10</v>
      </c>
      <c r="I339" s="2">
        <v>1</v>
      </c>
      <c r="J339" s="2">
        <v>0</v>
      </c>
      <c r="K339" s="2">
        <v>8</v>
      </c>
      <c r="L339" s="2">
        <v>0</v>
      </c>
      <c r="M339" s="2">
        <v>0</v>
      </c>
      <c r="N339" s="2">
        <v>0</v>
      </c>
      <c r="O339" s="2">
        <v>1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/>
      <c r="AJ339" s="2" t="s">
        <v>110</v>
      </c>
      <c r="AK339" s="2">
        <f t="shared" si="46"/>
        <v>1</v>
      </c>
      <c r="AL339" s="2">
        <f t="shared" si="47"/>
        <v>9</v>
      </c>
      <c r="AM339" s="2">
        <f t="shared" si="48"/>
        <v>0</v>
      </c>
      <c r="AN339" s="2">
        <f t="shared" si="49"/>
        <v>0</v>
      </c>
      <c r="AO339" s="2">
        <f t="shared" si="50"/>
        <v>0</v>
      </c>
      <c r="AP339" s="2">
        <f t="shared" si="51"/>
        <v>0</v>
      </c>
      <c r="AQ339" s="25">
        <f t="shared" si="52"/>
        <v>0</v>
      </c>
    </row>
    <row r="340" spans="1:43">
      <c r="A340" s="24">
        <v>46122</v>
      </c>
      <c r="B340" s="23">
        <f t="shared" si="45"/>
        <v>46113</v>
      </c>
      <c r="C340" s="2" t="s">
        <v>66</v>
      </c>
      <c r="D340" s="2" t="s">
        <v>1287</v>
      </c>
      <c r="E340" s="2">
        <v>1636</v>
      </c>
      <c r="F340" s="2">
        <v>68</v>
      </c>
      <c r="G340" s="2">
        <v>68</v>
      </c>
      <c r="H340" s="2">
        <f t="shared" si="53"/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/>
      <c r="AJ340" s="2" t="s">
        <v>110</v>
      </c>
      <c r="AK340" s="2">
        <f t="shared" si="46"/>
        <v>0</v>
      </c>
      <c r="AL340" s="2">
        <f t="shared" si="47"/>
        <v>0</v>
      </c>
      <c r="AM340" s="2">
        <f t="shared" si="48"/>
        <v>0</v>
      </c>
      <c r="AN340" s="2">
        <f t="shared" si="49"/>
        <v>0</v>
      </c>
      <c r="AO340" s="2">
        <f t="shared" si="50"/>
        <v>0</v>
      </c>
      <c r="AP340" s="2">
        <f t="shared" si="51"/>
        <v>0</v>
      </c>
      <c r="AQ340" s="25">
        <f t="shared" si="52"/>
        <v>0</v>
      </c>
    </row>
    <row r="341" spans="1:43">
      <c r="A341" s="24">
        <v>46122</v>
      </c>
      <c r="B341" s="23">
        <f t="shared" si="45"/>
        <v>46113</v>
      </c>
      <c r="C341" s="2" t="s">
        <v>66</v>
      </c>
      <c r="D341" s="2" t="s">
        <v>464</v>
      </c>
      <c r="E341" s="2">
        <v>2642</v>
      </c>
      <c r="F341" s="2">
        <v>33</v>
      </c>
      <c r="G341" s="2">
        <v>33</v>
      </c>
      <c r="H341" s="2">
        <f t="shared" si="53"/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/>
      <c r="AJ341" s="2" t="s">
        <v>110</v>
      </c>
      <c r="AK341" s="2">
        <f t="shared" si="46"/>
        <v>0</v>
      </c>
      <c r="AL341" s="2">
        <f t="shared" si="47"/>
        <v>0</v>
      </c>
      <c r="AM341" s="2">
        <f t="shared" si="48"/>
        <v>0</v>
      </c>
      <c r="AN341" s="2">
        <f t="shared" si="49"/>
        <v>0</v>
      </c>
      <c r="AO341" s="2">
        <f t="shared" si="50"/>
        <v>0</v>
      </c>
      <c r="AP341" s="2">
        <f t="shared" si="51"/>
        <v>0</v>
      </c>
      <c r="AQ341" s="25">
        <f t="shared" si="52"/>
        <v>0</v>
      </c>
    </row>
    <row r="342" spans="1:43">
      <c r="A342" s="24">
        <v>46122</v>
      </c>
      <c r="B342" s="23">
        <f t="shared" si="45"/>
        <v>46113</v>
      </c>
      <c r="C342" s="2" t="s">
        <v>66</v>
      </c>
      <c r="D342" s="2" t="s">
        <v>1540</v>
      </c>
      <c r="E342" s="2">
        <v>1767</v>
      </c>
      <c r="F342" s="2">
        <v>43</v>
      </c>
      <c r="G342" s="2">
        <v>28</v>
      </c>
      <c r="H342" s="2">
        <f t="shared" si="53"/>
        <v>15</v>
      </c>
      <c r="I342" s="2">
        <v>1</v>
      </c>
      <c r="J342" s="2">
        <v>0</v>
      </c>
      <c r="K342" s="2">
        <v>14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/>
      <c r="AJ342" s="2" t="s">
        <v>110</v>
      </c>
      <c r="AK342" s="2">
        <f t="shared" si="46"/>
        <v>1</v>
      </c>
      <c r="AL342" s="2">
        <f t="shared" si="47"/>
        <v>14</v>
      </c>
      <c r="AM342" s="2">
        <f t="shared" si="48"/>
        <v>0</v>
      </c>
      <c r="AN342" s="2">
        <f t="shared" si="49"/>
        <v>0</v>
      </c>
      <c r="AO342" s="2">
        <f t="shared" si="50"/>
        <v>0</v>
      </c>
      <c r="AP342" s="2">
        <f t="shared" si="51"/>
        <v>0</v>
      </c>
      <c r="AQ342" s="25">
        <f t="shared" si="52"/>
        <v>0</v>
      </c>
    </row>
    <row r="343" spans="1:43">
      <c r="A343" s="24">
        <v>46122</v>
      </c>
      <c r="B343" s="23">
        <f t="shared" si="45"/>
        <v>46113</v>
      </c>
      <c r="C343" s="2" t="s">
        <v>97</v>
      </c>
      <c r="D343" s="2" t="s">
        <v>479</v>
      </c>
      <c r="E343" s="2">
        <v>1734</v>
      </c>
      <c r="F343" s="2">
        <v>107</v>
      </c>
      <c r="G343" s="2">
        <v>106</v>
      </c>
      <c r="H343" s="2">
        <f t="shared" si="53"/>
        <v>1</v>
      </c>
      <c r="I343" s="2">
        <v>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/>
      <c r="AJ343" s="2" t="s">
        <v>110</v>
      </c>
      <c r="AK343" s="2">
        <f t="shared" si="46"/>
        <v>1</v>
      </c>
      <c r="AL343" s="2">
        <f t="shared" si="47"/>
        <v>0</v>
      </c>
      <c r="AM343" s="2">
        <f t="shared" si="48"/>
        <v>0</v>
      </c>
      <c r="AN343" s="2">
        <f t="shared" si="49"/>
        <v>0</v>
      </c>
      <c r="AO343" s="2">
        <f t="shared" si="50"/>
        <v>0</v>
      </c>
      <c r="AP343" s="2">
        <f t="shared" si="51"/>
        <v>0</v>
      </c>
      <c r="AQ343" s="25">
        <f t="shared" si="52"/>
        <v>0</v>
      </c>
    </row>
    <row r="344" spans="1:43">
      <c r="A344" s="24">
        <v>46122</v>
      </c>
      <c r="B344" s="23">
        <f t="shared" si="45"/>
        <v>46113</v>
      </c>
      <c r="C344" s="2" t="s">
        <v>97</v>
      </c>
      <c r="D344" s="2" t="s">
        <v>543</v>
      </c>
      <c r="E344" s="2">
        <v>1884</v>
      </c>
      <c r="F344" s="2">
        <v>270</v>
      </c>
      <c r="G344" s="2">
        <v>217</v>
      </c>
      <c r="H344" s="2">
        <f t="shared" si="53"/>
        <v>53</v>
      </c>
      <c r="I344" s="2">
        <v>1</v>
      </c>
      <c r="J344" s="2">
        <v>0</v>
      </c>
      <c r="K344" s="2">
        <v>51</v>
      </c>
      <c r="L344" s="2">
        <v>1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/>
      <c r="AJ344" s="2" t="s">
        <v>110</v>
      </c>
      <c r="AK344" s="2">
        <f t="shared" si="46"/>
        <v>1</v>
      </c>
      <c r="AL344" s="2">
        <f t="shared" si="47"/>
        <v>52</v>
      </c>
      <c r="AM344" s="2">
        <f t="shared" si="48"/>
        <v>0</v>
      </c>
      <c r="AN344" s="2">
        <f t="shared" si="49"/>
        <v>0</v>
      </c>
      <c r="AO344" s="2">
        <f t="shared" si="50"/>
        <v>0</v>
      </c>
      <c r="AP344" s="2">
        <f t="shared" si="51"/>
        <v>0</v>
      </c>
      <c r="AQ344" s="25">
        <f t="shared" si="52"/>
        <v>0</v>
      </c>
    </row>
    <row r="345" spans="1:43">
      <c r="A345" s="24">
        <v>46122</v>
      </c>
      <c r="B345" s="23">
        <f t="shared" si="45"/>
        <v>46113</v>
      </c>
      <c r="C345" s="2" t="s">
        <v>97</v>
      </c>
      <c r="D345" s="2" t="s">
        <v>543</v>
      </c>
      <c r="E345" s="2">
        <v>1884</v>
      </c>
      <c r="F345" s="2">
        <v>32</v>
      </c>
      <c r="G345" s="2">
        <v>32</v>
      </c>
      <c r="H345" s="2">
        <f t="shared" si="53"/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/>
      <c r="AJ345" s="2" t="s">
        <v>110</v>
      </c>
      <c r="AK345" s="2">
        <f t="shared" si="46"/>
        <v>0</v>
      </c>
      <c r="AL345" s="2">
        <f t="shared" si="47"/>
        <v>0</v>
      </c>
      <c r="AM345" s="2">
        <f t="shared" si="48"/>
        <v>0</v>
      </c>
      <c r="AN345" s="2">
        <f t="shared" si="49"/>
        <v>0</v>
      </c>
      <c r="AO345" s="2">
        <f t="shared" si="50"/>
        <v>0</v>
      </c>
      <c r="AP345" s="2">
        <f t="shared" si="51"/>
        <v>0</v>
      </c>
      <c r="AQ345" s="25">
        <f t="shared" si="52"/>
        <v>0</v>
      </c>
    </row>
    <row r="346" spans="1:43">
      <c r="A346" s="24">
        <v>46122</v>
      </c>
      <c r="B346" s="23">
        <f t="shared" si="45"/>
        <v>46113</v>
      </c>
      <c r="C346" s="2" t="s">
        <v>66</v>
      </c>
      <c r="D346" s="2" t="s">
        <v>518</v>
      </c>
      <c r="E346" s="2">
        <v>1806</v>
      </c>
      <c r="F346" s="2">
        <v>101</v>
      </c>
      <c r="G346" s="2">
        <v>97</v>
      </c>
      <c r="H346" s="2">
        <f t="shared" si="53"/>
        <v>4</v>
      </c>
      <c r="I346" s="2">
        <v>2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2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/>
      <c r="AJ346" s="2" t="s">
        <v>110</v>
      </c>
      <c r="AK346" s="2">
        <f t="shared" si="46"/>
        <v>2</v>
      </c>
      <c r="AL346" s="2">
        <f t="shared" si="47"/>
        <v>2</v>
      </c>
      <c r="AM346" s="2">
        <f t="shared" si="48"/>
        <v>0</v>
      </c>
      <c r="AN346" s="2">
        <f t="shared" si="49"/>
        <v>0</v>
      </c>
      <c r="AO346" s="2">
        <f t="shared" si="50"/>
        <v>0</v>
      </c>
      <c r="AP346" s="2">
        <f t="shared" si="51"/>
        <v>0</v>
      </c>
      <c r="AQ346" s="25">
        <f t="shared" si="52"/>
        <v>0</v>
      </c>
    </row>
    <row r="347" spans="1:43">
      <c r="A347" s="24">
        <v>46123</v>
      </c>
      <c r="B347" s="23">
        <f t="shared" si="45"/>
        <v>46113</v>
      </c>
      <c r="C347" s="2" t="s">
        <v>82</v>
      </c>
      <c r="D347" s="2" t="s">
        <v>1184</v>
      </c>
      <c r="E347" s="2">
        <v>2621</v>
      </c>
      <c r="F347" s="2">
        <v>41</v>
      </c>
      <c r="G347" s="2">
        <v>23</v>
      </c>
      <c r="H347" s="2">
        <f t="shared" si="53"/>
        <v>18</v>
      </c>
      <c r="I347" s="2">
        <v>13</v>
      </c>
      <c r="J347" s="2">
        <v>0</v>
      </c>
      <c r="K347" s="2">
        <v>0</v>
      </c>
      <c r="L347" s="2">
        <v>0</v>
      </c>
      <c r="M347" s="2">
        <v>5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/>
      <c r="AJ347" s="2" t="s">
        <v>80</v>
      </c>
      <c r="AK347" s="2">
        <f t="shared" si="46"/>
        <v>13</v>
      </c>
      <c r="AL347" s="2">
        <f t="shared" si="47"/>
        <v>5</v>
      </c>
      <c r="AM347" s="2">
        <f t="shared" si="48"/>
        <v>0</v>
      </c>
      <c r="AN347" s="2">
        <f t="shared" si="49"/>
        <v>0</v>
      </c>
      <c r="AO347" s="2">
        <f t="shared" si="50"/>
        <v>0</v>
      </c>
      <c r="AP347" s="2">
        <f t="shared" si="51"/>
        <v>0</v>
      </c>
      <c r="AQ347" s="25">
        <f t="shared" si="52"/>
        <v>0</v>
      </c>
    </row>
    <row r="348" spans="1:43">
      <c r="A348" s="24">
        <v>46123</v>
      </c>
      <c r="B348" s="23">
        <f t="shared" si="45"/>
        <v>46113</v>
      </c>
      <c r="C348" s="2" t="s">
        <v>66</v>
      </c>
      <c r="D348" s="2" t="s">
        <v>469</v>
      </c>
      <c r="E348" s="2">
        <v>2606</v>
      </c>
      <c r="F348" s="2">
        <v>486</v>
      </c>
      <c r="G348" s="2">
        <v>480</v>
      </c>
      <c r="H348" s="2">
        <f t="shared" si="53"/>
        <v>6</v>
      </c>
      <c r="I348" s="2">
        <v>6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/>
      <c r="AJ348" s="2" t="s">
        <v>80</v>
      </c>
      <c r="AK348" s="2">
        <f t="shared" si="46"/>
        <v>6</v>
      </c>
      <c r="AL348" s="2">
        <f t="shared" si="47"/>
        <v>0</v>
      </c>
      <c r="AM348" s="2">
        <f t="shared" si="48"/>
        <v>0</v>
      </c>
      <c r="AN348" s="2">
        <f t="shared" si="49"/>
        <v>0</v>
      </c>
      <c r="AO348" s="2">
        <f t="shared" si="50"/>
        <v>0</v>
      </c>
      <c r="AP348" s="2">
        <f t="shared" si="51"/>
        <v>0</v>
      </c>
      <c r="AQ348" s="25">
        <f t="shared" si="52"/>
        <v>0</v>
      </c>
    </row>
    <row r="349" spans="1:43">
      <c r="A349" s="24">
        <v>46123</v>
      </c>
      <c r="B349" s="23">
        <f t="shared" si="45"/>
        <v>46113</v>
      </c>
      <c r="C349" s="2" t="s">
        <v>66</v>
      </c>
      <c r="D349" s="2" t="s">
        <v>469</v>
      </c>
      <c r="E349" s="2">
        <v>2606</v>
      </c>
      <c r="F349" s="2">
        <v>6</v>
      </c>
      <c r="G349" s="2">
        <v>6</v>
      </c>
      <c r="H349" s="2">
        <f t="shared" si="53"/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/>
      <c r="AJ349" s="2" t="s">
        <v>80</v>
      </c>
      <c r="AK349" s="2">
        <f t="shared" si="46"/>
        <v>0</v>
      </c>
      <c r="AL349" s="2">
        <f t="shared" si="47"/>
        <v>0</v>
      </c>
      <c r="AM349" s="2">
        <f t="shared" si="48"/>
        <v>0</v>
      </c>
      <c r="AN349" s="2">
        <f t="shared" si="49"/>
        <v>0</v>
      </c>
      <c r="AO349" s="2">
        <f t="shared" si="50"/>
        <v>0</v>
      </c>
      <c r="AP349" s="2">
        <f t="shared" si="51"/>
        <v>0</v>
      </c>
      <c r="AQ349" s="25">
        <f t="shared" si="52"/>
        <v>0</v>
      </c>
    </row>
    <row r="350" spans="1:43">
      <c r="A350" s="24">
        <v>46123</v>
      </c>
      <c r="B350" s="23">
        <f t="shared" si="45"/>
        <v>46113</v>
      </c>
      <c r="C350" s="2" t="s">
        <v>82</v>
      </c>
      <c r="D350" s="2" t="s">
        <v>1510</v>
      </c>
      <c r="E350" s="2">
        <v>1506</v>
      </c>
      <c r="F350" s="2">
        <v>221</v>
      </c>
      <c r="G350" s="2">
        <v>206</v>
      </c>
      <c r="H350" s="2">
        <f t="shared" si="53"/>
        <v>15</v>
      </c>
      <c r="I350" s="2">
        <v>4</v>
      </c>
      <c r="J350" s="2">
        <v>0</v>
      </c>
      <c r="K350" s="2">
        <v>0</v>
      </c>
      <c r="L350" s="2">
        <v>0</v>
      </c>
      <c r="M350" s="2">
        <v>10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1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/>
      <c r="AJ350" s="2" t="s">
        <v>80</v>
      </c>
      <c r="AK350" s="2">
        <f t="shared" si="46"/>
        <v>4</v>
      </c>
      <c r="AL350" s="2">
        <f t="shared" si="47"/>
        <v>10</v>
      </c>
      <c r="AM350" s="2">
        <f t="shared" si="48"/>
        <v>0</v>
      </c>
      <c r="AN350" s="2">
        <f t="shared" si="49"/>
        <v>1</v>
      </c>
      <c r="AO350" s="2">
        <f t="shared" si="50"/>
        <v>0</v>
      </c>
      <c r="AP350" s="2">
        <f t="shared" si="51"/>
        <v>0</v>
      </c>
      <c r="AQ350" s="25">
        <f t="shared" si="52"/>
        <v>0</v>
      </c>
    </row>
    <row r="351" spans="1:43">
      <c r="A351" s="24">
        <v>46123</v>
      </c>
      <c r="B351" s="23">
        <f t="shared" si="45"/>
        <v>46113</v>
      </c>
      <c r="C351" s="2" t="s">
        <v>46</v>
      </c>
      <c r="D351" s="2" t="s">
        <v>499</v>
      </c>
      <c r="E351" s="2">
        <v>1845</v>
      </c>
      <c r="F351" s="2">
        <v>20</v>
      </c>
      <c r="G351" s="2">
        <v>20</v>
      </c>
      <c r="H351" s="2">
        <f t="shared" si="53"/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/>
      <c r="AJ351" s="2" t="s">
        <v>80</v>
      </c>
      <c r="AK351" s="2">
        <f t="shared" si="46"/>
        <v>0</v>
      </c>
      <c r="AL351" s="2">
        <f t="shared" si="47"/>
        <v>0</v>
      </c>
      <c r="AM351" s="2">
        <f t="shared" si="48"/>
        <v>0</v>
      </c>
      <c r="AN351" s="2">
        <f t="shared" si="49"/>
        <v>0</v>
      </c>
      <c r="AO351" s="2">
        <f t="shared" si="50"/>
        <v>0</v>
      </c>
      <c r="AP351" s="2">
        <f t="shared" si="51"/>
        <v>0</v>
      </c>
      <c r="AQ351" s="25">
        <f t="shared" si="52"/>
        <v>0</v>
      </c>
    </row>
    <row r="352" spans="1:43">
      <c r="A352" s="24">
        <v>46123</v>
      </c>
      <c r="B352" s="23">
        <f t="shared" si="45"/>
        <v>46113</v>
      </c>
      <c r="C352" s="2" t="s">
        <v>63</v>
      </c>
      <c r="D352" s="2" t="s">
        <v>455</v>
      </c>
      <c r="E352" s="2">
        <v>2725</v>
      </c>
      <c r="F352" s="2">
        <v>384</v>
      </c>
      <c r="G352" s="2">
        <v>381</v>
      </c>
      <c r="H352" s="2">
        <f t="shared" si="53"/>
        <v>3</v>
      </c>
      <c r="I352" s="2">
        <v>2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1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/>
      <c r="AJ352" s="2" t="s">
        <v>80</v>
      </c>
      <c r="AK352" s="2">
        <f t="shared" si="46"/>
        <v>2</v>
      </c>
      <c r="AL352" s="2">
        <f t="shared" si="47"/>
        <v>1</v>
      </c>
      <c r="AM352" s="2">
        <f t="shared" si="48"/>
        <v>0</v>
      </c>
      <c r="AN352" s="2">
        <f t="shared" si="49"/>
        <v>0</v>
      </c>
      <c r="AO352" s="2">
        <f t="shared" si="50"/>
        <v>0</v>
      </c>
      <c r="AP352" s="2">
        <f t="shared" si="51"/>
        <v>0</v>
      </c>
      <c r="AQ352" s="25">
        <f t="shared" si="52"/>
        <v>0</v>
      </c>
    </row>
    <row r="353" spans="1:43">
      <c r="A353" s="24">
        <v>46123</v>
      </c>
      <c r="B353" s="23">
        <f t="shared" si="45"/>
        <v>46113</v>
      </c>
      <c r="C353" s="2" t="s">
        <v>62</v>
      </c>
      <c r="D353" s="2" t="s">
        <v>1556</v>
      </c>
      <c r="E353" s="2">
        <v>2786</v>
      </c>
      <c r="F353" s="2">
        <v>202</v>
      </c>
      <c r="G353" s="2">
        <v>202</v>
      </c>
      <c r="H353" s="2">
        <f t="shared" si="53"/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/>
      <c r="AJ353" s="2" t="s">
        <v>77</v>
      </c>
      <c r="AK353" s="2">
        <f t="shared" si="46"/>
        <v>0</v>
      </c>
      <c r="AL353" s="2">
        <f t="shared" si="47"/>
        <v>0</v>
      </c>
      <c r="AM353" s="2">
        <f t="shared" si="48"/>
        <v>0</v>
      </c>
      <c r="AN353" s="2">
        <f t="shared" si="49"/>
        <v>0</v>
      </c>
      <c r="AO353" s="2">
        <f t="shared" si="50"/>
        <v>0</v>
      </c>
      <c r="AP353" s="2">
        <f t="shared" si="51"/>
        <v>0</v>
      </c>
      <c r="AQ353" s="25">
        <f t="shared" si="52"/>
        <v>0</v>
      </c>
    </row>
    <row r="354" spans="1:43">
      <c r="A354" s="24">
        <v>46123</v>
      </c>
      <c r="B354" s="23">
        <f t="shared" si="45"/>
        <v>46113</v>
      </c>
      <c r="C354" s="2" t="s">
        <v>62</v>
      </c>
      <c r="D354" s="2" t="s">
        <v>1556</v>
      </c>
      <c r="E354" s="2">
        <v>2786</v>
      </c>
      <c r="F354" s="2">
        <v>174</v>
      </c>
      <c r="G354" s="2">
        <v>174</v>
      </c>
      <c r="H354" s="2">
        <f t="shared" si="53"/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/>
      <c r="AJ354" s="2" t="s">
        <v>77</v>
      </c>
      <c r="AK354" s="2">
        <f t="shared" si="46"/>
        <v>0</v>
      </c>
      <c r="AL354" s="2">
        <f t="shared" si="47"/>
        <v>0</v>
      </c>
      <c r="AM354" s="2">
        <f t="shared" si="48"/>
        <v>0</v>
      </c>
      <c r="AN354" s="2">
        <f t="shared" si="49"/>
        <v>0</v>
      </c>
      <c r="AO354" s="2">
        <f t="shared" si="50"/>
        <v>0</v>
      </c>
      <c r="AP354" s="2">
        <f t="shared" si="51"/>
        <v>0</v>
      </c>
      <c r="AQ354" s="25">
        <f t="shared" si="52"/>
        <v>0</v>
      </c>
    </row>
    <row r="355" spans="1:43">
      <c r="A355" s="24">
        <v>46123</v>
      </c>
      <c r="B355" s="23">
        <f t="shared" si="45"/>
        <v>46113</v>
      </c>
      <c r="C355" s="2" t="s">
        <v>62</v>
      </c>
      <c r="D355" s="2" t="s">
        <v>1555</v>
      </c>
      <c r="E355" s="2">
        <v>2786</v>
      </c>
      <c r="F355" s="2">
        <v>199</v>
      </c>
      <c r="G355" s="2">
        <v>193</v>
      </c>
      <c r="H355" s="2">
        <f t="shared" si="53"/>
        <v>6</v>
      </c>
      <c r="I355" s="2">
        <v>3</v>
      </c>
      <c r="J355" s="2">
        <v>1</v>
      </c>
      <c r="K355" s="2">
        <v>2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/>
      <c r="AJ355" s="2" t="s">
        <v>77</v>
      </c>
      <c r="AK355" s="2">
        <f t="shared" si="46"/>
        <v>3</v>
      </c>
      <c r="AL355" s="2">
        <f t="shared" si="47"/>
        <v>3</v>
      </c>
      <c r="AM355" s="2">
        <f t="shared" si="48"/>
        <v>0</v>
      </c>
      <c r="AN355" s="2">
        <f t="shared" si="49"/>
        <v>0</v>
      </c>
      <c r="AO355" s="2">
        <f t="shared" si="50"/>
        <v>0</v>
      </c>
      <c r="AP355" s="2">
        <f t="shared" si="51"/>
        <v>0</v>
      </c>
      <c r="AQ355" s="25">
        <f t="shared" si="52"/>
        <v>0</v>
      </c>
    </row>
    <row r="356" spans="1:43">
      <c r="A356" s="24">
        <v>46123</v>
      </c>
      <c r="B356" s="23">
        <f t="shared" si="45"/>
        <v>46113</v>
      </c>
      <c r="C356" s="2" t="s">
        <v>62</v>
      </c>
      <c r="D356" s="2" t="s">
        <v>450</v>
      </c>
      <c r="E356" s="2">
        <v>1823</v>
      </c>
      <c r="F356" s="2">
        <v>164</v>
      </c>
      <c r="G356" s="2">
        <v>159</v>
      </c>
      <c r="H356" s="2">
        <f t="shared" si="53"/>
        <v>5</v>
      </c>
      <c r="I356" s="2">
        <v>5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/>
      <c r="AJ356" s="2" t="s">
        <v>77</v>
      </c>
      <c r="AK356" s="2">
        <f t="shared" si="46"/>
        <v>5</v>
      </c>
      <c r="AL356" s="2">
        <f t="shared" si="47"/>
        <v>0</v>
      </c>
      <c r="AM356" s="2">
        <f t="shared" si="48"/>
        <v>0</v>
      </c>
      <c r="AN356" s="2">
        <f t="shared" si="49"/>
        <v>0</v>
      </c>
      <c r="AO356" s="2">
        <f t="shared" si="50"/>
        <v>0</v>
      </c>
      <c r="AP356" s="2">
        <f t="shared" si="51"/>
        <v>0</v>
      </c>
      <c r="AQ356" s="25">
        <f t="shared" si="52"/>
        <v>0</v>
      </c>
    </row>
    <row r="357" spans="1:43">
      <c r="A357" s="24">
        <v>46123</v>
      </c>
      <c r="B357" s="23">
        <f t="shared" si="45"/>
        <v>46113</v>
      </c>
      <c r="C357" s="2" t="s">
        <v>62</v>
      </c>
      <c r="D357" s="2" t="s">
        <v>1421</v>
      </c>
      <c r="E357" s="2">
        <v>2634</v>
      </c>
      <c r="F357" s="2">
        <v>237</v>
      </c>
      <c r="G357" s="2">
        <v>237</v>
      </c>
      <c r="H357" s="2">
        <f t="shared" si="53"/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/>
      <c r="AJ357" s="2" t="s">
        <v>77</v>
      </c>
      <c r="AK357" s="2">
        <f t="shared" si="46"/>
        <v>0</v>
      </c>
      <c r="AL357" s="2">
        <f t="shared" si="47"/>
        <v>0</v>
      </c>
      <c r="AM357" s="2">
        <f t="shared" si="48"/>
        <v>0</v>
      </c>
      <c r="AN357" s="2">
        <f t="shared" si="49"/>
        <v>0</v>
      </c>
      <c r="AO357" s="2">
        <f t="shared" si="50"/>
        <v>0</v>
      </c>
      <c r="AP357" s="2">
        <f t="shared" si="51"/>
        <v>0</v>
      </c>
      <c r="AQ357" s="25">
        <f t="shared" si="52"/>
        <v>0</v>
      </c>
    </row>
    <row r="358" spans="1:43">
      <c r="A358" s="24">
        <v>46123</v>
      </c>
      <c r="B358" s="23">
        <f t="shared" si="45"/>
        <v>46113</v>
      </c>
      <c r="C358" s="2" t="s">
        <v>55</v>
      </c>
      <c r="D358" s="2" t="s">
        <v>483</v>
      </c>
      <c r="E358" s="2">
        <v>9323</v>
      </c>
      <c r="F358" s="2">
        <v>200</v>
      </c>
      <c r="G358" s="2">
        <v>196</v>
      </c>
      <c r="H358" s="2">
        <f t="shared" si="53"/>
        <v>4</v>
      </c>
      <c r="I358" s="2">
        <v>4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/>
      <c r="AJ358" s="2" t="s">
        <v>77</v>
      </c>
      <c r="AK358" s="2">
        <f t="shared" si="46"/>
        <v>4</v>
      </c>
      <c r="AL358" s="2">
        <f t="shared" si="47"/>
        <v>0</v>
      </c>
      <c r="AM358" s="2">
        <f t="shared" si="48"/>
        <v>0</v>
      </c>
      <c r="AN358" s="2">
        <f t="shared" si="49"/>
        <v>0</v>
      </c>
      <c r="AO358" s="2">
        <f t="shared" si="50"/>
        <v>0</v>
      </c>
      <c r="AP358" s="2">
        <f t="shared" si="51"/>
        <v>0</v>
      </c>
      <c r="AQ358" s="25">
        <f t="shared" si="52"/>
        <v>0</v>
      </c>
    </row>
    <row r="359" spans="1:43">
      <c r="A359" s="24">
        <v>46123</v>
      </c>
      <c r="B359" s="23">
        <f t="shared" si="45"/>
        <v>46113</v>
      </c>
      <c r="C359" s="2" t="s">
        <v>62</v>
      </c>
      <c r="D359" s="2" t="s">
        <v>1555</v>
      </c>
      <c r="E359" s="2">
        <v>2786</v>
      </c>
      <c r="F359" s="2">
        <v>32</v>
      </c>
      <c r="G359" s="2">
        <v>31</v>
      </c>
      <c r="H359" s="2">
        <f t="shared" si="53"/>
        <v>1</v>
      </c>
      <c r="I359" s="2">
        <v>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/>
      <c r="AJ359" s="2" t="s">
        <v>77</v>
      </c>
      <c r="AK359" s="2">
        <f t="shared" si="46"/>
        <v>1</v>
      </c>
      <c r="AL359" s="2">
        <f t="shared" si="47"/>
        <v>0</v>
      </c>
      <c r="AM359" s="2">
        <f t="shared" si="48"/>
        <v>0</v>
      </c>
      <c r="AN359" s="2">
        <f t="shared" si="49"/>
        <v>0</v>
      </c>
      <c r="AO359" s="2">
        <f t="shared" si="50"/>
        <v>0</v>
      </c>
      <c r="AP359" s="2">
        <f t="shared" si="51"/>
        <v>0</v>
      </c>
      <c r="AQ359" s="25">
        <f t="shared" si="52"/>
        <v>0</v>
      </c>
    </row>
    <row r="360" spans="1:43">
      <c r="A360" s="24">
        <v>46123</v>
      </c>
      <c r="B360" s="23">
        <f t="shared" si="45"/>
        <v>46113</v>
      </c>
      <c r="C360" s="2" t="s">
        <v>62</v>
      </c>
      <c r="D360" s="2" t="s">
        <v>1420</v>
      </c>
      <c r="E360" s="2">
        <v>2634</v>
      </c>
      <c r="F360" s="2">
        <v>199</v>
      </c>
      <c r="G360" s="2">
        <v>198</v>
      </c>
      <c r="H360" s="2">
        <f t="shared" si="53"/>
        <v>1</v>
      </c>
      <c r="I360" s="2">
        <v>1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/>
      <c r="AJ360" s="2" t="s">
        <v>77</v>
      </c>
      <c r="AK360" s="2">
        <f t="shared" si="46"/>
        <v>1</v>
      </c>
      <c r="AL360" s="2">
        <f t="shared" si="47"/>
        <v>0</v>
      </c>
      <c r="AM360" s="2">
        <f t="shared" si="48"/>
        <v>0</v>
      </c>
      <c r="AN360" s="2">
        <f t="shared" si="49"/>
        <v>0</v>
      </c>
      <c r="AO360" s="2">
        <f t="shared" si="50"/>
        <v>0</v>
      </c>
      <c r="AP360" s="2">
        <f t="shared" si="51"/>
        <v>0</v>
      </c>
      <c r="AQ360" s="25">
        <f t="shared" si="52"/>
        <v>0</v>
      </c>
    </row>
    <row r="361" spans="1:43">
      <c r="A361" s="24">
        <v>46123</v>
      </c>
      <c r="B361" s="23">
        <f t="shared" si="45"/>
        <v>46113</v>
      </c>
      <c r="C361" s="2" t="s">
        <v>62</v>
      </c>
      <c r="D361" s="2" t="s">
        <v>466</v>
      </c>
      <c r="E361" s="2">
        <v>2634</v>
      </c>
      <c r="F361" s="2">
        <v>101</v>
      </c>
      <c r="G361" s="2">
        <v>101</v>
      </c>
      <c r="H361" s="2">
        <f t="shared" si="53"/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/>
      <c r="AJ361" s="2" t="s">
        <v>77</v>
      </c>
      <c r="AK361" s="2">
        <f t="shared" si="46"/>
        <v>0</v>
      </c>
      <c r="AL361" s="2">
        <f t="shared" si="47"/>
        <v>0</v>
      </c>
      <c r="AM361" s="2">
        <f t="shared" si="48"/>
        <v>0</v>
      </c>
      <c r="AN361" s="2">
        <f t="shared" si="49"/>
        <v>0</v>
      </c>
      <c r="AO361" s="2">
        <f t="shared" si="50"/>
        <v>0</v>
      </c>
      <c r="AP361" s="2">
        <f t="shared" si="51"/>
        <v>0</v>
      </c>
      <c r="AQ361" s="25">
        <f t="shared" si="52"/>
        <v>0</v>
      </c>
    </row>
    <row r="362" spans="1:43">
      <c r="A362" s="24">
        <v>46123</v>
      </c>
      <c r="B362" s="23">
        <f t="shared" si="45"/>
        <v>46113</v>
      </c>
      <c r="C362" s="2" t="s">
        <v>62</v>
      </c>
      <c r="D362" s="2" t="s">
        <v>1421</v>
      </c>
      <c r="E362" s="2">
        <v>2634</v>
      </c>
      <c r="F362" s="2">
        <v>32</v>
      </c>
      <c r="G362" s="2">
        <v>32</v>
      </c>
      <c r="H362" s="2">
        <f t="shared" si="53"/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/>
      <c r="AJ362" s="2" t="s">
        <v>77</v>
      </c>
      <c r="AK362" s="2">
        <f t="shared" si="46"/>
        <v>0</v>
      </c>
      <c r="AL362" s="2">
        <f t="shared" si="47"/>
        <v>0</v>
      </c>
      <c r="AM362" s="2">
        <f t="shared" si="48"/>
        <v>0</v>
      </c>
      <c r="AN362" s="2">
        <f t="shared" si="49"/>
        <v>0</v>
      </c>
      <c r="AO362" s="2">
        <f t="shared" si="50"/>
        <v>0</v>
      </c>
      <c r="AP362" s="2">
        <f t="shared" si="51"/>
        <v>0</v>
      </c>
      <c r="AQ362" s="25">
        <f t="shared" si="52"/>
        <v>0</v>
      </c>
    </row>
    <row r="363" spans="1:43">
      <c r="A363" s="24">
        <v>46123</v>
      </c>
      <c r="B363" s="23">
        <f t="shared" si="45"/>
        <v>46113</v>
      </c>
      <c r="C363" s="2" t="s">
        <v>62</v>
      </c>
      <c r="D363" s="2" t="s">
        <v>463</v>
      </c>
      <c r="E363" s="2">
        <v>2634</v>
      </c>
      <c r="F363" s="2">
        <v>143</v>
      </c>
      <c r="G363" s="2">
        <v>143</v>
      </c>
      <c r="H363" s="2">
        <f t="shared" si="53"/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/>
      <c r="AJ363" s="2" t="s">
        <v>77</v>
      </c>
      <c r="AK363" s="2">
        <f t="shared" si="46"/>
        <v>0</v>
      </c>
      <c r="AL363" s="2">
        <f t="shared" si="47"/>
        <v>0</v>
      </c>
      <c r="AM363" s="2">
        <f t="shared" si="48"/>
        <v>0</v>
      </c>
      <c r="AN363" s="2">
        <f t="shared" si="49"/>
        <v>0</v>
      </c>
      <c r="AO363" s="2">
        <f t="shared" si="50"/>
        <v>0</v>
      </c>
      <c r="AP363" s="2">
        <f t="shared" si="51"/>
        <v>0</v>
      </c>
      <c r="AQ363" s="25">
        <f t="shared" si="52"/>
        <v>0</v>
      </c>
    </row>
    <row r="364" spans="1:43">
      <c r="A364" s="24">
        <v>46123</v>
      </c>
      <c r="B364" s="23">
        <f t="shared" si="45"/>
        <v>46113</v>
      </c>
      <c r="C364" s="2" t="s">
        <v>62</v>
      </c>
      <c r="D364" s="2" t="s">
        <v>450</v>
      </c>
      <c r="E364" s="2">
        <v>1823</v>
      </c>
      <c r="F364" s="2">
        <v>30</v>
      </c>
      <c r="G364" s="2">
        <v>29</v>
      </c>
      <c r="H364" s="2">
        <f t="shared" si="53"/>
        <v>1</v>
      </c>
      <c r="I364" s="2">
        <v>1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/>
      <c r="AJ364" s="2" t="s">
        <v>77</v>
      </c>
      <c r="AK364" s="2">
        <f t="shared" si="46"/>
        <v>1</v>
      </c>
      <c r="AL364" s="2">
        <f t="shared" si="47"/>
        <v>0</v>
      </c>
      <c r="AM364" s="2">
        <f t="shared" si="48"/>
        <v>0</v>
      </c>
      <c r="AN364" s="2">
        <f t="shared" si="49"/>
        <v>0</v>
      </c>
      <c r="AO364" s="2">
        <f t="shared" si="50"/>
        <v>0</v>
      </c>
      <c r="AP364" s="2">
        <f t="shared" si="51"/>
        <v>0</v>
      </c>
      <c r="AQ364" s="25">
        <f t="shared" si="52"/>
        <v>0</v>
      </c>
    </row>
    <row r="365" spans="1:43">
      <c r="A365" s="24">
        <v>46123</v>
      </c>
      <c r="B365" s="23">
        <f t="shared" si="45"/>
        <v>46113</v>
      </c>
      <c r="C365" s="2" t="s">
        <v>95</v>
      </c>
      <c r="D365" s="2" t="s">
        <v>451</v>
      </c>
      <c r="E365" s="2">
        <v>1698</v>
      </c>
      <c r="F365" s="2">
        <v>915</v>
      </c>
      <c r="G365" s="2">
        <v>900</v>
      </c>
      <c r="H365" s="2">
        <f t="shared" si="53"/>
        <v>15</v>
      </c>
      <c r="I365" s="2">
        <v>15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/>
      <c r="AJ365" s="2" t="s">
        <v>1567</v>
      </c>
      <c r="AK365" s="2">
        <f t="shared" si="46"/>
        <v>15</v>
      </c>
      <c r="AL365" s="2">
        <f t="shared" si="47"/>
        <v>0</v>
      </c>
      <c r="AM365" s="2">
        <f t="shared" si="48"/>
        <v>0</v>
      </c>
      <c r="AN365" s="2">
        <f t="shared" si="49"/>
        <v>0</v>
      </c>
      <c r="AO365" s="2">
        <f t="shared" si="50"/>
        <v>0</v>
      </c>
      <c r="AP365" s="2">
        <f t="shared" si="51"/>
        <v>0</v>
      </c>
      <c r="AQ365" s="25">
        <f t="shared" si="52"/>
        <v>0</v>
      </c>
    </row>
    <row r="366" spans="1:43">
      <c r="A366" s="24">
        <v>46123</v>
      </c>
      <c r="B366" s="23">
        <f t="shared" si="45"/>
        <v>46113</v>
      </c>
      <c r="C366" s="2" t="s">
        <v>95</v>
      </c>
      <c r="D366" s="2" t="s">
        <v>1557</v>
      </c>
      <c r="E366" s="2">
        <v>10047</v>
      </c>
      <c r="F366" s="2">
        <v>234</v>
      </c>
      <c r="G366" s="2">
        <v>233</v>
      </c>
      <c r="H366" s="2">
        <f t="shared" si="53"/>
        <v>1</v>
      </c>
      <c r="I366" s="2">
        <v>1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/>
      <c r="AJ366" s="2" t="s">
        <v>1567</v>
      </c>
      <c r="AK366" s="2">
        <f t="shared" si="46"/>
        <v>1</v>
      </c>
      <c r="AL366" s="2">
        <f t="shared" si="47"/>
        <v>0</v>
      </c>
      <c r="AM366" s="2">
        <f t="shared" si="48"/>
        <v>0</v>
      </c>
      <c r="AN366" s="2">
        <f t="shared" si="49"/>
        <v>0</v>
      </c>
      <c r="AO366" s="2">
        <f t="shared" si="50"/>
        <v>0</v>
      </c>
      <c r="AP366" s="2">
        <f t="shared" si="51"/>
        <v>0</v>
      </c>
      <c r="AQ366" s="25">
        <f t="shared" si="52"/>
        <v>0</v>
      </c>
    </row>
    <row r="367" spans="1:43">
      <c r="A367" s="24">
        <v>46123</v>
      </c>
      <c r="B367" s="23">
        <f t="shared" si="45"/>
        <v>46113</v>
      </c>
      <c r="C367" s="2" t="s">
        <v>160</v>
      </c>
      <c r="D367" s="2" t="s">
        <v>439</v>
      </c>
      <c r="E367" s="2">
        <v>1733</v>
      </c>
      <c r="F367" s="2">
        <v>283</v>
      </c>
      <c r="G367" s="2">
        <v>248</v>
      </c>
      <c r="H367" s="2">
        <f t="shared" si="53"/>
        <v>35</v>
      </c>
      <c r="I367" s="2">
        <v>8</v>
      </c>
      <c r="J367" s="2">
        <v>0</v>
      </c>
      <c r="K367" s="2">
        <v>1</v>
      </c>
      <c r="L367" s="2">
        <v>0</v>
      </c>
      <c r="M367" s="2">
        <v>25</v>
      </c>
      <c r="N367" s="2">
        <v>0</v>
      </c>
      <c r="O367" s="2">
        <v>0</v>
      </c>
      <c r="P367" s="2">
        <v>0</v>
      </c>
      <c r="Q367" s="2">
        <v>1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/>
      <c r="AJ367" s="2" t="s">
        <v>103</v>
      </c>
      <c r="AK367" s="2">
        <f t="shared" si="46"/>
        <v>8</v>
      </c>
      <c r="AL367" s="2">
        <f t="shared" si="47"/>
        <v>27</v>
      </c>
      <c r="AM367" s="2">
        <f t="shared" si="48"/>
        <v>0</v>
      </c>
      <c r="AN367" s="2">
        <f t="shared" si="49"/>
        <v>0</v>
      </c>
      <c r="AO367" s="2">
        <f t="shared" si="50"/>
        <v>0</v>
      </c>
      <c r="AP367" s="2">
        <f t="shared" si="51"/>
        <v>0</v>
      </c>
      <c r="AQ367" s="25">
        <f t="shared" si="52"/>
        <v>0</v>
      </c>
    </row>
    <row r="368" spans="1:43">
      <c r="A368" s="24">
        <v>46123</v>
      </c>
      <c r="B368" s="23">
        <f t="shared" si="45"/>
        <v>46113</v>
      </c>
      <c r="C368" s="2" t="s">
        <v>72</v>
      </c>
      <c r="D368" s="2" t="s">
        <v>571</v>
      </c>
      <c r="E368" s="2">
        <v>2576</v>
      </c>
      <c r="F368" s="2">
        <v>16</v>
      </c>
      <c r="G368" s="2">
        <v>15</v>
      </c>
      <c r="H368" s="2">
        <f t="shared" si="53"/>
        <v>1</v>
      </c>
      <c r="I368" s="2">
        <v>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/>
      <c r="AJ368" s="2" t="s">
        <v>103</v>
      </c>
      <c r="AK368" s="2">
        <f t="shared" si="46"/>
        <v>1</v>
      </c>
      <c r="AL368" s="2">
        <f t="shared" si="47"/>
        <v>0</v>
      </c>
      <c r="AM368" s="2">
        <f t="shared" si="48"/>
        <v>0</v>
      </c>
      <c r="AN368" s="2">
        <f t="shared" si="49"/>
        <v>0</v>
      </c>
      <c r="AO368" s="2">
        <f t="shared" si="50"/>
        <v>0</v>
      </c>
      <c r="AP368" s="2">
        <f t="shared" si="51"/>
        <v>0</v>
      </c>
      <c r="AQ368" s="25">
        <f t="shared" si="52"/>
        <v>0</v>
      </c>
    </row>
    <row r="369" spans="1:43">
      <c r="A369" s="24">
        <v>46123</v>
      </c>
      <c r="B369" s="23">
        <f t="shared" si="45"/>
        <v>46113</v>
      </c>
      <c r="C369" s="2" t="s">
        <v>114</v>
      </c>
      <c r="D369" s="2" t="s">
        <v>533</v>
      </c>
      <c r="E369" s="2">
        <v>2575</v>
      </c>
      <c r="F369" s="2">
        <v>50</v>
      </c>
      <c r="G369" s="2">
        <v>36</v>
      </c>
      <c r="H369" s="2">
        <f t="shared" si="53"/>
        <v>14</v>
      </c>
      <c r="I369" s="2">
        <v>1</v>
      </c>
      <c r="J369" s="2">
        <v>3</v>
      </c>
      <c r="K369" s="2">
        <v>0</v>
      </c>
      <c r="L369" s="2">
        <v>0</v>
      </c>
      <c r="M369" s="2">
        <v>10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/>
      <c r="AJ369" s="2" t="s">
        <v>103</v>
      </c>
      <c r="AK369" s="2">
        <f t="shared" si="46"/>
        <v>1</v>
      </c>
      <c r="AL369" s="2">
        <f t="shared" si="47"/>
        <v>13</v>
      </c>
      <c r="AM369" s="2">
        <f t="shared" si="48"/>
        <v>0</v>
      </c>
      <c r="AN369" s="2">
        <f t="shared" si="49"/>
        <v>0</v>
      </c>
      <c r="AO369" s="2">
        <f t="shared" si="50"/>
        <v>0</v>
      </c>
      <c r="AP369" s="2">
        <f t="shared" si="51"/>
        <v>0</v>
      </c>
      <c r="AQ369" s="25">
        <f t="shared" si="52"/>
        <v>0</v>
      </c>
    </row>
    <row r="370" spans="1:43">
      <c r="A370" s="24">
        <v>46123</v>
      </c>
      <c r="B370" s="23">
        <f t="shared" si="45"/>
        <v>46113</v>
      </c>
      <c r="C370" s="2" t="s">
        <v>72</v>
      </c>
      <c r="D370" s="2" t="s">
        <v>437</v>
      </c>
      <c r="E370" s="2">
        <v>2539</v>
      </c>
      <c r="F370" s="2">
        <v>320</v>
      </c>
      <c r="G370" s="2">
        <v>320</v>
      </c>
      <c r="H370" s="2">
        <f t="shared" si="53"/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/>
      <c r="AJ370" s="2" t="s">
        <v>103</v>
      </c>
      <c r="AK370" s="2">
        <f t="shared" si="46"/>
        <v>0</v>
      </c>
      <c r="AL370" s="2">
        <f t="shared" si="47"/>
        <v>0</v>
      </c>
      <c r="AM370" s="2">
        <f t="shared" si="48"/>
        <v>0</v>
      </c>
      <c r="AN370" s="2">
        <f t="shared" si="49"/>
        <v>0</v>
      </c>
      <c r="AO370" s="2">
        <f t="shared" si="50"/>
        <v>0</v>
      </c>
      <c r="AP370" s="2">
        <f t="shared" si="51"/>
        <v>0</v>
      </c>
      <c r="AQ370" s="25">
        <f t="shared" si="52"/>
        <v>0</v>
      </c>
    </row>
    <row r="371" spans="1:43">
      <c r="A371" s="24">
        <v>46123</v>
      </c>
      <c r="B371" s="23">
        <f t="shared" si="45"/>
        <v>46113</v>
      </c>
      <c r="C371" s="2" t="s">
        <v>72</v>
      </c>
      <c r="D371" s="2" t="s">
        <v>492</v>
      </c>
      <c r="E371" s="2">
        <v>1877</v>
      </c>
      <c r="F371" s="2">
        <v>200</v>
      </c>
      <c r="G371" s="2">
        <v>200</v>
      </c>
      <c r="H371" s="2">
        <f t="shared" si="53"/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/>
      <c r="AJ371" s="2" t="s">
        <v>103</v>
      </c>
      <c r="AK371" s="2">
        <f t="shared" si="46"/>
        <v>0</v>
      </c>
      <c r="AL371" s="2">
        <f t="shared" si="47"/>
        <v>0</v>
      </c>
      <c r="AM371" s="2">
        <f t="shared" si="48"/>
        <v>0</v>
      </c>
      <c r="AN371" s="2">
        <f t="shared" si="49"/>
        <v>0</v>
      </c>
      <c r="AO371" s="2">
        <f t="shared" si="50"/>
        <v>0</v>
      </c>
      <c r="AP371" s="2">
        <f t="shared" si="51"/>
        <v>0</v>
      </c>
      <c r="AQ371" s="25">
        <f t="shared" si="52"/>
        <v>0</v>
      </c>
    </row>
    <row r="372" spans="1:43">
      <c r="A372" s="24">
        <v>46123</v>
      </c>
      <c r="B372" s="23">
        <f t="shared" si="45"/>
        <v>46113</v>
      </c>
      <c r="C372" s="2" t="s">
        <v>114</v>
      </c>
      <c r="D372" s="2" t="s">
        <v>1535</v>
      </c>
      <c r="E372" s="2">
        <v>2575</v>
      </c>
      <c r="F372" s="2">
        <v>62</v>
      </c>
      <c r="G372" s="2">
        <v>62</v>
      </c>
      <c r="H372" s="2">
        <f t="shared" si="53"/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/>
      <c r="AJ372" s="2" t="s">
        <v>103</v>
      </c>
      <c r="AK372" s="2">
        <f t="shared" si="46"/>
        <v>0</v>
      </c>
      <c r="AL372" s="2">
        <f t="shared" si="47"/>
        <v>0</v>
      </c>
      <c r="AM372" s="2">
        <f t="shared" si="48"/>
        <v>0</v>
      </c>
      <c r="AN372" s="2">
        <f t="shared" si="49"/>
        <v>0</v>
      </c>
      <c r="AO372" s="2">
        <f t="shared" si="50"/>
        <v>0</v>
      </c>
      <c r="AP372" s="2">
        <f t="shared" si="51"/>
        <v>0</v>
      </c>
      <c r="AQ372" s="25">
        <f t="shared" si="52"/>
        <v>0</v>
      </c>
    </row>
    <row r="373" spans="1:43">
      <c r="A373" s="24">
        <v>46123</v>
      </c>
      <c r="B373" s="23">
        <f t="shared" si="45"/>
        <v>46113</v>
      </c>
      <c r="C373" s="2" t="s">
        <v>66</v>
      </c>
      <c r="D373" s="2" t="s">
        <v>425</v>
      </c>
      <c r="E373" s="2">
        <v>1806</v>
      </c>
      <c r="F373" s="2">
        <v>278</v>
      </c>
      <c r="G373" s="2">
        <v>275</v>
      </c>
      <c r="H373" s="2">
        <f t="shared" si="53"/>
        <v>3</v>
      </c>
      <c r="I373" s="2">
        <v>2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1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/>
      <c r="AJ373" s="2" t="s">
        <v>110</v>
      </c>
      <c r="AK373" s="2">
        <f t="shared" si="46"/>
        <v>2</v>
      </c>
      <c r="AL373" s="2">
        <f t="shared" si="47"/>
        <v>1</v>
      </c>
      <c r="AM373" s="2">
        <f t="shared" si="48"/>
        <v>0</v>
      </c>
      <c r="AN373" s="2">
        <f t="shared" si="49"/>
        <v>0</v>
      </c>
      <c r="AO373" s="2">
        <f t="shared" si="50"/>
        <v>0</v>
      </c>
      <c r="AP373" s="2">
        <f t="shared" si="51"/>
        <v>0</v>
      </c>
      <c r="AQ373" s="25">
        <f t="shared" si="52"/>
        <v>0</v>
      </c>
    </row>
    <row r="374" spans="1:43">
      <c r="A374" s="24">
        <v>46123</v>
      </c>
      <c r="B374" s="23">
        <f t="shared" si="45"/>
        <v>46113</v>
      </c>
      <c r="C374" s="2" t="s">
        <v>66</v>
      </c>
      <c r="D374" s="2" t="s">
        <v>425</v>
      </c>
      <c r="E374" s="2">
        <v>1806</v>
      </c>
      <c r="F374" s="2">
        <v>32</v>
      </c>
      <c r="G374" s="2">
        <v>32</v>
      </c>
      <c r="H374" s="2">
        <f t="shared" si="53"/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/>
      <c r="AJ374" s="2" t="s">
        <v>110</v>
      </c>
      <c r="AK374" s="2">
        <f t="shared" si="46"/>
        <v>0</v>
      </c>
      <c r="AL374" s="2">
        <f t="shared" si="47"/>
        <v>0</v>
      </c>
      <c r="AM374" s="2">
        <f t="shared" si="48"/>
        <v>0</v>
      </c>
      <c r="AN374" s="2">
        <f t="shared" si="49"/>
        <v>0</v>
      </c>
      <c r="AO374" s="2">
        <f t="shared" si="50"/>
        <v>0</v>
      </c>
      <c r="AP374" s="2">
        <f t="shared" si="51"/>
        <v>0</v>
      </c>
      <c r="AQ374" s="25">
        <f t="shared" si="52"/>
        <v>0</v>
      </c>
    </row>
    <row r="375" spans="1:43">
      <c r="A375" s="24">
        <v>46123</v>
      </c>
      <c r="B375" s="23">
        <f t="shared" si="45"/>
        <v>46113</v>
      </c>
      <c r="C375" s="2" t="s">
        <v>66</v>
      </c>
      <c r="D375" s="2" t="s">
        <v>522</v>
      </c>
      <c r="E375" s="2">
        <v>2642</v>
      </c>
      <c r="F375" s="2">
        <v>119</v>
      </c>
      <c r="G375" s="2">
        <v>119</v>
      </c>
      <c r="H375" s="2">
        <f t="shared" si="53"/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/>
      <c r="AJ375" s="2" t="s">
        <v>110</v>
      </c>
      <c r="AK375" s="2">
        <f t="shared" si="46"/>
        <v>0</v>
      </c>
      <c r="AL375" s="2">
        <f t="shared" si="47"/>
        <v>0</v>
      </c>
      <c r="AM375" s="2">
        <f t="shared" si="48"/>
        <v>0</v>
      </c>
      <c r="AN375" s="2">
        <f t="shared" si="49"/>
        <v>0</v>
      </c>
      <c r="AO375" s="2">
        <f t="shared" si="50"/>
        <v>0</v>
      </c>
      <c r="AP375" s="2">
        <f t="shared" si="51"/>
        <v>0</v>
      </c>
      <c r="AQ375" s="25">
        <f t="shared" si="52"/>
        <v>0</v>
      </c>
    </row>
    <row r="376" spans="1:43">
      <c r="A376" s="24">
        <v>46123</v>
      </c>
      <c r="B376" s="23">
        <f t="shared" si="45"/>
        <v>46113</v>
      </c>
      <c r="C376" s="2" t="s">
        <v>66</v>
      </c>
      <c r="D376" s="2" t="s">
        <v>522</v>
      </c>
      <c r="E376" s="2">
        <v>2642</v>
      </c>
      <c r="F376" s="2">
        <v>32</v>
      </c>
      <c r="G376" s="2">
        <v>32</v>
      </c>
      <c r="H376" s="2">
        <f t="shared" si="53"/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/>
      <c r="AJ376" s="2" t="s">
        <v>110</v>
      </c>
      <c r="AK376" s="2">
        <f t="shared" si="46"/>
        <v>0</v>
      </c>
      <c r="AL376" s="2">
        <f t="shared" si="47"/>
        <v>0</v>
      </c>
      <c r="AM376" s="2">
        <f t="shared" si="48"/>
        <v>0</v>
      </c>
      <c r="AN376" s="2">
        <f t="shared" si="49"/>
        <v>0</v>
      </c>
      <c r="AO376" s="2">
        <f t="shared" si="50"/>
        <v>0</v>
      </c>
      <c r="AP376" s="2">
        <f t="shared" si="51"/>
        <v>0</v>
      </c>
      <c r="AQ376" s="25">
        <f t="shared" si="52"/>
        <v>0</v>
      </c>
    </row>
    <row r="377" spans="1:43">
      <c r="A377" s="24">
        <v>46123</v>
      </c>
      <c r="B377" s="23">
        <f t="shared" si="45"/>
        <v>46113</v>
      </c>
      <c r="C377" s="2" t="s">
        <v>66</v>
      </c>
      <c r="D377" s="2" t="s">
        <v>1540</v>
      </c>
      <c r="E377" s="2">
        <v>1767</v>
      </c>
      <c r="F377" s="2">
        <v>14</v>
      </c>
      <c r="G377" s="2">
        <v>10</v>
      </c>
      <c r="H377" s="2">
        <f t="shared" si="53"/>
        <v>4</v>
      </c>
      <c r="I377" s="2">
        <v>0</v>
      </c>
      <c r="J377" s="2">
        <v>0</v>
      </c>
      <c r="K377" s="2">
        <v>0</v>
      </c>
      <c r="L377" s="2">
        <v>4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/>
      <c r="AJ377" s="2" t="s">
        <v>110</v>
      </c>
      <c r="AK377" s="2">
        <f t="shared" si="46"/>
        <v>0</v>
      </c>
      <c r="AL377" s="2">
        <f t="shared" si="47"/>
        <v>4</v>
      </c>
      <c r="AM377" s="2">
        <f t="shared" si="48"/>
        <v>0</v>
      </c>
      <c r="AN377" s="2">
        <f t="shared" si="49"/>
        <v>0</v>
      </c>
      <c r="AO377" s="2">
        <f t="shared" si="50"/>
        <v>0</v>
      </c>
      <c r="AP377" s="2">
        <f t="shared" si="51"/>
        <v>0</v>
      </c>
      <c r="AQ377" s="25">
        <f t="shared" si="52"/>
        <v>0</v>
      </c>
    </row>
    <row r="378" spans="1:43">
      <c r="A378" s="24">
        <v>46123</v>
      </c>
      <c r="B378" s="23">
        <f t="shared" si="45"/>
        <v>46113</v>
      </c>
      <c r="C378" s="2" t="s">
        <v>66</v>
      </c>
      <c r="D378" s="2" t="s">
        <v>469</v>
      </c>
      <c r="E378" s="2">
        <v>2606</v>
      </c>
      <c r="F378" s="2">
        <v>545</v>
      </c>
      <c r="G378" s="2">
        <v>537</v>
      </c>
      <c r="H378" s="2">
        <f t="shared" si="53"/>
        <v>8</v>
      </c>
      <c r="I378" s="2">
        <v>0</v>
      </c>
      <c r="J378" s="2">
        <v>0</v>
      </c>
      <c r="K378" s="2">
        <v>7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1</v>
      </c>
      <c r="AI378" s="2"/>
      <c r="AJ378" s="2" t="s">
        <v>110</v>
      </c>
      <c r="AK378" s="2">
        <f t="shared" si="46"/>
        <v>0</v>
      </c>
      <c r="AL378" s="2">
        <f t="shared" si="47"/>
        <v>7</v>
      </c>
      <c r="AM378" s="2">
        <f t="shared" si="48"/>
        <v>0</v>
      </c>
      <c r="AN378" s="2">
        <f t="shared" si="49"/>
        <v>1</v>
      </c>
      <c r="AO378" s="2">
        <f t="shared" si="50"/>
        <v>0</v>
      </c>
      <c r="AP378" s="2">
        <f t="shared" si="51"/>
        <v>0</v>
      </c>
      <c r="AQ378" s="25">
        <f t="shared" si="52"/>
        <v>0</v>
      </c>
    </row>
    <row r="379" spans="1:43">
      <c r="A379" s="24">
        <v>46123</v>
      </c>
      <c r="B379" s="23">
        <f t="shared" si="45"/>
        <v>46113</v>
      </c>
      <c r="C379" s="2" t="s">
        <v>66</v>
      </c>
      <c r="D379" s="2" t="s">
        <v>518</v>
      </c>
      <c r="E379" s="2">
        <v>1806</v>
      </c>
      <c r="F379" s="2">
        <v>20</v>
      </c>
      <c r="G379" s="2">
        <v>20</v>
      </c>
      <c r="H379" s="2">
        <f t="shared" si="53"/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/>
      <c r="AJ379" s="2" t="s">
        <v>110</v>
      </c>
      <c r="AK379" s="2">
        <f t="shared" si="46"/>
        <v>0</v>
      </c>
      <c r="AL379" s="2">
        <f t="shared" si="47"/>
        <v>0</v>
      </c>
      <c r="AM379" s="2">
        <f t="shared" si="48"/>
        <v>0</v>
      </c>
      <c r="AN379" s="2">
        <f t="shared" si="49"/>
        <v>0</v>
      </c>
      <c r="AO379" s="2">
        <f t="shared" si="50"/>
        <v>0</v>
      </c>
      <c r="AP379" s="2">
        <f t="shared" si="51"/>
        <v>0</v>
      </c>
      <c r="AQ379" s="25">
        <f t="shared" si="52"/>
        <v>0</v>
      </c>
    </row>
    <row r="380" spans="1:43">
      <c r="A380" s="24">
        <v>46123</v>
      </c>
      <c r="B380" s="23">
        <f t="shared" si="45"/>
        <v>46113</v>
      </c>
      <c r="C380" s="2" t="s">
        <v>66</v>
      </c>
      <c r="D380" s="2" t="s">
        <v>471</v>
      </c>
      <c r="E380" s="2">
        <v>1824</v>
      </c>
      <c r="F380" s="2">
        <v>109</v>
      </c>
      <c r="G380" s="2">
        <v>109</v>
      </c>
      <c r="H380" s="2">
        <f t="shared" si="53"/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/>
      <c r="AJ380" s="2" t="s">
        <v>110</v>
      </c>
      <c r="AK380" s="2">
        <f t="shared" si="46"/>
        <v>0</v>
      </c>
      <c r="AL380" s="2">
        <f t="shared" si="47"/>
        <v>0</v>
      </c>
      <c r="AM380" s="2">
        <f t="shared" si="48"/>
        <v>0</v>
      </c>
      <c r="AN380" s="2">
        <f t="shared" si="49"/>
        <v>0</v>
      </c>
      <c r="AO380" s="2">
        <f t="shared" si="50"/>
        <v>0</v>
      </c>
      <c r="AP380" s="2">
        <f t="shared" si="51"/>
        <v>0</v>
      </c>
      <c r="AQ380" s="25">
        <f t="shared" si="52"/>
        <v>0</v>
      </c>
    </row>
    <row r="381" spans="1:43">
      <c r="A381" s="24">
        <v>46123</v>
      </c>
      <c r="B381" s="23">
        <f t="shared" si="45"/>
        <v>46113</v>
      </c>
      <c r="C381" s="2" t="s">
        <v>97</v>
      </c>
      <c r="D381" s="2" t="s">
        <v>479</v>
      </c>
      <c r="E381" s="2">
        <v>1734</v>
      </c>
      <c r="F381" s="2">
        <v>85</v>
      </c>
      <c r="G381" s="2">
        <v>85</v>
      </c>
      <c r="H381" s="2">
        <f t="shared" si="53"/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/>
      <c r="AJ381" s="2" t="s">
        <v>110</v>
      </c>
      <c r="AK381" s="2">
        <f t="shared" si="46"/>
        <v>0</v>
      </c>
      <c r="AL381" s="2">
        <f t="shared" si="47"/>
        <v>0</v>
      </c>
      <c r="AM381" s="2">
        <f t="shared" si="48"/>
        <v>0</v>
      </c>
      <c r="AN381" s="2">
        <f t="shared" si="49"/>
        <v>0</v>
      </c>
      <c r="AO381" s="2">
        <f t="shared" si="50"/>
        <v>0</v>
      </c>
      <c r="AP381" s="2">
        <f t="shared" si="51"/>
        <v>0</v>
      </c>
      <c r="AQ381" s="25">
        <f t="shared" si="52"/>
        <v>0</v>
      </c>
    </row>
    <row r="382" spans="1:43">
      <c r="A382" s="24">
        <v>46123</v>
      </c>
      <c r="B382" s="23">
        <f t="shared" si="45"/>
        <v>46113</v>
      </c>
      <c r="C382" s="2" t="s">
        <v>66</v>
      </c>
      <c r="D382" s="2" t="s">
        <v>1203</v>
      </c>
      <c r="E382" s="2">
        <v>2639</v>
      </c>
      <c r="F382" s="2">
        <v>156</v>
      </c>
      <c r="G382" s="2">
        <v>156</v>
      </c>
      <c r="H382" s="2">
        <f t="shared" si="53"/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/>
      <c r="AJ382" s="2" t="s">
        <v>110</v>
      </c>
      <c r="AK382" s="2">
        <f t="shared" si="46"/>
        <v>0</v>
      </c>
      <c r="AL382" s="2">
        <f t="shared" si="47"/>
        <v>0</v>
      </c>
      <c r="AM382" s="2">
        <f t="shared" si="48"/>
        <v>0</v>
      </c>
      <c r="AN382" s="2">
        <f t="shared" si="49"/>
        <v>0</v>
      </c>
      <c r="AO382" s="2">
        <f t="shared" si="50"/>
        <v>0</v>
      </c>
      <c r="AP382" s="2">
        <f t="shared" si="51"/>
        <v>0</v>
      </c>
      <c r="AQ382" s="25">
        <f t="shared" si="52"/>
        <v>0</v>
      </c>
    </row>
    <row r="383" spans="1:43">
      <c r="A383" s="24">
        <v>46123</v>
      </c>
      <c r="B383" s="23">
        <f t="shared" si="45"/>
        <v>46113</v>
      </c>
      <c r="C383" s="2" t="s">
        <v>97</v>
      </c>
      <c r="D383" s="2" t="s">
        <v>452</v>
      </c>
      <c r="E383" s="2">
        <v>1805</v>
      </c>
      <c r="F383" s="2">
        <v>188</v>
      </c>
      <c r="G383" s="2">
        <v>182</v>
      </c>
      <c r="H383" s="2">
        <f t="shared" si="53"/>
        <v>6</v>
      </c>
      <c r="I383" s="2">
        <v>5</v>
      </c>
      <c r="J383" s="2">
        <v>0</v>
      </c>
      <c r="K383" s="2">
        <v>1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/>
      <c r="AJ383" s="2" t="s">
        <v>110</v>
      </c>
      <c r="AK383" s="2">
        <f t="shared" si="46"/>
        <v>5</v>
      </c>
      <c r="AL383" s="2">
        <f t="shared" si="47"/>
        <v>1</v>
      </c>
      <c r="AM383" s="2">
        <f t="shared" si="48"/>
        <v>0</v>
      </c>
      <c r="AN383" s="2">
        <f t="shared" si="49"/>
        <v>0</v>
      </c>
      <c r="AO383" s="2">
        <f t="shared" si="50"/>
        <v>0</v>
      </c>
      <c r="AP383" s="2">
        <f t="shared" si="51"/>
        <v>0</v>
      </c>
      <c r="AQ383" s="25">
        <f t="shared" si="52"/>
        <v>0</v>
      </c>
    </row>
    <row r="384" spans="1:43">
      <c r="A384" s="24">
        <v>46123</v>
      </c>
      <c r="B384" s="23">
        <f t="shared" si="45"/>
        <v>46113</v>
      </c>
      <c r="C384" s="2" t="s">
        <v>97</v>
      </c>
      <c r="D384" s="2" t="s">
        <v>564</v>
      </c>
      <c r="E384" s="2">
        <v>1849</v>
      </c>
      <c r="F384" s="2">
        <v>44</v>
      </c>
      <c r="G384" s="2">
        <v>44</v>
      </c>
      <c r="H384" s="2">
        <f t="shared" si="53"/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/>
      <c r="AJ384" s="2" t="s">
        <v>110</v>
      </c>
      <c r="AK384" s="2">
        <f t="shared" si="46"/>
        <v>0</v>
      </c>
      <c r="AL384" s="2">
        <f t="shared" si="47"/>
        <v>0</v>
      </c>
      <c r="AM384" s="2">
        <f t="shared" si="48"/>
        <v>0</v>
      </c>
      <c r="AN384" s="2">
        <f t="shared" si="49"/>
        <v>0</v>
      </c>
      <c r="AO384" s="2">
        <f t="shared" si="50"/>
        <v>0</v>
      </c>
      <c r="AP384" s="2">
        <f t="shared" si="51"/>
        <v>0</v>
      </c>
      <c r="AQ384" s="25">
        <f t="shared" si="52"/>
        <v>0</v>
      </c>
    </row>
    <row r="385" spans="1:43">
      <c r="A385" s="24">
        <v>46123</v>
      </c>
      <c r="B385" s="23">
        <f t="shared" si="45"/>
        <v>46113</v>
      </c>
      <c r="C385" s="2" t="s">
        <v>133</v>
      </c>
      <c r="D385" s="2" t="s">
        <v>1561</v>
      </c>
      <c r="E385" s="2">
        <v>2784</v>
      </c>
      <c r="F385" s="2">
        <v>100</v>
      </c>
      <c r="G385" s="2">
        <v>97</v>
      </c>
      <c r="H385" s="2">
        <f t="shared" si="53"/>
        <v>3</v>
      </c>
      <c r="I385" s="2">
        <v>3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/>
      <c r="AJ385" s="2" t="s">
        <v>1566</v>
      </c>
      <c r="AK385" s="2">
        <f t="shared" si="46"/>
        <v>3</v>
      </c>
      <c r="AL385" s="2">
        <f t="shared" si="47"/>
        <v>0</v>
      </c>
      <c r="AM385" s="2">
        <f t="shared" si="48"/>
        <v>0</v>
      </c>
      <c r="AN385" s="2">
        <f t="shared" si="49"/>
        <v>0</v>
      </c>
      <c r="AO385" s="2">
        <f t="shared" si="50"/>
        <v>0</v>
      </c>
      <c r="AP385" s="2">
        <f t="shared" si="51"/>
        <v>0</v>
      </c>
      <c r="AQ385" s="25">
        <f t="shared" si="52"/>
        <v>0</v>
      </c>
    </row>
    <row r="386" spans="1:43">
      <c r="A386" s="24">
        <v>46123</v>
      </c>
      <c r="B386" s="23">
        <f t="shared" ref="B386:B449" si="54">EOMONTH(A386,-1)+1</f>
        <v>46113</v>
      </c>
      <c r="C386" s="2" t="s">
        <v>133</v>
      </c>
      <c r="D386" s="2" t="s">
        <v>1554</v>
      </c>
      <c r="E386" s="2">
        <v>10047</v>
      </c>
      <c r="F386" s="2">
        <v>29</v>
      </c>
      <c r="G386" s="2">
        <v>29</v>
      </c>
      <c r="H386" s="2">
        <f t="shared" si="53"/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/>
      <c r="AJ386" s="2" t="s">
        <v>1566</v>
      </c>
      <c r="AK386" s="2">
        <f t="shared" ref="AK386:AK449" si="55">+I386+AF386</f>
        <v>0</v>
      </c>
      <c r="AL386" s="2">
        <f t="shared" ref="AL386:AL449" si="56">+J386+K386+O386+N386+P386+R386+S386+Q386+M386+L386</f>
        <v>0</v>
      </c>
      <c r="AM386" s="2">
        <f t="shared" ref="AM386:AM449" si="57">+AB386+AC386</f>
        <v>0</v>
      </c>
      <c r="AN386" s="2">
        <f t="shared" ref="AN386:AN449" si="58">+AH386+AG386+AA386+Z386</f>
        <v>0</v>
      </c>
      <c r="AO386" s="2">
        <f t="shared" ref="AO386:AO449" si="59">+X386+W386+V386+U386+T386+Y386</f>
        <v>0</v>
      </c>
      <c r="AP386" s="2">
        <f t="shared" ref="AP386:AP449" si="60">+AD386</f>
        <v>0</v>
      </c>
      <c r="AQ386" s="25">
        <f t="shared" ref="AQ386:AQ449" si="61">+AE386</f>
        <v>0</v>
      </c>
    </row>
    <row r="387" spans="1:43">
      <c r="A387" s="24">
        <v>46123</v>
      </c>
      <c r="B387" s="23">
        <f t="shared" si="54"/>
        <v>46113</v>
      </c>
      <c r="C387" s="2" t="s">
        <v>55</v>
      </c>
      <c r="D387" s="2" t="s">
        <v>430</v>
      </c>
      <c r="E387" s="2">
        <v>2617</v>
      </c>
      <c r="F387" s="2">
        <v>30</v>
      </c>
      <c r="G387" s="2">
        <v>30</v>
      </c>
      <c r="H387" s="2">
        <f t="shared" ref="H387:H450" si="62">F387-G387</f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/>
      <c r="AJ387" s="2" t="s">
        <v>1566</v>
      </c>
      <c r="AK387" s="2">
        <f t="shared" si="55"/>
        <v>0</v>
      </c>
      <c r="AL387" s="2">
        <f t="shared" si="56"/>
        <v>0</v>
      </c>
      <c r="AM387" s="2">
        <f t="shared" si="57"/>
        <v>0</v>
      </c>
      <c r="AN387" s="2">
        <f t="shared" si="58"/>
        <v>0</v>
      </c>
      <c r="AO387" s="2">
        <f t="shared" si="59"/>
        <v>0</v>
      </c>
      <c r="AP387" s="2">
        <f t="shared" si="60"/>
        <v>0</v>
      </c>
      <c r="AQ387" s="25">
        <f t="shared" si="61"/>
        <v>0</v>
      </c>
    </row>
    <row r="388" spans="1:43">
      <c r="A388" s="24">
        <v>46123</v>
      </c>
      <c r="B388" s="23">
        <f t="shared" si="54"/>
        <v>46113</v>
      </c>
      <c r="C388" s="2" t="s">
        <v>55</v>
      </c>
      <c r="D388" s="2" t="s">
        <v>430</v>
      </c>
      <c r="E388" s="2">
        <v>2617</v>
      </c>
      <c r="F388" s="2">
        <v>34</v>
      </c>
      <c r="G388" s="2">
        <v>32</v>
      </c>
      <c r="H388" s="2">
        <f t="shared" si="62"/>
        <v>2</v>
      </c>
      <c r="I388" s="2">
        <v>2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/>
      <c r="AJ388" s="2" t="s">
        <v>1566</v>
      </c>
      <c r="AK388" s="2">
        <f t="shared" si="55"/>
        <v>2</v>
      </c>
      <c r="AL388" s="2">
        <f t="shared" si="56"/>
        <v>0</v>
      </c>
      <c r="AM388" s="2">
        <f t="shared" si="57"/>
        <v>0</v>
      </c>
      <c r="AN388" s="2">
        <f t="shared" si="58"/>
        <v>0</v>
      </c>
      <c r="AO388" s="2">
        <f t="shared" si="59"/>
        <v>0</v>
      </c>
      <c r="AP388" s="2">
        <f t="shared" si="60"/>
        <v>0</v>
      </c>
      <c r="AQ388" s="25">
        <f t="shared" si="61"/>
        <v>0</v>
      </c>
    </row>
    <row r="389" spans="1:43">
      <c r="A389" s="24">
        <v>46123</v>
      </c>
      <c r="B389" s="23">
        <f t="shared" si="54"/>
        <v>46113</v>
      </c>
      <c r="C389" s="2" t="s">
        <v>55</v>
      </c>
      <c r="D389" s="2" t="s">
        <v>540</v>
      </c>
      <c r="E389" s="2">
        <v>2579</v>
      </c>
      <c r="F389" s="2">
        <v>148</v>
      </c>
      <c r="G389" s="2">
        <v>148</v>
      </c>
      <c r="H389" s="2">
        <f t="shared" si="62"/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/>
      <c r="AJ389" s="2" t="s">
        <v>1566</v>
      </c>
      <c r="AK389" s="2">
        <f t="shared" si="55"/>
        <v>0</v>
      </c>
      <c r="AL389" s="2">
        <f t="shared" si="56"/>
        <v>0</v>
      </c>
      <c r="AM389" s="2">
        <f t="shared" si="57"/>
        <v>0</v>
      </c>
      <c r="AN389" s="2">
        <f t="shared" si="58"/>
        <v>0</v>
      </c>
      <c r="AO389" s="2">
        <f t="shared" si="59"/>
        <v>0</v>
      </c>
      <c r="AP389" s="2">
        <f t="shared" si="60"/>
        <v>0</v>
      </c>
      <c r="AQ389" s="25">
        <f t="shared" si="61"/>
        <v>0</v>
      </c>
    </row>
    <row r="390" spans="1:43">
      <c r="A390" s="24">
        <v>46123</v>
      </c>
      <c r="B390" s="23">
        <f t="shared" si="54"/>
        <v>46113</v>
      </c>
      <c r="C390" s="2" t="s">
        <v>55</v>
      </c>
      <c r="D390" s="2" t="s">
        <v>540</v>
      </c>
      <c r="E390" s="2">
        <v>2579</v>
      </c>
      <c r="F390" s="2">
        <v>140</v>
      </c>
      <c r="G390" s="2">
        <v>132</v>
      </c>
      <c r="H390" s="2">
        <f t="shared" si="62"/>
        <v>8</v>
      </c>
      <c r="I390" s="2">
        <v>4</v>
      </c>
      <c r="J390" s="2">
        <v>0</v>
      </c>
      <c r="K390" s="2">
        <v>2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2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/>
      <c r="AJ390" s="2" t="s">
        <v>1566</v>
      </c>
      <c r="AK390" s="2">
        <f t="shared" si="55"/>
        <v>4</v>
      </c>
      <c r="AL390" s="2">
        <f t="shared" si="56"/>
        <v>4</v>
      </c>
      <c r="AM390" s="2">
        <f t="shared" si="57"/>
        <v>0</v>
      </c>
      <c r="AN390" s="2">
        <f t="shared" si="58"/>
        <v>0</v>
      </c>
      <c r="AO390" s="2">
        <f t="shared" si="59"/>
        <v>0</v>
      </c>
      <c r="AP390" s="2">
        <f t="shared" si="60"/>
        <v>0</v>
      </c>
      <c r="AQ390" s="25">
        <f t="shared" si="61"/>
        <v>0</v>
      </c>
    </row>
    <row r="391" spans="1:43">
      <c r="A391" s="24">
        <v>46123</v>
      </c>
      <c r="B391" s="23">
        <f t="shared" si="54"/>
        <v>46113</v>
      </c>
      <c r="C391" s="2" t="s">
        <v>55</v>
      </c>
      <c r="D391" s="2" t="s">
        <v>502</v>
      </c>
      <c r="E391" s="2">
        <v>2570</v>
      </c>
      <c r="F391" s="2">
        <v>79</v>
      </c>
      <c r="G391" s="2">
        <v>78</v>
      </c>
      <c r="H391" s="2">
        <f t="shared" si="62"/>
        <v>1</v>
      </c>
      <c r="I391" s="2">
        <v>1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/>
      <c r="AJ391" s="2" t="s">
        <v>1566</v>
      </c>
      <c r="AK391" s="2">
        <f t="shared" si="55"/>
        <v>1</v>
      </c>
      <c r="AL391" s="2">
        <f t="shared" si="56"/>
        <v>0</v>
      </c>
      <c r="AM391" s="2">
        <f t="shared" si="57"/>
        <v>0</v>
      </c>
      <c r="AN391" s="2">
        <f t="shared" si="58"/>
        <v>0</v>
      </c>
      <c r="AO391" s="2">
        <f t="shared" si="59"/>
        <v>0</v>
      </c>
      <c r="AP391" s="2">
        <f t="shared" si="60"/>
        <v>0</v>
      </c>
      <c r="AQ391" s="25">
        <f t="shared" si="61"/>
        <v>0</v>
      </c>
    </row>
    <row r="392" spans="1:43">
      <c r="A392" s="24">
        <v>46123</v>
      </c>
      <c r="B392" s="23">
        <f t="shared" si="54"/>
        <v>46113</v>
      </c>
      <c r="C392" s="2" t="s">
        <v>133</v>
      </c>
      <c r="D392" s="2" t="s">
        <v>1561</v>
      </c>
      <c r="E392" s="2">
        <v>2784</v>
      </c>
      <c r="F392" s="2">
        <v>49</v>
      </c>
      <c r="G392" s="2">
        <v>48</v>
      </c>
      <c r="H392" s="2">
        <f t="shared" si="62"/>
        <v>1</v>
      </c>
      <c r="I392" s="2">
        <v>1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/>
      <c r="AJ392" s="2" t="s">
        <v>1566</v>
      </c>
      <c r="AK392" s="2">
        <f t="shared" si="55"/>
        <v>1</v>
      </c>
      <c r="AL392" s="2">
        <f t="shared" si="56"/>
        <v>0</v>
      </c>
      <c r="AM392" s="2">
        <f t="shared" si="57"/>
        <v>0</v>
      </c>
      <c r="AN392" s="2">
        <f t="shared" si="58"/>
        <v>0</v>
      </c>
      <c r="AO392" s="2">
        <f t="shared" si="59"/>
        <v>0</v>
      </c>
      <c r="AP392" s="2">
        <f t="shared" si="60"/>
        <v>0</v>
      </c>
      <c r="AQ392" s="25">
        <f t="shared" si="61"/>
        <v>0</v>
      </c>
    </row>
    <row r="393" spans="1:43">
      <c r="A393" s="24">
        <v>46123</v>
      </c>
      <c r="B393" s="23">
        <f t="shared" si="54"/>
        <v>46113</v>
      </c>
      <c r="C393" s="2" t="s">
        <v>133</v>
      </c>
      <c r="D393" s="2" t="s">
        <v>1505</v>
      </c>
      <c r="E393" s="2">
        <v>2791</v>
      </c>
      <c r="F393" s="2">
        <v>291</v>
      </c>
      <c r="G393" s="2">
        <v>275</v>
      </c>
      <c r="H393" s="2">
        <f t="shared" si="62"/>
        <v>16</v>
      </c>
      <c r="I393" s="2">
        <v>16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/>
      <c r="AJ393" s="2" t="s">
        <v>1566</v>
      </c>
      <c r="AK393" s="2">
        <f t="shared" si="55"/>
        <v>16</v>
      </c>
      <c r="AL393" s="2">
        <f t="shared" si="56"/>
        <v>0</v>
      </c>
      <c r="AM393" s="2">
        <f t="shared" si="57"/>
        <v>0</v>
      </c>
      <c r="AN393" s="2">
        <f t="shared" si="58"/>
        <v>0</v>
      </c>
      <c r="AO393" s="2">
        <f t="shared" si="59"/>
        <v>0</v>
      </c>
      <c r="AP393" s="2">
        <f t="shared" si="60"/>
        <v>0</v>
      </c>
      <c r="AQ393" s="25">
        <f t="shared" si="61"/>
        <v>0</v>
      </c>
    </row>
    <row r="394" spans="1:43">
      <c r="A394" s="24">
        <v>46123</v>
      </c>
      <c r="B394" s="23">
        <f t="shared" si="54"/>
        <v>46113</v>
      </c>
      <c r="C394" s="2" t="s">
        <v>133</v>
      </c>
      <c r="D394" s="2" t="s">
        <v>1504</v>
      </c>
      <c r="E394" s="2">
        <v>2791</v>
      </c>
      <c r="F394" s="2">
        <v>76</v>
      </c>
      <c r="G394" s="2">
        <v>73</v>
      </c>
      <c r="H394" s="2">
        <f t="shared" si="62"/>
        <v>3</v>
      </c>
      <c r="I394" s="2">
        <v>3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/>
      <c r="AJ394" s="2" t="s">
        <v>1566</v>
      </c>
      <c r="AK394" s="2">
        <f t="shared" si="55"/>
        <v>3</v>
      </c>
      <c r="AL394" s="2">
        <f t="shared" si="56"/>
        <v>0</v>
      </c>
      <c r="AM394" s="2">
        <f t="shared" si="57"/>
        <v>0</v>
      </c>
      <c r="AN394" s="2">
        <f t="shared" si="58"/>
        <v>0</v>
      </c>
      <c r="AO394" s="2">
        <f t="shared" si="59"/>
        <v>0</v>
      </c>
      <c r="AP394" s="2">
        <f t="shared" si="60"/>
        <v>0</v>
      </c>
      <c r="AQ394" s="25">
        <f t="shared" si="61"/>
        <v>0</v>
      </c>
    </row>
    <row r="395" spans="1:43">
      <c r="A395" s="24">
        <v>46123</v>
      </c>
      <c r="B395" s="23">
        <f t="shared" si="54"/>
        <v>46113</v>
      </c>
      <c r="C395" s="2" t="s">
        <v>63</v>
      </c>
      <c r="D395" s="2" t="s">
        <v>495</v>
      </c>
      <c r="E395" s="2">
        <v>2480</v>
      </c>
      <c r="F395" s="2">
        <v>68</v>
      </c>
      <c r="G395" s="2">
        <v>67</v>
      </c>
      <c r="H395" s="2">
        <f t="shared" si="62"/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/>
      <c r="AJ395" s="2" t="s">
        <v>1568</v>
      </c>
      <c r="AK395" s="2">
        <f t="shared" si="55"/>
        <v>1</v>
      </c>
      <c r="AL395" s="2">
        <f t="shared" si="56"/>
        <v>0</v>
      </c>
      <c r="AM395" s="2">
        <f t="shared" si="57"/>
        <v>0</v>
      </c>
      <c r="AN395" s="2">
        <f t="shared" si="58"/>
        <v>0</v>
      </c>
      <c r="AO395" s="2">
        <f t="shared" si="59"/>
        <v>0</v>
      </c>
      <c r="AP395" s="2">
        <f t="shared" si="60"/>
        <v>0</v>
      </c>
      <c r="AQ395" s="25">
        <f t="shared" si="61"/>
        <v>0</v>
      </c>
    </row>
    <row r="396" spans="1:43">
      <c r="A396" s="24">
        <v>46123</v>
      </c>
      <c r="B396" s="23">
        <f t="shared" si="54"/>
        <v>46113</v>
      </c>
      <c r="C396" s="2" t="s">
        <v>62</v>
      </c>
      <c r="D396" s="2" t="s">
        <v>559</v>
      </c>
      <c r="E396" s="2">
        <v>1824</v>
      </c>
      <c r="F396" s="2">
        <v>20</v>
      </c>
      <c r="G396" s="2">
        <v>20</v>
      </c>
      <c r="H396" s="2">
        <f t="shared" si="62"/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/>
      <c r="AJ396" s="2" t="s">
        <v>1568</v>
      </c>
      <c r="AK396" s="2">
        <f t="shared" si="55"/>
        <v>0</v>
      </c>
      <c r="AL396" s="2">
        <f t="shared" si="56"/>
        <v>0</v>
      </c>
      <c r="AM396" s="2">
        <f t="shared" si="57"/>
        <v>0</v>
      </c>
      <c r="AN396" s="2">
        <f t="shared" si="58"/>
        <v>0</v>
      </c>
      <c r="AO396" s="2">
        <f t="shared" si="59"/>
        <v>0</v>
      </c>
      <c r="AP396" s="2">
        <f t="shared" si="60"/>
        <v>0</v>
      </c>
      <c r="AQ396" s="25">
        <f t="shared" si="61"/>
        <v>0</v>
      </c>
    </row>
    <row r="397" spans="1:43">
      <c r="A397" s="24">
        <v>46123</v>
      </c>
      <c r="B397" s="23">
        <f t="shared" si="54"/>
        <v>46113</v>
      </c>
      <c r="C397" s="2" t="s">
        <v>62</v>
      </c>
      <c r="D397" s="2" t="s">
        <v>1196</v>
      </c>
      <c r="E397" s="2">
        <v>2783</v>
      </c>
      <c r="F397" s="2">
        <v>57</v>
      </c>
      <c r="G397" s="2">
        <v>56</v>
      </c>
      <c r="H397" s="2">
        <f t="shared" si="62"/>
        <v>1</v>
      </c>
      <c r="I397" s="2">
        <v>1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/>
      <c r="AJ397" s="2" t="s">
        <v>1568</v>
      </c>
      <c r="AK397" s="2">
        <f t="shared" si="55"/>
        <v>1</v>
      </c>
      <c r="AL397" s="2">
        <f t="shared" si="56"/>
        <v>0</v>
      </c>
      <c r="AM397" s="2">
        <f t="shared" si="57"/>
        <v>0</v>
      </c>
      <c r="AN397" s="2">
        <f t="shared" si="58"/>
        <v>0</v>
      </c>
      <c r="AO397" s="2">
        <f t="shared" si="59"/>
        <v>0</v>
      </c>
      <c r="AP397" s="2">
        <f t="shared" si="60"/>
        <v>0</v>
      </c>
      <c r="AQ397" s="25">
        <f t="shared" si="61"/>
        <v>0</v>
      </c>
    </row>
    <row r="398" spans="1:43">
      <c r="A398" s="24">
        <v>46123</v>
      </c>
      <c r="B398" s="23">
        <f t="shared" si="54"/>
        <v>46113</v>
      </c>
      <c r="C398" s="2" t="s">
        <v>63</v>
      </c>
      <c r="D398" s="2" t="s">
        <v>491</v>
      </c>
      <c r="E398" s="2">
        <v>1698</v>
      </c>
      <c r="F398" s="2">
        <v>318</v>
      </c>
      <c r="G398" s="2">
        <v>313</v>
      </c>
      <c r="H398" s="2">
        <f t="shared" si="62"/>
        <v>5</v>
      </c>
      <c r="I398" s="2">
        <v>5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/>
      <c r="AJ398" s="2" t="s">
        <v>1568</v>
      </c>
      <c r="AK398" s="2">
        <f t="shared" si="55"/>
        <v>5</v>
      </c>
      <c r="AL398" s="2">
        <f t="shared" si="56"/>
        <v>0</v>
      </c>
      <c r="AM398" s="2">
        <f t="shared" si="57"/>
        <v>0</v>
      </c>
      <c r="AN398" s="2">
        <f t="shared" si="58"/>
        <v>0</v>
      </c>
      <c r="AO398" s="2">
        <f t="shared" si="59"/>
        <v>0</v>
      </c>
      <c r="AP398" s="2">
        <f t="shared" si="60"/>
        <v>0</v>
      </c>
      <c r="AQ398" s="25">
        <f t="shared" si="61"/>
        <v>0</v>
      </c>
    </row>
    <row r="399" spans="1:43">
      <c r="A399" s="24">
        <v>46123</v>
      </c>
      <c r="B399" s="23">
        <f t="shared" si="54"/>
        <v>46113</v>
      </c>
      <c r="C399" s="2" t="s">
        <v>63</v>
      </c>
      <c r="D399" s="2" t="s">
        <v>455</v>
      </c>
      <c r="E399" s="2">
        <v>2725</v>
      </c>
      <c r="F399" s="2">
        <v>975</v>
      </c>
      <c r="G399" s="2">
        <v>960</v>
      </c>
      <c r="H399" s="2">
        <f t="shared" si="62"/>
        <v>15</v>
      </c>
      <c r="I399" s="2">
        <v>6</v>
      </c>
      <c r="J399" s="2">
        <v>7</v>
      </c>
      <c r="K399" s="2">
        <v>0</v>
      </c>
      <c r="L399" s="2">
        <v>0</v>
      </c>
      <c r="M399" s="2">
        <v>0</v>
      </c>
      <c r="N399" s="2">
        <v>0</v>
      </c>
      <c r="O399" s="2">
        <v>2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/>
      <c r="AJ399" s="2" t="s">
        <v>1568</v>
      </c>
      <c r="AK399" s="2">
        <f t="shared" si="55"/>
        <v>6</v>
      </c>
      <c r="AL399" s="2">
        <f t="shared" si="56"/>
        <v>9</v>
      </c>
      <c r="AM399" s="2">
        <f t="shared" si="57"/>
        <v>0</v>
      </c>
      <c r="AN399" s="2">
        <f t="shared" si="58"/>
        <v>0</v>
      </c>
      <c r="AO399" s="2">
        <f t="shared" si="59"/>
        <v>0</v>
      </c>
      <c r="AP399" s="2">
        <f t="shared" si="60"/>
        <v>0</v>
      </c>
      <c r="AQ399" s="25">
        <f t="shared" si="61"/>
        <v>0</v>
      </c>
    </row>
    <row r="400" spans="1:43">
      <c r="A400" s="24">
        <v>46123</v>
      </c>
      <c r="B400" s="23">
        <f t="shared" si="54"/>
        <v>46113</v>
      </c>
      <c r="C400" s="2" t="s">
        <v>160</v>
      </c>
      <c r="D400" s="2" t="s">
        <v>504</v>
      </c>
      <c r="E400" s="2">
        <v>1884</v>
      </c>
      <c r="F400" s="2">
        <v>389</v>
      </c>
      <c r="G400" s="2">
        <v>372</v>
      </c>
      <c r="H400" s="2">
        <f t="shared" si="62"/>
        <v>17</v>
      </c>
      <c r="I400" s="2">
        <v>7</v>
      </c>
      <c r="J400" s="2">
        <v>9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1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/>
      <c r="AJ400" s="2" t="s">
        <v>93</v>
      </c>
      <c r="AK400" s="2">
        <f t="shared" si="55"/>
        <v>7</v>
      </c>
      <c r="AL400" s="2">
        <f t="shared" si="56"/>
        <v>9</v>
      </c>
      <c r="AM400" s="2">
        <f t="shared" si="57"/>
        <v>0</v>
      </c>
      <c r="AN400" s="2">
        <f t="shared" si="58"/>
        <v>1</v>
      </c>
      <c r="AO400" s="2">
        <f t="shared" si="59"/>
        <v>0</v>
      </c>
      <c r="AP400" s="2">
        <f t="shared" si="60"/>
        <v>0</v>
      </c>
      <c r="AQ400" s="25">
        <f t="shared" si="61"/>
        <v>0</v>
      </c>
    </row>
    <row r="401" spans="1:43">
      <c r="A401" s="24">
        <v>46123</v>
      </c>
      <c r="B401" s="23">
        <f t="shared" si="54"/>
        <v>46113</v>
      </c>
      <c r="C401" s="2" t="s">
        <v>160</v>
      </c>
      <c r="D401" s="2" t="s">
        <v>569</v>
      </c>
      <c r="E401" s="2">
        <v>1733</v>
      </c>
      <c r="F401" s="2">
        <v>132</v>
      </c>
      <c r="G401" s="2">
        <v>104</v>
      </c>
      <c r="H401" s="2">
        <f t="shared" si="62"/>
        <v>28</v>
      </c>
      <c r="I401" s="2">
        <v>10</v>
      </c>
      <c r="J401" s="2">
        <v>0</v>
      </c>
      <c r="K401" s="2">
        <v>0</v>
      </c>
      <c r="L401" s="2">
        <v>0</v>
      </c>
      <c r="M401" s="2">
        <v>0</v>
      </c>
      <c r="N401" s="2">
        <v>16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2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/>
      <c r="AJ401" s="2" t="s">
        <v>93</v>
      </c>
      <c r="AK401" s="2">
        <f t="shared" si="55"/>
        <v>10</v>
      </c>
      <c r="AL401" s="2">
        <f t="shared" si="56"/>
        <v>16</v>
      </c>
      <c r="AM401" s="2">
        <f t="shared" si="57"/>
        <v>0</v>
      </c>
      <c r="AN401" s="2">
        <f t="shared" si="58"/>
        <v>0</v>
      </c>
      <c r="AO401" s="2">
        <f t="shared" si="59"/>
        <v>2</v>
      </c>
      <c r="AP401" s="2">
        <f t="shared" si="60"/>
        <v>0</v>
      </c>
      <c r="AQ401" s="25">
        <f t="shared" si="61"/>
        <v>0</v>
      </c>
    </row>
    <row r="402" spans="1:43">
      <c r="A402" s="24">
        <v>46123</v>
      </c>
      <c r="B402" s="23">
        <f t="shared" si="54"/>
        <v>46113</v>
      </c>
      <c r="C402" s="2" t="s">
        <v>82</v>
      </c>
      <c r="D402" s="2" t="s">
        <v>478</v>
      </c>
      <c r="E402" s="2">
        <v>2608</v>
      </c>
      <c r="F402" s="2">
        <v>39</v>
      </c>
      <c r="G402" s="2">
        <v>39</v>
      </c>
      <c r="H402" s="2">
        <f t="shared" si="62"/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/>
      <c r="AJ402" s="2" t="s">
        <v>93</v>
      </c>
      <c r="AK402" s="2">
        <f t="shared" si="55"/>
        <v>0</v>
      </c>
      <c r="AL402" s="2">
        <f t="shared" si="56"/>
        <v>0</v>
      </c>
      <c r="AM402" s="2">
        <f t="shared" si="57"/>
        <v>0</v>
      </c>
      <c r="AN402" s="2">
        <f t="shared" si="58"/>
        <v>0</v>
      </c>
      <c r="AO402" s="2">
        <f t="shared" si="59"/>
        <v>0</v>
      </c>
      <c r="AP402" s="2">
        <f t="shared" si="60"/>
        <v>0</v>
      </c>
      <c r="AQ402" s="25">
        <f t="shared" si="61"/>
        <v>0</v>
      </c>
    </row>
    <row r="403" spans="1:43">
      <c r="A403" s="24">
        <v>46123</v>
      </c>
      <c r="B403" s="23">
        <f t="shared" si="54"/>
        <v>46113</v>
      </c>
      <c r="C403" s="2" t="s">
        <v>82</v>
      </c>
      <c r="D403" s="2" t="s">
        <v>467</v>
      </c>
      <c r="E403" s="2">
        <v>2603</v>
      </c>
      <c r="F403" s="2">
        <v>272</v>
      </c>
      <c r="G403" s="2">
        <v>269</v>
      </c>
      <c r="H403" s="2">
        <f t="shared" si="62"/>
        <v>3</v>
      </c>
      <c r="I403" s="2">
        <v>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1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1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/>
      <c r="AJ403" s="2" t="s">
        <v>93</v>
      </c>
      <c r="AK403" s="2">
        <f t="shared" si="55"/>
        <v>1</v>
      </c>
      <c r="AL403" s="2">
        <f t="shared" si="56"/>
        <v>1</v>
      </c>
      <c r="AM403" s="2">
        <f t="shared" si="57"/>
        <v>0</v>
      </c>
      <c r="AN403" s="2">
        <f t="shared" si="58"/>
        <v>1</v>
      </c>
      <c r="AO403" s="2">
        <f t="shared" si="59"/>
        <v>0</v>
      </c>
      <c r="AP403" s="2">
        <f t="shared" si="60"/>
        <v>0</v>
      </c>
      <c r="AQ403" s="25">
        <f t="shared" si="61"/>
        <v>0</v>
      </c>
    </row>
    <row r="404" spans="1:43">
      <c r="A404" s="24">
        <v>46123</v>
      </c>
      <c r="B404" s="23">
        <f t="shared" si="54"/>
        <v>46113</v>
      </c>
      <c r="C404" s="2" t="s">
        <v>160</v>
      </c>
      <c r="D404" s="2" t="s">
        <v>569</v>
      </c>
      <c r="E404" s="2">
        <v>1733</v>
      </c>
      <c r="F404" s="2">
        <v>86</v>
      </c>
      <c r="G404" s="2">
        <v>82</v>
      </c>
      <c r="H404" s="2">
        <f t="shared" si="62"/>
        <v>4</v>
      </c>
      <c r="I404" s="2">
        <v>2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1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/>
      <c r="AJ404" s="2" t="s">
        <v>93</v>
      </c>
      <c r="AK404" s="2">
        <f t="shared" si="55"/>
        <v>2</v>
      </c>
      <c r="AL404" s="2">
        <f t="shared" si="56"/>
        <v>1</v>
      </c>
      <c r="AM404" s="2">
        <f t="shared" si="57"/>
        <v>0</v>
      </c>
      <c r="AN404" s="2">
        <f t="shared" si="58"/>
        <v>0</v>
      </c>
      <c r="AO404" s="2">
        <f t="shared" si="59"/>
        <v>1</v>
      </c>
      <c r="AP404" s="2">
        <f t="shared" si="60"/>
        <v>0</v>
      </c>
      <c r="AQ404" s="25">
        <f t="shared" si="61"/>
        <v>0</v>
      </c>
    </row>
    <row r="405" spans="1:43">
      <c r="A405" s="24">
        <v>46123</v>
      </c>
      <c r="B405" s="23">
        <f t="shared" si="54"/>
        <v>46113</v>
      </c>
      <c r="C405" s="2" t="s">
        <v>82</v>
      </c>
      <c r="D405" s="2" t="s">
        <v>560</v>
      </c>
      <c r="E405" s="2">
        <v>2606</v>
      </c>
      <c r="F405" s="2">
        <v>140</v>
      </c>
      <c r="G405" s="2">
        <v>139</v>
      </c>
      <c r="H405" s="2">
        <f t="shared" si="62"/>
        <v>1</v>
      </c>
      <c r="I405" s="2">
        <v>1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/>
      <c r="AJ405" s="2" t="s">
        <v>93</v>
      </c>
      <c r="AK405" s="2">
        <f t="shared" si="55"/>
        <v>1</v>
      </c>
      <c r="AL405" s="2">
        <f t="shared" si="56"/>
        <v>0</v>
      </c>
      <c r="AM405" s="2">
        <f t="shared" si="57"/>
        <v>0</v>
      </c>
      <c r="AN405" s="2">
        <f t="shared" si="58"/>
        <v>0</v>
      </c>
      <c r="AO405" s="2">
        <f t="shared" si="59"/>
        <v>0</v>
      </c>
      <c r="AP405" s="2">
        <f t="shared" si="60"/>
        <v>0</v>
      </c>
      <c r="AQ405" s="25">
        <f t="shared" si="61"/>
        <v>0</v>
      </c>
    </row>
    <row r="406" spans="1:43">
      <c r="A406" s="24">
        <v>46123</v>
      </c>
      <c r="B406" s="23">
        <f t="shared" si="54"/>
        <v>46113</v>
      </c>
      <c r="C406" s="2" t="s">
        <v>82</v>
      </c>
      <c r="D406" s="2" t="s">
        <v>447</v>
      </c>
      <c r="E406" s="2">
        <v>2606</v>
      </c>
      <c r="F406" s="2">
        <v>96</v>
      </c>
      <c r="G406" s="2">
        <v>96</v>
      </c>
      <c r="H406" s="2">
        <f t="shared" si="62"/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/>
      <c r="AJ406" s="2" t="s">
        <v>93</v>
      </c>
      <c r="AK406" s="2">
        <f t="shared" si="55"/>
        <v>0</v>
      </c>
      <c r="AL406" s="2">
        <f t="shared" si="56"/>
        <v>0</v>
      </c>
      <c r="AM406" s="2">
        <f t="shared" si="57"/>
        <v>0</v>
      </c>
      <c r="AN406" s="2">
        <f t="shared" si="58"/>
        <v>0</v>
      </c>
      <c r="AO406" s="2">
        <f t="shared" si="59"/>
        <v>0</v>
      </c>
      <c r="AP406" s="2">
        <f t="shared" si="60"/>
        <v>0</v>
      </c>
      <c r="AQ406" s="25">
        <f t="shared" si="61"/>
        <v>0</v>
      </c>
    </row>
    <row r="407" spans="1:43">
      <c r="A407" s="24">
        <v>46123</v>
      </c>
      <c r="B407" s="23">
        <f t="shared" si="54"/>
        <v>46113</v>
      </c>
      <c r="C407" s="2" t="s">
        <v>82</v>
      </c>
      <c r="D407" s="2" t="s">
        <v>469</v>
      </c>
      <c r="E407" s="2">
        <v>2606</v>
      </c>
      <c r="F407" s="2">
        <v>104</v>
      </c>
      <c r="G407" s="2">
        <v>104</v>
      </c>
      <c r="H407" s="2">
        <f t="shared" si="62"/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/>
      <c r="AJ407" s="2" t="s">
        <v>93</v>
      </c>
      <c r="AK407" s="2">
        <f t="shared" si="55"/>
        <v>0</v>
      </c>
      <c r="AL407" s="2">
        <f t="shared" si="56"/>
        <v>0</v>
      </c>
      <c r="AM407" s="2">
        <f t="shared" si="57"/>
        <v>0</v>
      </c>
      <c r="AN407" s="2">
        <f t="shared" si="58"/>
        <v>0</v>
      </c>
      <c r="AO407" s="2">
        <f t="shared" si="59"/>
        <v>0</v>
      </c>
      <c r="AP407" s="2">
        <f t="shared" si="60"/>
        <v>0</v>
      </c>
      <c r="AQ407" s="25">
        <f t="shared" si="61"/>
        <v>0</v>
      </c>
    </row>
    <row r="408" spans="1:43">
      <c r="A408" s="24">
        <v>46123</v>
      </c>
      <c r="B408" s="23">
        <f t="shared" si="54"/>
        <v>46113</v>
      </c>
      <c r="C408" s="2" t="s">
        <v>160</v>
      </c>
      <c r="D408" s="2" t="s">
        <v>439</v>
      </c>
      <c r="E408" s="2">
        <v>1733</v>
      </c>
      <c r="F408" s="2">
        <v>308</v>
      </c>
      <c r="G408" s="2">
        <v>275</v>
      </c>
      <c r="H408" s="2">
        <f t="shared" si="62"/>
        <v>33</v>
      </c>
      <c r="I408" s="2">
        <v>17</v>
      </c>
      <c r="J408" s="2">
        <v>0</v>
      </c>
      <c r="K408" s="2">
        <v>0</v>
      </c>
      <c r="L408" s="2">
        <v>5</v>
      </c>
      <c r="M408" s="2">
        <v>2</v>
      </c>
      <c r="N408" s="2">
        <v>0</v>
      </c>
      <c r="O408" s="2">
        <v>0</v>
      </c>
      <c r="P408" s="2">
        <v>0</v>
      </c>
      <c r="Q408" s="2">
        <v>0</v>
      </c>
      <c r="R408" s="2">
        <v>4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5</v>
      </c>
      <c r="AI408" s="2"/>
      <c r="AJ408" s="2" t="s">
        <v>93</v>
      </c>
      <c r="AK408" s="2">
        <f t="shared" si="55"/>
        <v>17</v>
      </c>
      <c r="AL408" s="2">
        <f t="shared" si="56"/>
        <v>11</v>
      </c>
      <c r="AM408" s="2">
        <f t="shared" si="57"/>
        <v>0</v>
      </c>
      <c r="AN408" s="2">
        <f t="shared" si="58"/>
        <v>5</v>
      </c>
      <c r="AO408" s="2">
        <f t="shared" si="59"/>
        <v>0</v>
      </c>
      <c r="AP408" s="2">
        <f t="shared" si="60"/>
        <v>0</v>
      </c>
      <c r="AQ408" s="25">
        <f t="shared" si="61"/>
        <v>0</v>
      </c>
    </row>
    <row r="409" spans="1:43">
      <c r="A409" s="24">
        <v>46123</v>
      </c>
      <c r="B409" s="23">
        <f t="shared" si="54"/>
        <v>46113</v>
      </c>
      <c r="C409" s="2" t="s">
        <v>82</v>
      </c>
      <c r="D409" s="2" t="s">
        <v>469</v>
      </c>
      <c r="E409" s="2">
        <v>2606</v>
      </c>
      <c r="F409" s="2">
        <v>80</v>
      </c>
      <c r="G409" s="2">
        <v>80</v>
      </c>
      <c r="H409" s="2">
        <f t="shared" si="62"/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/>
      <c r="AJ409" s="2" t="s">
        <v>93</v>
      </c>
      <c r="AK409" s="2">
        <f t="shared" si="55"/>
        <v>0</v>
      </c>
      <c r="AL409" s="2">
        <f t="shared" si="56"/>
        <v>0</v>
      </c>
      <c r="AM409" s="2">
        <f t="shared" si="57"/>
        <v>0</v>
      </c>
      <c r="AN409" s="2">
        <f t="shared" si="58"/>
        <v>0</v>
      </c>
      <c r="AO409" s="2">
        <f t="shared" si="59"/>
        <v>0</v>
      </c>
      <c r="AP409" s="2">
        <f t="shared" si="60"/>
        <v>0</v>
      </c>
      <c r="AQ409" s="25">
        <f t="shared" si="61"/>
        <v>0</v>
      </c>
    </row>
    <row r="410" spans="1:43">
      <c r="A410" s="24">
        <v>46123</v>
      </c>
      <c r="B410" s="23">
        <f t="shared" si="54"/>
        <v>46113</v>
      </c>
      <c r="C410" s="2" t="s">
        <v>160</v>
      </c>
      <c r="D410" s="2" t="s">
        <v>439</v>
      </c>
      <c r="E410" s="2">
        <v>1733</v>
      </c>
      <c r="F410" s="2">
        <v>50</v>
      </c>
      <c r="G410" s="2">
        <v>46</v>
      </c>
      <c r="H410" s="2">
        <f t="shared" si="62"/>
        <v>4</v>
      </c>
      <c r="I410" s="2">
        <v>3</v>
      </c>
      <c r="J410" s="2">
        <v>0</v>
      </c>
      <c r="K410" s="2">
        <v>0</v>
      </c>
      <c r="L410" s="2">
        <v>0</v>
      </c>
      <c r="M410" s="2">
        <v>1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/>
      <c r="AJ410" s="2" t="s">
        <v>93</v>
      </c>
      <c r="AK410" s="2">
        <f t="shared" si="55"/>
        <v>3</v>
      </c>
      <c r="AL410" s="2">
        <f t="shared" si="56"/>
        <v>1</v>
      </c>
      <c r="AM410" s="2">
        <f t="shared" si="57"/>
        <v>0</v>
      </c>
      <c r="AN410" s="2">
        <f t="shared" si="58"/>
        <v>0</v>
      </c>
      <c r="AO410" s="2">
        <f t="shared" si="59"/>
        <v>0</v>
      </c>
      <c r="AP410" s="2">
        <f t="shared" si="60"/>
        <v>0</v>
      </c>
      <c r="AQ410" s="25">
        <f t="shared" si="61"/>
        <v>0</v>
      </c>
    </row>
    <row r="411" spans="1:43">
      <c r="A411" s="24">
        <v>46125</v>
      </c>
      <c r="B411" s="23">
        <f t="shared" si="54"/>
        <v>46113</v>
      </c>
      <c r="C411" s="2" t="s">
        <v>95</v>
      </c>
      <c r="D411" s="2" t="s">
        <v>451</v>
      </c>
      <c r="E411" s="2">
        <v>1698</v>
      </c>
      <c r="F411" s="2">
        <v>619</v>
      </c>
      <c r="G411" s="2">
        <v>603</v>
      </c>
      <c r="H411" s="2">
        <f t="shared" si="62"/>
        <v>16</v>
      </c>
      <c r="I411" s="2">
        <v>16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/>
      <c r="AJ411" s="2" t="s">
        <v>77</v>
      </c>
      <c r="AK411" s="2">
        <f t="shared" si="55"/>
        <v>16</v>
      </c>
      <c r="AL411" s="2">
        <f t="shared" si="56"/>
        <v>0</v>
      </c>
      <c r="AM411" s="2">
        <f t="shared" si="57"/>
        <v>0</v>
      </c>
      <c r="AN411" s="2">
        <f t="shared" si="58"/>
        <v>0</v>
      </c>
      <c r="AO411" s="2">
        <f t="shared" si="59"/>
        <v>0</v>
      </c>
      <c r="AP411" s="2">
        <f t="shared" si="60"/>
        <v>0</v>
      </c>
      <c r="AQ411" s="25">
        <f t="shared" si="61"/>
        <v>0</v>
      </c>
    </row>
    <row r="412" spans="1:43">
      <c r="A412" s="24">
        <v>46125</v>
      </c>
      <c r="B412" s="23">
        <f t="shared" si="54"/>
        <v>46113</v>
      </c>
      <c r="C412" s="2" t="s">
        <v>62</v>
      </c>
      <c r="D412" s="2" t="s">
        <v>466</v>
      </c>
      <c r="E412" s="2">
        <v>2634</v>
      </c>
      <c r="F412" s="2">
        <v>20</v>
      </c>
      <c r="G412" s="2">
        <v>20</v>
      </c>
      <c r="H412" s="2">
        <f t="shared" si="62"/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/>
      <c r="AJ412" s="2" t="s">
        <v>77</v>
      </c>
      <c r="AK412" s="2">
        <f t="shared" si="55"/>
        <v>0</v>
      </c>
      <c r="AL412" s="2">
        <f t="shared" si="56"/>
        <v>0</v>
      </c>
      <c r="AM412" s="2">
        <f t="shared" si="57"/>
        <v>0</v>
      </c>
      <c r="AN412" s="2">
        <f t="shared" si="58"/>
        <v>0</v>
      </c>
      <c r="AO412" s="2">
        <f t="shared" si="59"/>
        <v>0</v>
      </c>
      <c r="AP412" s="2">
        <f t="shared" si="60"/>
        <v>0</v>
      </c>
      <c r="AQ412" s="25">
        <f t="shared" si="61"/>
        <v>0</v>
      </c>
    </row>
    <row r="413" spans="1:43">
      <c r="A413" s="24">
        <v>46125</v>
      </c>
      <c r="B413" s="23">
        <f t="shared" si="54"/>
        <v>46113</v>
      </c>
      <c r="C413" s="2" t="s">
        <v>62</v>
      </c>
      <c r="D413" s="2" t="s">
        <v>1420</v>
      </c>
      <c r="E413" s="2">
        <v>2634</v>
      </c>
      <c r="F413" s="2">
        <v>20</v>
      </c>
      <c r="G413" s="2">
        <v>20</v>
      </c>
      <c r="H413" s="2">
        <f t="shared" si="62"/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/>
      <c r="AJ413" s="2" t="s">
        <v>77</v>
      </c>
      <c r="AK413" s="2">
        <f t="shared" si="55"/>
        <v>0</v>
      </c>
      <c r="AL413" s="2">
        <f t="shared" si="56"/>
        <v>0</v>
      </c>
      <c r="AM413" s="2">
        <f t="shared" si="57"/>
        <v>0</v>
      </c>
      <c r="AN413" s="2">
        <f t="shared" si="58"/>
        <v>0</v>
      </c>
      <c r="AO413" s="2">
        <f t="shared" si="59"/>
        <v>0</v>
      </c>
      <c r="AP413" s="2">
        <f t="shared" si="60"/>
        <v>0</v>
      </c>
      <c r="AQ413" s="25">
        <f t="shared" si="61"/>
        <v>0</v>
      </c>
    </row>
    <row r="414" spans="1:43">
      <c r="A414" s="24">
        <v>46125</v>
      </c>
      <c r="B414" s="23">
        <f t="shared" si="54"/>
        <v>46113</v>
      </c>
      <c r="C414" s="2" t="s">
        <v>62</v>
      </c>
      <c r="D414" s="2" t="s">
        <v>463</v>
      </c>
      <c r="E414" s="2">
        <v>2634</v>
      </c>
      <c r="F414" s="2">
        <v>20</v>
      </c>
      <c r="G414" s="2">
        <v>20</v>
      </c>
      <c r="H414" s="2">
        <f t="shared" si="62"/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/>
      <c r="AJ414" s="2" t="s">
        <v>77</v>
      </c>
      <c r="AK414" s="2">
        <f t="shared" si="55"/>
        <v>0</v>
      </c>
      <c r="AL414" s="2">
        <f t="shared" si="56"/>
        <v>0</v>
      </c>
      <c r="AM414" s="2">
        <f t="shared" si="57"/>
        <v>0</v>
      </c>
      <c r="AN414" s="2">
        <f t="shared" si="58"/>
        <v>0</v>
      </c>
      <c r="AO414" s="2">
        <f t="shared" si="59"/>
        <v>0</v>
      </c>
      <c r="AP414" s="2">
        <f t="shared" si="60"/>
        <v>0</v>
      </c>
      <c r="AQ414" s="25">
        <f t="shared" si="61"/>
        <v>0</v>
      </c>
    </row>
    <row r="415" spans="1:43">
      <c r="A415" s="24">
        <v>46125</v>
      </c>
      <c r="B415" s="23">
        <f t="shared" si="54"/>
        <v>46113</v>
      </c>
      <c r="C415" s="2" t="s">
        <v>62</v>
      </c>
      <c r="D415" s="2" t="s">
        <v>1534</v>
      </c>
      <c r="E415" s="2">
        <v>1927</v>
      </c>
      <c r="F415" s="2">
        <v>375</v>
      </c>
      <c r="G415" s="2">
        <v>367</v>
      </c>
      <c r="H415" s="2">
        <f t="shared" si="62"/>
        <v>8</v>
      </c>
      <c r="I415" s="2">
        <v>8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/>
      <c r="AJ415" s="2" t="s">
        <v>77</v>
      </c>
      <c r="AK415" s="2">
        <f t="shared" si="55"/>
        <v>8</v>
      </c>
      <c r="AL415" s="2">
        <f t="shared" si="56"/>
        <v>0</v>
      </c>
      <c r="AM415" s="2">
        <f t="shared" si="57"/>
        <v>0</v>
      </c>
      <c r="AN415" s="2">
        <f t="shared" si="58"/>
        <v>0</v>
      </c>
      <c r="AO415" s="2">
        <f t="shared" si="59"/>
        <v>0</v>
      </c>
      <c r="AP415" s="2">
        <f t="shared" si="60"/>
        <v>0</v>
      </c>
      <c r="AQ415" s="25">
        <f t="shared" si="61"/>
        <v>0</v>
      </c>
    </row>
    <row r="416" spans="1:43">
      <c r="A416" s="24">
        <v>46125</v>
      </c>
      <c r="B416" s="23">
        <f t="shared" si="54"/>
        <v>46113</v>
      </c>
      <c r="C416" s="2" t="s">
        <v>62</v>
      </c>
      <c r="D416" s="2" t="s">
        <v>1556</v>
      </c>
      <c r="E416" s="2">
        <v>2786</v>
      </c>
      <c r="F416" s="2">
        <v>49</v>
      </c>
      <c r="G416" s="2">
        <v>49</v>
      </c>
      <c r="H416" s="2">
        <f t="shared" si="62"/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/>
      <c r="AJ416" s="2" t="s">
        <v>77</v>
      </c>
      <c r="AK416" s="2">
        <f t="shared" si="55"/>
        <v>0</v>
      </c>
      <c r="AL416" s="2">
        <f t="shared" si="56"/>
        <v>0</v>
      </c>
      <c r="AM416" s="2">
        <f t="shared" si="57"/>
        <v>0</v>
      </c>
      <c r="AN416" s="2">
        <f t="shared" si="58"/>
        <v>0</v>
      </c>
      <c r="AO416" s="2">
        <f t="shared" si="59"/>
        <v>0</v>
      </c>
      <c r="AP416" s="2">
        <f t="shared" si="60"/>
        <v>0</v>
      </c>
      <c r="AQ416" s="25">
        <f t="shared" si="61"/>
        <v>0</v>
      </c>
    </row>
    <row r="417" spans="1:43">
      <c r="A417" s="24">
        <v>46125</v>
      </c>
      <c r="B417" s="23">
        <f t="shared" si="54"/>
        <v>46113</v>
      </c>
      <c r="C417" s="2" t="s">
        <v>62</v>
      </c>
      <c r="D417" s="2" t="s">
        <v>1534</v>
      </c>
      <c r="E417" s="2">
        <v>1927</v>
      </c>
      <c r="F417" s="2">
        <v>50</v>
      </c>
      <c r="G417" s="2">
        <v>49</v>
      </c>
      <c r="H417" s="2">
        <f t="shared" si="62"/>
        <v>1</v>
      </c>
      <c r="I417" s="2">
        <v>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/>
      <c r="AJ417" s="2" t="s">
        <v>77</v>
      </c>
      <c r="AK417" s="2">
        <f t="shared" si="55"/>
        <v>1</v>
      </c>
      <c r="AL417" s="2">
        <f t="shared" si="56"/>
        <v>0</v>
      </c>
      <c r="AM417" s="2">
        <f t="shared" si="57"/>
        <v>0</v>
      </c>
      <c r="AN417" s="2">
        <f t="shared" si="58"/>
        <v>0</v>
      </c>
      <c r="AO417" s="2">
        <f t="shared" si="59"/>
        <v>0</v>
      </c>
      <c r="AP417" s="2">
        <f t="shared" si="60"/>
        <v>0</v>
      </c>
      <c r="AQ417" s="25">
        <f t="shared" si="61"/>
        <v>0</v>
      </c>
    </row>
    <row r="418" spans="1:43">
      <c r="A418" s="24">
        <v>46125</v>
      </c>
      <c r="B418" s="23">
        <f t="shared" si="54"/>
        <v>46113</v>
      </c>
      <c r="C418" s="2" t="s">
        <v>72</v>
      </c>
      <c r="D418" s="2" t="s">
        <v>576</v>
      </c>
      <c r="E418" s="2">
        <v>2497</v>
      </c>
      <c r="F418" s="2">
        <v>192</v>
      </c>
      <c r="G418" s="2">
        <v>192</v>
      </c>
      <c r="H418" s="2">
        <f t="shared" si="62"/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/>
      <c r="AJ418" s="2" t="s">
        <v>77</v>
      </c>
      <c r="AK418" s="2">
        <f t="shared" si="55"/>
        <v>0</v>
      </c>
      <c r="AL418" s="2">
        <f t="shared" si="56"/>
        <v>0</v>
      </c>
      <c r="AM418" s="2">
        <f t="shared" si="57"/>
        <v>0</v>
      </c>
      <c r="AN418" s="2">
        <f t="shared" si="58"/>
        <v>0</v>
      </c>
      <c r="AO418" s="2">
        <f t="shared" si="59"/>
        <v>0</v>
      </c>
      <c r="AP418" s="2">
        <f t="shared" si="60"/>
        <v>0</v>
      </c>
      <c r="AQ418" s="25">
        <f t="shared" si="61"/>
        <v>0</v>
      </c>
    </row>
    <row r="419" spans="1:43">
      <c r="A419" s="24">
        <v>46125</v>
      </c>
      <c r="B419" s="23">
        <f t="shared" si="54"/>
        <v>46113</v>
      </c>
      <c r="C419" s="2" t="s">
        <v>72</v>
      </c>
      <c r="D419" s="2" t="s">
        <v>467</v>
      </c>
      <c r="E419" s="2">
        <v>2603</v>
      </c>
      <c r="F419" s="2">
        <v>51</v>
      </c>
      <c r="G419" s="2">
        <v>51</v>
      </c>
      <c r="H419" s="2">
        <f t="shared" si="62"/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/>
      <c r="AJ419" s="2" t="s">
        <v>77</v>
      </c>
      <c r="AK419" s="2">
        <f t="shared" si="55"/>
        <v>0</v>
      </c>
      <c r="AL419" s="2">
        <f t="shared" si="56"/>
        <v>0</v>
      </c>
      <c r="AM419" s="2">
        <f t="shared" si="57"/>
        <v>0</v>
      </c>
      <c r="AN419" s="2">
        <f t="shared" si="58"/>
        <v>0</v>
      </c>
      <c r="AO419" s="2">
        <f t="shared" si="59"/>
        <v>0</v>
      </c>
      <c r="AP419" s="2">
        <f t="shared" si="60"/>
        <v>0</v>
      </c>
      <c r="AQ419" s="25">
        <f t="shared" si="61"/>
        <v>0</v>
      </c>
    </row>
    <row r="420" spans="1:43">
      <c r="A420" s="24">
        <v>46125</v>
      </c>
      <c r="B420" s="23">
        <f t="shared" si="54"/>
        <v>46113</v>
      </c>
      <c r="C420" s="2" t="s">
        <v>72</v>
      </c>
      <c r="D420" s="2" t="s">
        <v>467</v>
      </c>
      <c r="E420" s="2">
        <v>2603</v>
      </c>
      <c r="F420" s="2">
        <v>20</v>
      </c>
      <c r="G420" s="2">
        <v>20</v>
      </c>
      <c r="H420" s="2">
        <f t="shared" si="62"/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/>
      <c r="AJ420" s="2" t="s">
        <v>77</v>
      </c>
      <c r="AK420" s="2">
        <f t="shared" si="55"/>
        <v>0</v>
      </c>
      <c r="AL420" s="2">
        <f t="shared" si="56"/>
        <v>0</v>
      </c>
      <c r="AM420" s="2">
        <f t="shared" si="57"/>
        <v>0</v>
      </c>
      <c r="AN420" s="2">
        <f t="shared" si="58"/>
        <v>0</v>
      </c>
      <c r="AO420" s="2">
        <f t="shared" si="59"/>
        <v>0</v>
      </c>
      <c r="AP420" s="2">
        <f t="shared" si="60"/>
        <v>0</v>
      </c>
      <c r="AQ420" s="25">
        <f t="shared" si="61"/>
        <v>0</v>
      </c>
    </row>
    <row r="421" spans="1:43">
      <c r="A421" s="24">
        <v>46125</v>
      </c>
      <c r="B421" s="23">
        <f t="shared" si="54"/>
        <v>46113</v>
      </c>
      <c r="C421" s="2" t="s">
        <v>95</v>
      </c>
      <c r="D421" s="2" t="s">
        <v>451</v>
      </c>
      <c r="E421" s="2">
        <v>1698</v>
      </c>
      <c r="F421" s="2">
        <v>255</v>
      </c>
      <c r="G421" s="2">
        <v>253</v>
      </c>
      <c r="H421" s="2">
        <f t="shared" si="62"/>
        <v>2</v>
      </c>
      <c r="I421" s="2">
        <v>2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/>
      <c r="AJ421" s="2" t="s">
        <v>77</v>
      </c>
      <c r="AK421" s="2">
        <f t="shared" si="55"/>
        <v>2</v>
      </c>
      <c r="AL421" s="2">
        <f t="shared" si="56"/>
        <v>0</v>
      </c>
      <c r="AM421" s="2">
        <f t="shared" si="57"/>
        <v>0</v>
      </c>
      <c r="AN421" s="2">
        <f t="shared" si="58"/>
        <v>0</v>
      </c>
      <c r="AO421" s="2">
        <f t="shared" si="59"/>
        <v>0</v>
      </c>
      <c r="AP421" s="2">
        <f t="shared" si="60"/>
        <v>0</v>
      </c>
      <c r="AQ421" s="25">
        <f t="shared" si="61"/>
        <v>0</v>
      </c>
    </row>
    <row r="422" spans="1:43">
      <c r="A422" s="24">
        <v>46125</v>
      </c>
      <c r="B422" s="23">
        <f t="shared" si="54"/>
        <v>46113</v>
      </c>
      <c r="C422" s="2" t="s">
        <v>95</v>
      </c>
      <c r="D422" s="2" t="s">
        <v>451</v>
      </c>
      <c r="E422" s="2">
        <v>1698</v>
      </c>
      <c r="F422" s="2">
        <v>20</v>
      </c>
      <c r="G422" s="2">
        <v>19</v>
      </c>
      <c r="H422" s="2">
        <f t="shared" si="62"/>
        <v>1</v>
      </c>
      <c r="I422" s="2">
        <v>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/>
      <c r="AJ422" s="2" t="s">
        <v>77</v>
      </c>
      <c r="AK422" s="2">
        <f t="shared" si="55"/>
        <v>1</v>
      </c>
      <c r="AL422" s="2">
        <f t="shared" si="56"/>
        <v>0</v>
      </c>
      <c r="AM422" s="2">
        <f t="shared" si="57"/>
        <v>0</v>
      </c>
      <c r="AN422" s="2">
        <f t="shared" si="58"/>
        <v>0</v>
      </c>
      <c r="AO422" s="2">
        <f t="shared" si="59"/>
        <v>0</v>
      </c>
      <c r="AP422" s="2">
        <f t="shared" si="60"/>
        <v>0</v>
      </c>
      <c r="AQ422" s="25">
        <f t="shared" si="61"/>
        <v>0</v>
      </c>
    </row>
    <row r="423" spans="1:43">
      <c r="A423" s="24">
        <v>46125</v>
      </c>
      <c r="B423" s="23">
        <f t="shared" si="54"/>
        <v>46113</v>
      </c>
      <c r="C423" s="2" t="s">
        <v>63</v>
      </c>
      <c r="D423" s="2" t="s">
        <v>455</v>
      </c>
      <c r="E423" s="2">
        <v>2725</v>
      </c>
      <c r="F423" s="2">
        <v>705</v>
      </c>
      <c r="G423" s="2">
        <v>688</v>
      </c>
      <c r="H423" s="2">
        <f t="shared" si="62"/>
        <v>17</v>
      </c>
      <c r="I423" s="2">
        <v>14</v>
      </c>
      <c r="J423" s="2">
        <v>1</v>
      </c>
      <c r="K423" s="2">
        <v>1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1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/>
      <c r="AJ423" s="2" t="s">
        <v>1568</v>
      </c>
      <c r="AK423" s="2">
        <f t="shared" si="55"/>
        <v>14</v>
      </c>
      <c r="AL423" s="2">
        <f t="shared" si="56"/>
        <v>3</v>
      </c>
      <c r="AM423" s="2">
        <f t="shared" si="57"/>
        <v>0</v>
      </c>
      <c r="AN423" s="2">
        <f t="shared" si="58"/>
        <v>0</v>
      </c>
      <c r="AO423" s="2">
        <f t="shared" si="59"/>
        <v>0</v>
      </c>
      <c r="AP423" s="2">
        <f t="shared" si="60"/>
        <v>0</v>
      </c>
      <c r="AQ423" s="25">
        <f t="shared" si="61"/>
        <v>0</v>
      </c>
    </row>
    <row r="424" spans="1:43">
      <c r="A424" s="24">
        <v>46125</v>
      </c>
      <c r="B424" s="23">
        <f t="shared" si="54"/>
        <v>46113</v>
      </c>
      <c r="C424" s="2" t="s">
        <v>62</v>
      </c>
      <c r="D424" s="2" t="s">
        <v>570</v>
      </c>
      <c r="E424" s="2">
        <v>1806</v>
      </c>
      <c r="F424" s="2">
        <v>74</v>
      </c>
      <c r="G424" s="2">
        <v>73</v>
      </c>
      <c r="H424" s="2">
        <f t="shared" si="62"/>
        <v>1</v>
      </c>
      <c r="I424" s="2">
        <v>1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/>
      <c r="AJ424" s="2" t="s">
        <v>1568</v>
      </c>
      <c r="AK424" s="2">
        <f t="shared" si="55"/>
        <v>1</v>
      </c>
      <c r="AL424" s="2">
        <f t="shared" si="56"/>
        <v>0</v>
      </c>
      <c r="AM424" s="2">
        <f t="shared" si="57"/>
        <v>0</v>
      </c>
      <c r="AN424" s="2">
        <f t="shared" si="58"/>
        <v>0</v>
      </c>
      <c r="AO424" s="2">
        <f t="shared" si="59"/>
        <v>0</v>
      </c>
      <c r="AP424" s="2">
        <f t="shared" si="60"/>
        <v>0</v>
      </c>
      <c r="AQ424" s="25">
        <f t="shared" si="61"/>
        <v>0</v>
      </c>
    </row>
    <row r="425" spans="1:43">
      <c r="A425" s="24">
        <v>46125</v>
      </c>
      <c r="B425" s="23">
        <f t="shared" si="54"/>
        <v>46113</v>
      </c>
      <c r="C425" s="2" t="s">
        <v>62</v>
      </c>
      <c r="D425" s="2" t="s">
        <v>494</v>
      </c>
      <c r="E425" s="2">
        <v>2620</v>
      </c>
      <c r="F425" s="2">
        <v>112</v>
      </c>
      <c r="G425" s="2">
        <v>110</v>
      </c>
      <c r="H425" s="2">
        <f t="shared" si="62"/>
        <v>2</v>
      </c>
      <c r="I425" s="2">
        <v>1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/>
      <c r="AJ425" s="2" t="s">
        <v>1568</v>
      </c>
      <c r="AK425" s="2">
        <f t="shared" si="55"/>
        <v>1</v>
      </c>
      <c r="AL425" s="2">
        <f t="shared" si="56"/>
        <v>1</v>
      </c>
      <c r="AM425" s="2">
        <f t="shared" si="57"/>
        <v>0</v>
      </c>
      <c r="AN425" s="2">
        <f t="shared" si="58"/>
        <v>0</v>
      </c>
      <c r="AO425" s="2">
        <f t="shared" si="59"/>
        <v>0</v>
      </c>
      <c r="AP425" s="2">
        <f t="shared" si="60"/>
        <v>0</v>
      </c>
      <c r="AQ425" s="25">
        <f t="shared" si="61"/>
        <v>0</v>
      </c>
    </row>
    <row r="426" spans="1:43">
      <c r="A426" s="24">
        <v>46125</v>
      </c>
      <c r="B426" s="23">
        <f t="shared" si="54"/>
        <v>46113</v>
      </c>
      <c r="C426" s="2" t="s">
        <v>62</v>
      </c>
      <c r="D426" s="2" t="s">
        <v>494</v>
      </c>
      <c r="E426" s="2">
        <v>2620</v>
      </c>
      <c r="F426" s="2">
        <v>20</v>
      </c>
      <c r="G426" s="2">
        <v>20</v>
      </c>
      <c r="H426" s="2">
        <f t="shared" si="62"/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/>
      <c r="AJ426" s="2" t="s">
        <v>1568</v>
      </c>
      <c r="AK426" s="2">
        <f t="shared" si="55"/>
        <v>0</v>
      </c>
      <c r="AL426" s="2">
        <f t="shared" si="56"/>
        <v>0</v>
      </c>
      <c r="AM426" s="2">
        <f t="shared" si="57"/>
        <v>0</v>
      </c>
      <c r="AN426" s="2">
        <f t="shared" si="58"/>
        <v>0</v>
      </c>
      <c r="AO426" s="2">
        <f t="shared" si="59"/>
        <v>0</v>
      </c>
      <c r="AP426" s="2">
        <f t="shared" si="60"/>
        <v>0</v>
      </c>
      <c r="AQ426" s="25">
        <f t="shared" si="61"/>
        <v>0</v>
      </c>
    </row>
    <row r="427" spans="1:43">
      <c r="A427" s="24">
        <v>46125</v>
      </c>
      <c r="B427" s="23">
        <f t="shared" si="54"/>
        <v>46113</v>
      </c>
      <c r="C427" s="2" t="s">
        <v>62</v>
      </c>
      <c r="D427" s="2" t="s">
        <v>528</v>
      </c>
      <c r="E427" s="2">
        <v>1769</v>
      </c>
      <c r="F427" s="2">
        <v>131</v>
      </c>
      <c r="G427" s="2">
        <v>127</v>
      </c>
      <c r="H427" s="2">
        <f t="shared" si="62"/>
        <v>4</v>
      </c>
      <c r="I427" s="2">
        <v>4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/>
      <c r="AJ427" s="2" t="s">
        <v>1568</v>
      </c>
      <c r="AK427" s="2">
        <f t="shared" si="55"/>
        <v>4</v>
      </c>
      <c r="AL427" s="2">
        <f t="shared" si="56"/>
        <v>0</v>
      </c>
      <c r="AM427" s="2">
        <f t="shared" si="57"/>
        <v>0</v>
      </c>
      <c r="AN427" s="2">
        <f t="shared" si="58"/>
        <v>0</v>
      </c>
      <c r="AO427" s="2">
        <f t="shared" si="59"/>
        <v>0</v>
      </c>
      <c r="AP427" s="2">
        <f t="shared" si="60"/>
        <v>0</v>
      </c>
      <c r="AQ427" s="25">
        <f t="shared" si="61"/>
        <v>0</v>
      </c>
    </row>
    <row r="428" spans="1:43">
      <c r="A428" s="24">
        <v>46125</v>
      </c>
      <c r="B428" s="23">
        <f t="shared" si="54"/>
        <v>46113</v>
      </c>
      <c r="C428" s="2" t="s">
        <v>62</v>
      </c>
      <c r="D428" s="2" t="s">
        <v>528</v>
      </c>
      <c r="E428" s="2">
        <v>1769</v>
      </c>
      <c r="F428" s="2">
        <v>20</v>
      </c>
      <c r="G428" s="2">
        <v>19</v>
      </c>
      <c r="H428" s="2">
        <f t="shared" si="62"/>
        <v>1</v>
      </c>
      <c r="I428" s="2">
        <v>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/>
      <c r="AJ428" s="2" t="s">
        <v>1568</v>
      </c>
      <c r="AK428" s="2">
        <f t="shared" si="55"/>
        <v>1</v>
      </c>
      <c r="AL428" s="2">
        <f t="shared" si="56"/>
        <v>0</v>
      </c>
      <c r="AM428" s="2">
        <f t="shared" si="57"/>
        <v>0</v>
      </c>
      <c r="AN428" s="2">
        <f t="shared" si="58"/>
        <v>0</v>
      </c>
      <c r="AO428" s="2">
        <f t="shared" si="59"/>
        <v>0</v>
      </c>
      <c r="AP428" s="2">
        <f t="shared" si="60"/>
        <v>0</v>
      </c>
      <c r="AQ428" s="25">
        <f t="shared" si="61"/>
        <v>0</v>
      </c>
    </row>
    <row r="429" spans="1:43">
      <c r="A429" s="24">
        <v>46125</v>
      </c>
      <c r="B429" s="23">
        <f t="shared" si="54"/>
        <v>46113</v>
      </c>
      <c r="C429" s="2" t="s">
        <v>66</v>
      </c>
      <c r="D429" s="2" t="s">
        <v>443</v>
      </c>
      <c r="E429" s="2">
        <v>2729</v>
      </c>
      <c r="F429" s="2">
        <v>35</v>
      </c>
      <c r="G429" s="2">
        <v>29</v>
      </c>
      <c r="H429" s="2">
        <f t="shared" si="62"/>
        <v>6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6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/>
      <c r="AJ429" s="2" t="s">
        <v>99</v>
      </c>
      <c r="AK429" s="2">
        <f t="shared" si="55"/>
        <v>0</v>
      </c>
      <c r="AL429" s="2">
        <f t="shared" si="56"/>
        <v>0</v>
      </c>
      <c r="AM429" s="2">
        <f t="shared" si="57"/>
        <v>0</v>
      </c>
      <c r="AN429" s="2">
        <f t="shared" si="58"/>
        <v>6</v>
      </c>
      <c r="AO429" s="2">
        <f t="shared" si="59"/>
        <v>0</v>
      </c>
      <c r="AP429" s="2">
        <f t="shared" si="60"/>
        <v>0</v>
      </c>
      <c r="AQ429" s="25">
        <f t="shared" si="61"/>
        <v>0</v>
      </c>
    </row>
    <row r="430" spans="1:43">
      <c r="A430" s="24">
        <v>46125</v>
      </c>
      <c r="B430" s="23">
        <f t="shared" si="54"/>
        <v>46113</v>
      </c>
      <c r="C430" s="2" t="s">
        <v>66</v>
      </c>
      <c r="D430" s="2" t="s">
        <v>434</v>
      </c>
      <c r="E430" s="2">
        <v>1767</v>
      </c>
      <c r="F430" s="2">
        <v>60</v>
      </c>
      <c r="G430" s="2">
        <v>57</v>
      </c>
      <c r="H430" s="2">
        <f t="shared" si="62"/>
        <v>3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3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/>
      <c r="AJ430" s="2" t="s">
        <v>99</v>
      </c>
      <c r="AK430" s="2">
        <f t="shared" si="55"/>
        <v>0</v>
      </c>
      <c r="AL430" s="2">
        <f t="shared" si="56"/>
        <v>0</v>
      </c>
      <c r="AM430" s="2">
        <f t="shared" si="57"/>
        <v>0</v>
      </c>
      <c r="AN430" s="2">
        <f t="shared" si="58"/>
        <v>3</v>
      </c>
      <c r="AO430" s="2">
        <f t="shared" si="59"/>
        <v>0</v>
      </c>
      <c r="AP430" s="2">
        <f t="shared" si="60"/>
        <v>0</v>
      </c>
      <c r="AQ430" s="25">
        <f t="shared" si="61"/>
        <v>0</v>
      </c>
    </row>
    <row r="431" spans="1:43">
      <c r="A431" s="24">
        <v>46125</v>
      </c>
      <c r="B431" s="23">
        <f t="shared" si="54"/>
        <v>46113</v>
      </c>
      <c r="C431" s="2" t="s">
        <v>63</v>
      </c>
      <c r="D431" s="2" t="s">
        <v>1382</v>
      </c>
      <c r="E431" s="2">
        <v>2480</v>
      </c>
      <c r="F431" s="2">
        <v>167</v>
      </c>
      <c r="G431" s="2">
        <v>165</v>
      </c>
      <c r="H431" s="2">
        <f t="shared" si="62"/>
        <v>2</v>
      </c>
      <c r="I431" s="2">
        <v>2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/>
      <c r="AJ431" s="2" t="s">
        <v>80</v>
      </c>
      <c r="AK431" s="2">
        <f t="shared" si="55"/>
        <v>2</v>
      </c>
      <c r="AL431" s="2">
        <f t="shared" si="56"/>
        <v>0</v>
      </c>
      <c r="AM431" s="2">
        <f t="shared" si="57"/>
        <v>0</v>
      </c>
      <c r="AN431" s="2">
        <f t="shared" si="58"/>
        <v>0</v>
      </c>
      <c r="AO431" s="2">
        <f t="shared" si="59"/>
        <v>0</v>
      </c>
      <c r="AP431" s="2">
        <f t="shared" si="60"/>
        <v>0</v>
      </c>
      <c r="AQ431" s="25">
        <f t="shared" si="61"/>
        <v>0</v>
      </c>
    </row>
    <row r="432" spans="1:43">
      <c r="A432" s="24">
        <v>46125</v>
      </c>
      <c r="B432" s="23">
        <f t="shared" si="54"/>
        <v>46113</v>
      </c>
      <c r="C432" s="2" t="s">
        <v>72</v>
      </c>
      <c r="D432" s="2" t="s">
        <v>523</v>
      </c>
      <c r="E432" s="2">
        <v>2648</v>
      </c>
      <c r="F432" s="2">
        <v>301</v>
      </c>
      <c r="G432" s="2">
        <v>298</v>
      </c>
      <c r="H432" s="2">
        <f t="shared" si="62"/>
        <v>3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1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1</v>
      </c>
      <c r="AC432" s="2">
        <v>0</v>
      </c>
      <c r="AD432" s="2">
        <v>1</v>
      </c>
      <c r="AE432" s="2">
        <v>0</v>
      </c>
      <c r="AF432" s="2">
        <v>0</v>
      </c>
      <c r="AG432" s="2">
        <v>0</v>
      </c>
      <c r="AH432" s="2">
        <v>0</v>
      </c>
      <c r="AI432" s="2"/>
      <c r="AJ432" s="2" t="s">
        <v>80</v>
      </c>
      <c r="AK432" s="2">
        <f t="shared" si="55"/>
        <v>0</v>
      </c>
      <c r="AL432" s="2">
        <f t="shared" si="56"/>
        <v>1</v>
      </c>
      <c r="AM432" s="2">
        <f t="shared" si="57"/>
        <v>1</v>
      </c>
      <c r="AN432" s="2">
        <f t="shared" si="58"/>
        <v>0</v>
      </c>
      <c r="AO432" s="2">
        <f t="shared" si="59"/>
        <v>0</v>
      </c>
      <c r="AP432" s="2">
        <f t="shared" si="60"/>
        <v>1</v>
      </c>
      <c r="AQ432" s="25">
        <f t="shared" si="61"/>
        <v>0</v>
      </c>
    </row>
    <row r="433" spans="1:43">
      <c r="A433" s="24">
        <v>46125</v>
      </c>
      <c r="B433" s="23">
        <f t="shared" si="54"/>
        <v>46113</v>
      </c>
      <c r="C433" s="2" t="s">
        <v>72</v>
      </c>
      <c r="D433" s="2" t="s">
        <v>1199</v>
      </c>
      <c r="E433" s="2">
        <v>2455</v>
      </c>
      <c r="F433" s="2">
        <v>220</v>
      </c>
      <c r="G433" s="2">
        <v>210</v>
      </c>
      <c r="H433" s="2">
        <f t="shared" si="62"/>
        <v>10</v>
      </c>
      <c r="I433" s="2">
        <v>0</v>
      </c>
      <c r="J433" s="2">
        <v>0</v>
      </c>
      <c r="K433" s="2">
        <v>0</v>
      </c>
      <c r="L433" s="2">
        <v>0</v>
      </c>
      <c r="M433" s="2">
        <v>10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/>
      <c r="AJ433" s="2" t="s">
        <v>80</v>
      </c>
      <c r="AK433" s="2">
        <f t="shared" si="55"/>
        <v>0</v>
      </c>
      <c r="AL433" s="2">
        <f t="shared" si="56"/>
        <v>10</v>
      </c>
      <c r="AM433" s="2">
        <f t="shared" si="57"/>
        <v>0</v>
      </c>
      <c r="AN433" s="2">
        <f t="shared" si="58"/>
        <v>0</v>
      </c>
      <c r="AO433" s="2">
        <f t="shared" si="59"/>
        <v>0</v>
      </c>
      <c r="AP433" s="2">
        <f t="shared" si="60"/>
        <v>0</v>
      </c>
      <c r="AQ433" s="25">
        <f t="shared" si="61"/>
        <v>0</v>
      </c>
    </row>
    <row r="434" spans="1:43">
      <c r="A434" s="24">
        <v>46125</v>
      </c>
      <c r="B434" s="23">
        <f t="shared" si="54"/>
        <v>46113</v>
      </c>
      <c r="C434" s="2" t="s">
        <v>72</v>
      </c>
      <c r="D434" s="2" t="s">
        <v>536</v>
      </c>
      <c r="E434" s="2">
        <v>2648</v>
      </c>
      <c r="F434" s="2">
        <v>101</v>
      </c>
      <c r="G434" s="2">
        <v>98</v>
      </c>
      <c r="H434" s="2">
        <f t="shared" si="62"/>
        <v>3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2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1</v>
      </c>
      <c r="AI434" s="2"/>
      <c r="AJ434" s="2" t="s">
        <v>80</v>
      </c>
      <c r="AK434" s="2">
        <f t="shared" si="55"/>
        <v>0</v>
      </c>
      <c r="AL434" s="2">
        <f t="shared" si="56"/>
        <v>2</v>
      </c>
      <c r="AM434" s="2">
        <f t="shared" si="57"/>
        <v>0</v>
      </c>
      <c r="AN434" s="2">
        <f t="shared" si="58"/>
        <v>1</v>
      </c>
      <c r="AO434" s="2">
        <f t="shared" si="59"/>
        <v>0</v>
      </c>
      <c r="AP434" s="2">
        <f t="shared" si="60"/>
        <v>0</v>
      </c>
      <c r="AQ434" s="25">
        <f t="shared" si="61"/>
        <v>0</v>
      </c>
    </row>
    <row r="435" spans="1:43">
      <c r="A435" s="24">
        <v>46125</v>
      </c>
      <c r="B435" s="23">
        <f t="shared" si="54"/>
        <v>46113</v>
      </c>
      <c r="C435" s="2" t="s">
        <v>46</v>
      </c>
      <c r="D435" s="2" t="s">
        <v>546</v>
      </c>
      <c r="E435" s="2">
        <v>1845</v>
      </c>
      <c r="F435" s="2">
        <v>45</v>
      </c>
      <c r="G435" s="2">
        <v>44</v>
      </c>
      <c r="H435" s="2">
        <f t="shared" si="62"/>
        <v>1</v>
      </c>
      <c r="I435" s="2">
        <v>1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/>
      <c r="AJ435" s="2" t="s">
        <v>80</v>
      </c>
      <c r="AK435" s="2">
        <f t="shared" si="55"/>
        <v>1</v>
      </c>
      <c r="AL435" s="2">
        <f t="shared" si="56"/>
        <v>0</v>
      </c>
      <c r="AM435" s="2">
        <f t="shared" si="57"/>
        <v>0</v>
      </c>
      <c r="AN435" s="2">
        <f t="shared" si="58"/>
        <v>0</v>
      </c>
      <c r="AO435" s="2">
        <f t="shared" si="59"/>
        <v>0</v>
      </c>
      <c r="AP435" s="2">
        <f t="shared" si="60"/>
        <v>0</v>
      </c>
      <c r="AQ435" s="25">
        <f t="shared" si="61"/>
        <v>0</v>
      </c>
    </row>
    <row r="436" spans="1:43">
      <c r="A436" s="24">
        <v>46125</v>
      </c>
      <c r="B436" s="23">
        <f t="shared" si="54"/>
        <v>46113</v>
      </c>
      <c r="C436" s="2" t="s">
        <v>46</v>
      </c>
      <c r="D436" s="2" t="s">
        <v>534</v>
      </c>
      <c r="E436" s="2">
        <v>2617</v>
      </c>
      <c r="F436" s="2">
        <v>137</v>
      </c>
      <c r="G436" s="2">
        <v>119</v>
      </c>
      <c r="H436" s="2">
        <f t="shared" si="62"/>
        <v>18</v>
      </c>
      <c r="I436" s="2">
        <v>3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15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/>
      <c r="AJ436" s="2" t="s">
        <v>80</v>
      </c>
      <c r="AK436" s="2">
        <f t="shared" si="55"/>
        <v>3</v>
      </c>
      <c r="AL436" s="2">
        <f t="shared" si="56"/>
        <v>15</v>
      </c>
      <c r="AM436" s="2">
        <f t="shared" si="57"/>
        <v>0</v>
      </c>
      <c r="AN436" s="2">
        <f t="shared" si="58"/>
        <v>0</v>
      </c>
      <c r="AO436" s="2">
        <f t="shared" si="59"/>
        <v>0</v>
      </c>
      <c r="AP436" s="2">
        <f t="shared" si="60"/>
        <v>0</v>
      </c>
      <c r="AQ436" s="25">
        <f t="shared" si="61"/>
        <v>0</v>
      </c>
    </row>
    <row r="437" spans="1:43">
      <c r="A437" s="24">
        <v>46125</v>
      </c>
      <c r="B437" s="23">
        <f t="shared" si="54"/>
        <v>46113</v>
      </c>
      <c r="C437" s="2" t="s">
        <v>72</v>
      </c>
      <c r="D437" s="2" t="s">
        <v>483</v>
      </c>
      <c r="E437" s="2">
        <v>9323</v>
      </c>
      <c r="F437" s="2">
        <v>67</v>
      </c>
      <c r="G437" s="2">
        <v>65</v>
      </c>
      <c r="H437" s="2">
        <f t="shared" si="62"/>
        <v>2</v>
      </c>
      <c r="I437" s="2">
        <v>2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/>
      <c r="AJ437" s="2" t="s">
        <v>80</v>
      </c>
      <c r="AK437" s="2">
        <f t="shared" si="55"/>
        <v>2</v>
      </c>
      <c r="AL437" s="2">
        <f t="shared" si="56"/>
        <v>0</v>
      </c>
      <c r="AM437" s="2">
        <f t="shared" si="57"/>
        <v>0</v>
      </c>
      <c r="AN437" s="2">
        <f t="shared" si="58"/>
        <v>0</v>
      </c>
      <c r="AO437" s="2">
        <f t="shared" si="59"/>
        <v>0</v>
      </c>
      <c r="AP437" s="2">
        <f t="shared" si="60"/>
        <v>0</v>
      </c>
      <c r="AQ437" s="25">
        <f t="shared" si="61"/>
        <v>0</v>
      </c>
    </row>
    <row r="438" spans="1:43">
      <c r="A438" s="24">
        <v>46125</v>
      </c>
      <c r="B438" s="23">
        <f t="shared" si="54"/>
        <v>46113</v>
      </c>
      <c r="C438" s="2" t="s">
        <v>1484</v>
      </c>
      <c r="D438" s="2" t="s">
        <v>1293</v>
      </c>
      <c r="E438" s="2">
        <v>2754</v>
      </c>
      <c r="F438" s="2">
        <v>144</v>
      </c>
      <c r="G438" s="2">
        <v>142</v>
      </c>
      <c r="H438" s="2">
        <f t="shared" si="62"/>
        <v>2</v>
      </c>
      <c r="I438" s="2">
        <v>1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1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/>
      <c r="AJ438" s="2" t="s">
        <v>80</v>
      </c>
      <c r="AK438" s="2">
        <f t="shared" si="55"/>
        <v>1</v>
      </c>
      <c r="AL438" s="2">
        <f t="shared" si="56"/>
        <v>1</v>
      </c>
      <c r="AM438" s="2">
        <f t="shared" si="57"/>
        <v>0</v>
      </c>
      <c r="AN438" s="2">
        <f t="shared" si="58"/>
        <v>0</v>
      </c>
      <c r="AO438" s="2">
        <f t="shared" si="59"/>
        <v>0</v>
      </c>
      <c r="AP438" s="2">
        <f t="shared" si="60"/>
        <v>0</v>
      </c>
      <c r="AQ438" s="25">
        <f t="shared" si="61"/>
        <v>0</v>
      </c>
    </row>
    <row r="439" spans="1:43">
      <c r="A439" s="24">
        <v>46125</v>
      </c>
      <c r="B439" s="23">
        <f t="shared" si="54"/>
        <v>46113</v>
      </c>
      <c r="C439" s="2" t="s">
        <v>82</v>
      </c>
      <c r="D439" s="2" t="s">
        <v>447</v>
      </c>
      <c r="E439" s="2">
        <v>2606</v>
      </c>
      <c r="F439" s="2">
        <v>374</v>
      </c>
      <c r="G439" s="2">
        <v>371</v>
      </c>
      <c r="H439" s="2">
        <f t="shared" si="62"/>
        <v>3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1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2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/>
      <c r="AJ439" s="2" t="s">
        <v>93</v>
      </c>
      <c r="AK439" s="2">
        <f t="shared" si="55"/>
        <v>0</v>
      </c>
      <c r="AL439" s="2">
        <f t="shared" si="56"/>
        <v>1</v>
      </c>
      <c r="AM439" s="2">
        <f t="shared" si="57"/>
        <v>0</v>
      </c>
      <c r="AN439" s="2">
        <f t="shared" si="58"/>
        <v>2</v>
      </c>
      <c r="AO439" s="2">
        <f t="shared" si="59"/>
        <v>0</v>
      </c>
      <c r="AP439" s="2">
        <f t="shared" si="60"/>
        <v>0</v>
      </c>
      <c r="AQ439" s="25">
        <f t="shared" si="61"/>
        <v>0</v>
      </c>
    </row>
    <row r="440" spans="1:43">
      <c r="A440" s="24">
        <v>46125</v>
      </c>
      <c r="B440" s="23">
        <f t="shared" si="54"/>
        <v>46113</v>
      </c>
      <c r="C440" s="2" t="s">
        <v>82</v>
      </c>
      <c r="D440" s="2" t="s">
        <v>550</v>
      </c>
      <c r="E440" s="2">
        <v>2603</v>
      </c>
      <c r="F440" s="2">
        <v>60</v>
      </c>
      <c r="G440" s="2">
        <v>54</v>
      </c>
      <c r="H440" s="2">
        <f t="shared" si="62"/>
        <v>6</v>
      </c>
      <c r="I440" s="2">
        <v>0</v>
      </c>
      <c r="J440" s="2">
        <v>6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/>
      <c r="AJ440" s="2" t="s">
        <v>93</v>
      </c>
      <c r="AK440" s="2">
        <f t="shared" si="55"/>
        <v>0</v>
      </c>
      <c r="AL440" s="2">
        <f t="shared" si="56"/>
        <v>6</v>
      </c>
      <c r="AM440" s="2">
        <f t="shared" si="57"/>
        <v>0</v>
      </c>
      <c r="AN440" s="2">
        <f t="shared" si="58"/>
        <v>0</v>
      </c>
      <c r="AO440" s="2">
        <f t="shared" si="59"/>
        <v>0</v>
      </c>
      <c r="AP440" s="2">
        <f t="shared" si="60"/>
        <v>0</v>
      </c>
      <c r="AQ440" s="25">
        <f t="shared" si="61"/>
        <v>0</v>
      </c>
    </row>
    <row r="441" spans="1:43">
      <c r="A441" s="24">
        <v>46125</v>
      </c>
      <c r="B441" s="23">
        <f t="shared" si="54"/>
        <v>46113</v>
      </c>
      <c r="C441" s="2" t="s">
        <v>46</v>
      </c>
      <c r="D441" s="2" t="s">
        <v>551</v>
      </c>
      <c r="E441" s="2">
        <v>1877</v>
      </c>
      <c r="F441" s="2">
        <v>49</v>
      </c>
      <c r="G441" s="2">
        <v>48</v>
      </c>
      <c r="H441" s="2">
        <f t="shared" si="62"/>
        <v>1</v>
      </c>
      <c r="I441" s="2">
        <v>1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/>
      <c r="AJ441" s="2" t="s">
        <v>93</v>
      </c>
      <c r="AK441" s="2">
        <f t="shared" si="55"/>
        <v>1</v>
      </c>
      <c r="AL441" s="2">
        <f t="shared" si="56"/>
        <v>0</v>
      </c>
      <c r="AM441" s="2">
        <f t="shared" si="57"/>
        <v>0</v>
      </c>
      <c r="AN441" s="2">
        <f t="shared" si="58"/>
        <v>0</v>
      </c>
      <c r="AO441" s="2">
        <f t="shared" si="59"/>
        <v>0</v>
      </c>
      <c r="AP441" s="2">
        <f t="shared" si="60"/>
        <v>0</v>
      </c>
      <c r="AQ441" s="25">
        <f t="shared" si="61"/>
        <v>0</v>
      </c>
    </row>
    <row r="442" spans="1:43">
      <c r="A442" s="24">
        <v>46125</v>
      </c>
      <c r="B442" s="23">
        <f t="shared" si="54"/>
        <v>46113</v>
      </c>
      <c r="C442" s="2" t="s">
        <v>82</v>
      </c>
      <c r="D442" s="2" t="s">
        <v>560</v>
      </c>
      <c r="E442" s="2">
        <v>2606</v>
      </c>
      <c r="F442" s="2">
        <v>32</v>
      </c>
      <c r="G442" s="2">
        <v>32</v>
      </c>
      <c r="H442" s="2">
        <f t="shared" si="62"/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/>
      <c r="AJ442" s="2" t="s">
        <v>93</v>
      </c>
      <c r="AK442" s="2">
        <f t="shared" si="55"/>
        <v>0</v>
      </c>
      <c r="AL442" s="2">
        <f t="shared" si="56"/>
        <v>0</v>
      </c>
      <c r="AM442" s="2">
        <f t="shared" si="57"/>
        <v>0</v>
      </c>
      <c r="AN442" s="2">
        <f t="shared" si="58"/>
        <v>0</v>
      </c>
      <c r="AO442" s="2">
        <f t="shared" si="59"/>
        <v>0</v>
      </c>
      <c r="AP442" s="2">
        <f t="shared" si="60"/>
        <v>0</v>
      </c>
      <c r="AQ442" s="25">
        <f t="shared" si="61"/>
        <v>0</v>
      </c>
    </row>
    <row r="443" spans="1:43">
      <c r="A443" s="24">
        <v>46125</v>
      </c>
      <c r="B443" s="23">
        <f t="shared" si="54"/>
        <v>46113</v>
      </c>
      <c r="C443" s="2" t="s">
        <v>82</v>
      </c>
      <c r="D443" s="2" t="s">
        <v>1186</v>
      </c>
      <c r="E443" s="2">
        <v>1506</v>
      </c>
      <c r="F443" s="2">
        <v>134</v>
      </c>
      <c r="G443" s="2">
        <v>133</v>
      </c>
      <c r="H443" s="2">
        <f t="shared" si="62"/>
        <v>1</v>
      </c>
      <c r="I443" s="2">
        <v>1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/>
      <c r="AJ443" s="2" t="s">
        <v>93</v>
      </c>
      <c r="AK443" s="2">
        <f t="shared" si="55"/>
        <v>1</v>
      </c>
      <c r="AL443" s="2">
        <f t="shared" si="56"/>
        <v>0</v>
      </c>
      <c r="AM443" s="2">
        <f t="shared" si="57"/>
        <v>0</v>
      </c>
      <c r="AN443" s="2">
        <f t="shared" si="58"/>
        <v>0</v>
      </c>
      <c r="AO443" s="2">
        <f t="shared" si="59"/>
        <v>0</v>
      </c>
      <c r="AP443" s="2">
        <f t="shared" si="60"/>
        <v>0</v>
      </c>
      <c r="AQ443" s="25">
        <f t="shared" si="61"/>
        <v>0</v>
      </c>
    </row>
    <row r="444" spans="1:43">
      <c r="A444" s="24">
        <v>46125</v>
      </c>
      <c r="B444" s="23">
        <f t="shared" si="54"/>
        <v>46113</v>
      </c>
      <c r="C444" s="2" t="s">
        <v>160</v>
      </c>
      <c r="D444" s="2" t="s">
        <v>452</v>
      </c>
      <c r="E444" s="2">
        <v>1805</v>
      </c>
      <c r="F444" s="2">
        <v>92</v>
      </c>
      <c r="G444" s="2">
        <v>84</v>
      </c>
      <c r="H444" s="2">
        <f t="shared" si="62"/>
        <v>8</v>
      </c>
      <c r="I444" s="2">
        <v>4</v>
      </c>
      <c r="J444" s="2">
        <v>0</v>
      </c>
      <c r="K444" s="2">
        <v>3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1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/>
      <c r="AJ444" s="2" t="s">
        <v>93</v>
      </c>
      <c r="AK444" s="2">
        <f t="shared" si="55"/>
        <v>4</v>
      </c>
      <c r="AL444" s="2">
        <f t="shared" si="56"/>
        <v>3</v>
      </c>
      <c r="AM444" s="2">
        <f t="shared" si="57"/>
        <v>0</v>
      </c>
      <c r="AN444" s="2">
        <f t="shared" si="58"/>
        <v>1</v>
      </c>
      <c r="AO444" s="2">
        <f t="shared" si="59"/>
        <v>0</v>
      </c>
      <c r="AP444" s="2">
        <f t="shared" si="60"/>
        <v>0</v>
      </c>
      <c r="AQ444" s="25">
        <f t="shared" si="61"/>
        <v>0</v>
      </c>
    </row>
    <row r="445" spans="1:43">
      <c r="A445" s="24">
        <v>46125</v>
      </c>
      <c r="B445" s="23">
        <f t="shared" si="54"/>
        <v>46113</v>
      </c>
      <c r="C445" s="2" t="s">
        <v>160</v>
      </c>
      <c r="D445" s="2" t="s">
        <v>487</v>
      </c>
      <c r="E445" s="2">
        <v>2651</v>
      </c>
      <c r="F445" s="2">
        <v>20</v>
      </c>
      <c r="G445" s="2">
        <v>19</v>
      </c>
      <c r="H445" s="2">
        <f t="shared" si="62"/>
        <v>1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/>
      <c r="AJ445" s="2" t="s">
        <v>93</v>
      </c>
      <c r="AK445" s="2">
        <f t="shared" si="55"/>
        <v>0</v>
      </c>
      <c r="AL445" s="2">
        <f t="shared" si="56"/>
        <v>0</v>
      </c>
      <c r="AM445" s="2">
        <f t="shared" si="57"/>
        <v>0</v>
      </c>
      <c r="AN445" s="2">
        <f t="shared" si="58"/>
        <v>0</v>
      </c>
      <c r="AO445" s="2">
        <f t="shared" si="59"/>
        <v>1</v>
      </c>
      <c r="AP445" s="2">
        <f t="shared" si="60"/>
        <v>0</v>
      </c>
      <c r="AQ445" s="25">
        <f t="shared" si="61"/>
        <v>0</v>
      </c>
    </row>
    <row r="446" spans="1:43">
      <c r="A446" s="24">
        <v>46125</v>
      </c>
      <c r="B446" s="23">
        <f t="shared" si="54"/>
        <v>46113</v>
      </c>
      <c r="C446" s="2" t="s">
        <v>160</v>
      </c>
      <c r="D446" s="2" t="s">
        <v>1562</v>
      </c>
      <c r="E446" s="2">
        <v>2651</v>
      </c>
      <c r="F446" s="2">
        <v>73</v>
      </c>
      <c r="G446" s="2">
        <v>70</v>
      </c>
      <c r="H446" s="2">
        <f t="shared" si="62"/>
        <v>3</v>
      </c>
      <c r="I446" s="2">
        <v>2</v>
      </c>
      <c r="J446" s="2">
        <v>1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/>
      <c r="AJ446" s="2" t="s">
        <v>93</v>
      </c>
      <c r="AK446" s="2">
        <f t="shared" si="55"/>
        <v>2</v>
      </c>
      <c r="AL446" s="2">
        <f t="shared" si="56"/>
        <v>1</v>
      </c>
      <c r="AM446" s="2">
        <f t="shared" si="57"/>
        <v>0</v>
      </c>
      <c r="AN446" s="2">
        <f t="shared" si="58"/>
        <v>0</v>
      </c>
      <c r="AO446" s="2">
        <f t="shared" si="59"/>
        <v>0</v>
      </c>
      <c r="AP446" s="2">
        <f t="shared" si="60"/>
        <v>0</v>
      </c>
      <c r="AQ446" s="25">
        <f t="shared" si="61"/>
        <v>0</v>
      </c>
    </row>
    <row r="447" spans="1:43">
      <c r="A447" s="24">
        <v>46125</v>
      </c>
      <c r="B447" s="23">
        <f t="shared" si="54"/>
        <v>46113</v>
      </c>
      <c r="C447" s="2" t="s">
        <v>46</v>
      </c>
      <c r="D447" s="2" t="s">
        <v>551</v>
      </c>
      <c r="E447" s="2">
        <v>1877</v>
      </c>
      <c r="F447" s="2">
        <v>20</v>
      </c>
      <c r="G447" s="2">
        <v>20</v>
      </c>
      <c r="H447" s="2">
        <f t="shared" si="62"/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/>
      <c r="AJ447" s="2" t="s">
        <v>93</v>
      </c>
      <c r="AK447" s="2">
        <f t="shared" si="55"/>
        <v>0</v>
      </c>
      <c r="AL447" s="2">
        <f t="shared" si="56"/>
        <v>0</v>
      </c>
      <c r="AM447" s="2">
        <f t="shared" si="57"/>
        <v>0</v>
      </c>
      <c r="AN447" s="2">
        <f t="shared" si="58"/>
        <v>0</v>
      </c>
      <c r="AO447" s="2">
        <f t="shared" si="59"/>
        <v>0</v>
      </c>
      <c r="AP447" s="2">
        <f t="shared" si="60"/>
        <v>0</v>
      </c>
      <c r="AQ447" s="25">
        <f t="shared" si="61"/>
        <v>0</v>
      </c>
    </row>
    <row r="448" spans="1:43">
      <c r="A448" s="24">
        <v>46125</v>
      </c>
      <c r="B448" s="23">
        <f t="shared" si="54"/>
        <v>46113</v>
      </c>
      <c r="C448" s="2" t="s">
        <v>160</v>
      </c>
      <c r="D448" s="2" t="s">
        <v>1296</v>
      </c>
      <c r="E448" s="2">
        <v>2651</v>
      </c>
      <c r="F448" s="2">
        <v>82</v>
      </c>
      <c r="G448" s="2">
        <v>82</v>
      </c>
      <c r="H448" s="2">
        <f t="shared" si="62"/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/>
      <c r="AJ448" s="2" t="s">
        <v>93</v>
      </c>
      <c r="AK448" s="2">
        <f t="shared" si="55"/>
        <v>0</v>
      </c>
      <c r="AL448" s="2">
        <f t="shared" si="56"/>
        <v>0</v>
      </c>
      <c r="AM448" s="2">
        <f t="shared" si="57"/>
        <v>0</v>
      </c>
      <c r="AN448" s="2">
        <f t="shared" si="58"/>
        <v>0</v>
      </c>
      <c r="AO448" s="2">
        <f t="shared" si="59"/>
        <v>0</v>
      </c>
      <c r="AP448" s="2">
        <f t="shared" si="60"/>
        <v>0</v>
      </c>
      <c r="AQ448" s="25">
        <f t="shared" si="61"/>
        <v>0</v>
      </c>
    </row>
    <row r="449" spans="1:43">
      <c r="A449" s="24">
        <v>46125</v>
      </c>
      <c r="B449" s="23">
        <f t="shared" si="54"/>
        <v>46113</v>
      </c>
      <c r="C449" s="2" t="s">
        <v>95</v>
      </c>
      <c r="D449" s="2" t="s">
        <v>491</v>
      </c>
      <c r="E449" s="2">
        <v>1698</v>
      </c>
      <c r="F449" s="2">
        <v>260</v>
      </c>
      <c r="G449" s="2">
        <v>249</v>
      </c>
      <c r="H449" s="2">
        <f t="shared" si="62"/>
        <v>11</v>
      </c>
      <c r="I449" s="2">
        <v>10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1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/>
      <c r="AJ449" s="2" t="s">
        <v>99</v>
      </c>
      <c r="AK449" s="2">
        <f t="shared" si="55"/>
        <v>10</v>
      </c>
      <c r="AL449" s="2">
        <f t="shared" si="56"/>
        <v>1</v>
      </c>
      <c r="AM449" s="2">
        <f t="shared" si="57"/>
        <v>0</v>
      </c>
      <c r="AN449" s="2">
        <f t="shared" si="58"/>
        <v>0</v>
      </c>
      <c r="AO449" s="2">
        <f t="shared" si="59"/>
        <v>0</v>
      </c>
      <c r="AP449" s="2">
        <f t="shared" si="60"/>
        <v>0</v>
      </c>
      <c r="AQ449" s="25">
        <f t="shared" si="61"/>
        <v>0</v>
      </c>
    </row>
    <row r="450" spans="1:43">
      <c r="A450" s="24">
        <v>46125</v>
      </c>
      <c r="B450" s="23">
        <f t="shared" ref="B450:B513" si="63">EOMONTH(A450,-1)+1</f>
        <v>46113</v>
      </c>
      <c r="C450" s="2" t="s">
        <v>114</v>
      </c>
      <c r="D450" s="2" t="s">
        <v>555</v>
      </c>
      <c r="E450" s="2">
        <v>1803</v>
      </c>
      <c r="F450" s="2">
        <v>52</v>
      </c>
      <c r="G450" s="2">
        <v>52</v>
      </c>
      <c r="H450" s="2">
        <f t="shared" si="62"/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/>
      <c r="AJ450" s="2" t="s">
        <v>99</v>
      </c>
      <c r="AK450" s="2">
        <f t="shared" ref="AK450:AK513" si="64">+I450+AF450</f>
        <v>0</v>
      </c>
      <c r="AL450" s="2">
        <f t="shared" ref="AL450:AL513" si="65">+J450+K450+O450+N450+P450+R450+S450+Q450+M450+L450</f>
        <v>0</v>
      </c>
      <c r="AM450" s="2">
        <f t="shared" ref="AM450:AM513" si="66">+AB450+AC450</f>
        <v>0</v>
      </c>
      <c r="AN450" s="2">
        <f t="shared" ref="AN450:AN513" si="67">+AH450+AG450+AA450+Z450</f>
        <v>0</v>
      </c>
      <c r="AO450" s="2">
        <f t="shared" ref="AO450:AO513" si="68">+X450+W450+V450+U450+T450+Y450</f>
        <v>0</v>
      </c>
      <c r="AP450" s="2">
        <f t="shared" ref="AP450:AP513" si="69">+AD450</f>
        <v>0</v>
      </c>
      <c r="AQ450" s="25">
        <f t="shared" ref="AQ450:AQ513" si="70">+AE450</f>
        <v>0</v>
      </c>
    </row>
    <row r="451" spans="1:43">
      <c r="A451" s="24">
        <v>46125</v>
      </c>
      <c r="B451" s="23">
        <f t="shared" si="63"/>
        <v>46113</v>
      </c>
      <c r="C451" s="2" t="s">
        <v>63</v>
      </c>
      <c r="D451" s="2" t="s">
        <v>495</v>
      </c>
      <c r="E451" s="2">
        <v>2480</v>
      </c>
      <c r="F451" s="2">
        <v>42</v>
      </c>
      <c r="G451" s="2">
        <v>42</v>
      </c>
      <c r="H451" s="2">
        <f t="shared" ref="H451:H514" si="71">F451-G451</f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/>
      <c r="AJ451" s="2" t="s">
        <v>99</v>
      </c>
      <c r="AK451" s="2">
        <f t="shared" si="64"/>
        <v>0</v>
      </c>
      <c r="AL451" s="2">
        <f t="shared" si="65"/>
        <v>0</v>
      </c>
      <c r="AM451" s="2">
        <f t="shared" si="66"/>
        <v>0</v>
      </c>
      <c r="AN451" s="2">
        <f t="shared" si="67"/>
        <v>0</v>
      </c>
      <c r="AO451" s="2">
        <f t="shared" si="68"/>
        <v>0</v>
      </c>
      <c r="AP451" s="2">
        <f t="shared" si="69"/>
        <v>0</v>
      </c>
      <c r="AQ451" s="25">
        <f t="shared" si="70"/>
        <v>0</v>
      </c>
    </row>
    <row r="452" spans="1:43">
      <c r="A452" s="24">
        <v>46125</v>
      </c>
      <c r="B452" s="23">
        <f t="shared" si="63"/>
        <v>46113</v>
      </c>
      <c r="C452" s="2" t="s">
        <v>66</v>
      </c>
      <c r="D452" s="2" t="s">
        <v>539</v>
      </c>
      <c r="E452" s="2">
        <v>2642</v>
      </c>
      <c r="F452" s="2">
        <v>171</v>
      </c>
      <c r="G452" s="2">
        <v>153</v>
      </c>
      <c r="H452" s="2">
        <f t="shared" si="71"/>
        <v>18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15</v>
      </c>
      <c r="AB452" s="2">
        <v>3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/>
      <c r="AJ452" s="2" t="s">
        <v>99</v>
      </c>
      <c r="AK452" s="2">
        <f t="shared" si="64"/>
        <v>0</v>
      </c>
      <c r="AL452" s="2">
        <f t="shared" si="65"/>
        <v>0</v>
      </c>
      <c r="AM452" s="2">
        <f t="shared" si="66"/>
        <v>3</v>
      </c>
      <c r="AN452" s="2">
        <f t="shared" si="67"/>
        <v>15</v>
      </c>
      <c r="AO452" s="2">
        <f t="shared" si="68"/>
        <v>0</v>
      </c>
      <c r="AP452" s="2">
        <f t="shared" si="69"/>
        <v>0</v>
      </c>
      <c r="AQ452" s="25">
        <f t="shared" si="70"/>
        <v>0</v>
      </c>
    </row>
    <row r="453" spans="1:43">
      <c r="A453" s="24">
        <v>46125</v>
      </c>
      <c r="B453" s="23">
        <f t="shared" si="63"/>
        <v>46113</v>
      </c>
      <c r="C453" s="2" t="s">
        <v>97</v>
      </c>
      <c r="D453" s="2" t="s">
        <v>1449</v>
      </c>
      <c r="E453" s="2">
        <v>1672</v>
      </c>
      <c r="F453" s="2">
        <v>220</v>
      </c>
      <c r="G453" s="2">
        <v>206</v>
      </c>
      <c r="H453" s="2">
        <f t="shared" si="71"/>
        <v>14</v>
      </c>
      <c r="I453" s="2">
        <v>0</v>
      </c>
      <c r="J453" s="2">
        <v>0</v>
      </c>
      <c r="K453" s="2">
        <v>2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1</v>
      </c>
      <c r="R453" s="2">
        <v>0</v>
      </c>
      <c r="S453" s="2">
        <v>0</v>
      </c>
      <c r="T453" s="2">
        <v>6</v>
      </c>
      <c r="U453" s="2">
        <v>0</v>
      </c>
      <c r="V453" s="2">
        <v>5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/>
      <c r="AJ453" s="2" t="s">
        <v>110</v>
      </c>
      <c r="AK453" s="2">
        <f t="shared" si="64"/>
        <v>0</v>
      </c>
      <c r="AL453" s="2">
        <f t="shared" si="65"/>
        <v>3</v>
      </c>
      <c r="AM453" s="2">
        <f t="shared" si="66"/>
        <v>0</v>
      </c>
      <c r="AN453" s="2">
        <f t="shared" si="67"/>
        <v>0</v>
      </c>
      <c r="AO453" s="2">
        <f t="shared" si="68"/>
        <v>11</v>
      </c>
      <c r="AP453" s="2">
        <f t="shared" si="69"/>
        <v>0</v>
      </c>
      <c r="AQ453" s="25">
        <f t="shared" si="70"/>
        <v>0</v>
      </c>
    </row>
    <row r="454" spans="1:43">
      <c r="A454" s="24">
        <v>46125</v>
      </c>
      <c r="B454" s="23">
        <f t="shared" si="63"/>
        <v>46113</v>
      </c>
      <c r="C454" s="2" t="s">
        <v>66</v>
      </c>
      <c r="D454" s="2" t="s">
        <v>1290</v>
      </c>
      <c r="E454" s="2">
        <v>1636</v>
      </c>
      <c r="F454" s="2">
        <v>70</v>
      </c>
      <c r="G454" s="2">
        <v>70</v>
      </c>
      <c r="H454" s="2">
        <f t="shared" si="71"/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/>
      <c r="AJ454" s="2" t="s">
        <v>110</v>
      </c>
      <c r="AK454" s="2">
        <f t="shared" si="64"/>
        <v>0</v>
      </c>
      <c r="AL454" s="2">
        <f t="shared" si="65"/>
        <v>0</v>
      </c>
      <c r="AM454" s="2">
        <f t="shared" si="66"/>
        <v>0</v>
      </c>
      <c r="AN454" s="2">
        <f t="shared" si="67"/>
        <v>0</v>
      </c>
      <c r="AO454" s="2">
        <f t="shared" si="68"/>
        <v>0</v>
      </c>
      <c r="AP454" s="2">
        <f t="shared" si="69"/>
        <v>0</v>
      </c>
      <c r="AQ454" s="25">
        <f t="shared" si="70"/>
        <v>0</v>
      </c>
    </row>
    <row r="455" spans="1:43">
      <c r="A455" s="24">
        <v>46125</v>
      </c>
      <c r="B455" s="23">
        <f t="shared" si="63"/>
        <v>46113</v>
      </c>
      <c r="C455" s="2" t="s">
        <v>66</v>
      </c>
      <c r="D455" s="2" t="s">
        <v>441</v>
      </c>
      <c r="E455" s="2">
        <v>1636</v>
      </c>
      <c r="F455" s="2">
        <v>67</v>
      </c>
      <c r="G455" s="2">
        <v>67</v>
      </c>
      <c r="H455" s="2">
        <f t="shared" si="71"/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/>
      <c r="AJ455" s="2" t="s">
        <v>110</v>
      </c>
      <c r="AK455" s="2">
        <f t="shared" si="64"/>
        <v>0</v>
      </c>
      <c r="AL455" s="2">
        <f t="shared" si="65"/>
        <v>0</v>
      </c>
      <c r="AM455" s="2">
        <f t="shared" si="66"/>
        <v>0</v>
      </c>
      <c r="AN455" s="2">
        <f t="shared" si="67"/>
        <v>0</v>
      </c>
      <c r="AO455" s="2">
        <f t="shared" si="68"/>
        <v>0</v>
      </c>
      <c r="AP455" s="2">
        <f t="shared" si="69"/>
        <v>0</v>
      </c>
      <c r="AQ455" s="25">
        <f t="shared" si="70"/>
        <v>0</v>
      </c>
    </row>
    <row r="456" spans="1:43">
      <c r="A456" s="24">
        <v>46125</v>
      </c>
      <c r="B456" s="23">
        <f t="shared" si="63"/>
        <v>46113</v>
      </c>
      <c r="C456" s="2" t="s">
        <v>66</v>
      </c>
      <c r="D456" s="2" t="s">
        <v>441</v>
      </c>
      <c r="E456" s="2">
        <v>1636</v>
      </c>
      <c r="F456" s="2">
        <v>20</v>
      </c>
      <c r="G456" s="2">
        <v>20</v>
      </c>
      <c r="H456" s="2">
        <f t="shared" si="71"/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/>
      <c r="AJ456" s="2" t="s">
        <v>110</v>
      </c>
      <c r="AK456" s="2">
        <f t="shared" si="64"/>
        <v>0</v>
      </c>
      <c r="AL456" s="2">
        <f t="shared" si="65"/>
        <v>0</v>
      </c>
      <c r="AM456" s="2">
        <f t="shared" si="66"/>
        <v>0</v>
      </c>
      <c r="AN456" s="2">
        <f t="shared" si="67"/>
        <v>0</v>
      </c>
      <c r="AO456" s="2">
        <f t="shared" si="68"/>
        <v>0</v>
      </c>
      <c r="AP456" s="2">
        <f t="shared" si="69"/>
        <v>0</v>
      </c>
      <c r="AQ456" s="25">
        <f t="shared" si="70"/>
        <v>0</v>
      </c>
    </row>
    <row r="457" spans="1:43">
      <c r="A457" s="24">
        <v>46125</v>
      </c>
      <c r="B457" s="23">
        <f t="shared" si="63"/>
        <v>46113</v>
      </c>
      <c r="C457" s="2" t="s">
        <v>66</v>
      </c>
      <c r="D457" s="2" t="s">
        <v>1203</v>
      </c>
      <c r="E457" s="2">
        <v>2639</v>
      </c>
      <c r="F457" s="2">
        <v>32</v>
      </c>
      <c r="G457" s="2">
        <v>32</v>
      </c>
      <c r="H457" s="2">
        <f t="shared" si="71"/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/>
      <c r="AJ457" s="2" t="s">
        <v>110</v>
      </c>
      <c r="AK457" s="2">
        <f t="shared" si="64"/>
        <v>0</v>
      </c>
      <c r="AL457" s="2">
        <f t="shared" si="65"/>
        <v>0</v>
      </c>
      <c r="AM457" s="2">
        <f t="shared" si="66"/>
        <v>0</v>
      </c>
      <c r="AN457" s="2">
        <f t="shared" si="67"/>
        <v>0</v>
      </c>
      <c r="AO457" s="2">
        <f t="shared" si="68"/>
        <v>0</v>
      </c>
      <c r="AP457" s="2">
        <f t="shared" si="69"/>
        <v>0</v>
      </c>
      <c r="AQ457" s="25">
        <f t="shared" si="70"/>
        <v>0</v>
      </c>
    </row>
    <row r="458" spans="1:43">
      <c r="A458" s="24">
        <v>46125</v>
      </c>
      <c r="B458" s="23">
        <f t="shared" si="63"/>
        <v>46113</v>
      </c>
      <c r="C458" s="2" t="s">
        <v>66</v>
      </c>
      <c r="D458" s="2" t="s">
        <v>471</v>
      </c>
      <c r="E458" s="2">
        <v>1824</v>
      </c>
      <c r="F458" s="2">
        <v>20</v>
      </c>
      <c r="G458" s="2">
        <v>20</v>
      </c>
      <c r="H458" s="2">
        <f t="shared" si="71"/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/>
      <c r="AJ458" s="2" t="s">
        <v>110</v>
      </c>
      <c r="AK458" s="2">
        <f t="shared" si="64"/>
        <v>0</v>
      </c>
      <c r="AL458" s="2">
        <f t="shared" si="65"/>
        <v>0</v>
      </c>
      <c r="AM458" s="2">
        <f t="shared" si="66"/>
        <v>0</v>
      </c>
      <c r="AN458" s="2">
        <f t="shared" si="67"/>
        <v>0</v>
      </c>
      <c r="AO458" s="2">
        <f t="shared" si="68"/>
        <v>0</v>
      </c>
      <c r="AP458" s="2">
        <f t="shared" si="69"/>
        <v>0</v>
      </c>
      <c r="AQ458" s="25">
        <f t="shared" si="70"/>
        <v>0</v>
      </c>
    </row>
    <row r="459" spans="1:43">
      <c r="A459" s="24">
        <v>46125</v>
      </c>
      <c r="B459" s="23">
        <f t="shared" si="63"/>
        <v>46113</v>
      </c>
      <c r="C459" s="2" t="s">
        <v>66</v>
      </c>
      <c r="D459" s="2" t="s">
        <v>437</v>
      </c>
      <c r="E459" s="2">
        <v>2539</v>
      </c>
      <c r="F459" s="2">
        <v>493</v>
      </c>
      <c r="G459" s="2">
        <v>486</v>
      </c>
      <c r="H459" s="2">
        <f t="shared" si="71"/>
        <v>7</v>
      </c>
      <c r="I459" s="2">
        <v>3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1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2</v>
      </c>
      <c r="AA459" s="2">
        <v>1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/>
      <c r="AJ459" s="2" t="s">
        <v>110</v>
      </c>
      <c r="AK459" s="2">
        <f t="shared" si="64"/>
        <v>3</v>
      </c>
      <c r="AL459" s="2">
        <f t="shared" si="65"/>
        <v>1</v>
      </c>
      <c r="AM459" s="2">
        <f t="shared" si="66"/>
        <v>0</v>
      </c>
      <c r="AN459" s="2">
        <f t="shared" si="67"/>
        <v>3</v>
      </c>
      <c r="AO459" s="2">
        <f t="shared" si="68"/>
        <v>0</v>
      </c>
      <c r="AP459" s="2">
        <f t="shared" si="69"/>
        <v>0</v>
      </c>
      <c r="AQ459" s="25">
        <f t="shared" si="70"/>
        <v>0</v>
      </c>
    </row>
    <row r="460" spans="1:43">
      <c r="A460" s="24">
        <v>46125</v>
      </c>
      <c r="B460" s="23">
        <f t="shared" si="63"/>
        <v>46113</v>
      </c>
      <c r="C460" s="2" t="s">
        <v>66</v>
      </c>
      <c r="D460" s="2" t="s">
        <v>434</v>
      </c>
      <c r="E460" s="2">
        <v>1767</v>
      </c>
      <c r="F460" s="2">
        <v>5</v>
      </c>
      <c r="G460" s="2">
        <v>5</v>
      </c>
      <c r="H460" s="2">
        <f t="shared" si="71"/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/>
      <c r="AJ460" s="2" t="s">
        <v>110</v>
      </c>
      <c r="AK460" s="2">
        <f t="shared" si="64"/>
        <v>0</v>
      </c>
      <c r="AL460" s="2">
        <f t="shared" si="65"/>
        <v>0</v>
      </c>
      <c r="AM460" s="2">
        <f t="shared" si="66"/>
        <v>0</v>
      </c>
      <c r="AN460" s="2">
        <f t="shared" si="67"/>
        <v>0</v>
      </c>
      <c r="AO460" s="2">
        <f t="shared" si="68"/>
        <v>0</v>
      </c>
      <c r="AP460" s="2">
        <f t="shared" si="69"/>
        <v>0</v>
      </c>
      <c r="AQ460" s="25">
        <f t="shared" si="70"/>
        <v>0</v>
      </c>
    </row>
    <row r="461" spans="1:43">
      <c r="A461" s="24">
        <v>46125</v>
      </c>
      <c r="B461" s="23">
        <f t="shared" si="63"/>
        <v>46113</v>
      </c>
      <c r="C461" s="2" t="s">
        <v>97</v>
      </c>
      <c r="D461" s="2" t="s">
        <v>1194</v>
      </c>
      <c r="E461" s="2">
        <v>10026</v>
      </c>
      <c r="F461" s="2">
        <v>193</v>
      </c>
      <c r="G461" s="2">
        <v>188</v>
      </c>
      <c r="H461" s="2">
        <f t="shared" si="71"/>
        <v>5</v>
      </c>
      <c r="I461" s="2">
        <v>5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/>
      <c r="AJ461" s="2" t="s">
        <v>110</v>
      </c>
      <c r="AK461" s="2">
        <f t="shared" si="64"/>
        <v>5</v>
      </c>
      <c r="AL461" s="2">
        <f t="shared" si="65"/>
        <v>0</v>
      </c>
      <c r="AM461" s="2">
        <f t="shared" si="66"/>
        <v>0</v>
      </c>
      <c r="AN461" s="2">
        <f t="shared" si="67"/>
        <v>0</v>
      </c>
      <c r="AO461" s="2">
        <f t="shared" si="68"/>
        <v>0</v>
      </c>
      <c r="AP461" s="2">
        <f t="shared" si="69"/>
        <v>0</v>
      </c>
      <c r="AQ461" s="25">
        <f t="shared" si="70"/>
        <v>0</v>
      </c>
    </row>
    <row r="462" spans="1:43">
      <c r="A462" s="24">
        <v>46125</v>
      </c>
      <c r="B462" s="23">
        <f t="shared" si="63"/>
        <v>46113</v>
      </c>
      <c r="C462" s="2" t="s">
        <v>97</v>
      </c>
      <c r="D462" s="2" t="s">
        <v>1194</v>
      </c>
      <c r="E462" s="2">
        <v>10026</v>
      </c>
      <c r="F462" s="2">
        <v>32</v>
      </c>
      <c r="G462" s="2">
        <v>31</v>
      </c>
      <c r="H462" s="2">
        <f t="shared" si="71"/>
        <v>1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1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/>
      <c r="AJ462" s="2" t="s">
        <v>110</v>
      </c>
      <c r="AK462" s="2">
        <f t="shared" si="64"/>
        <v>0</v>
      </c>
      <c r="AL462" s="2">
        <f t="shared" si="65"/>
        <v>1</v>
      </c>
      <c r="AM462" s="2">
        <f t="shared" si="66"/>
        <v>0</v>
      </c>
      <c r="AN462" s="2">
        <f t="shared" si="67"/>
        <v>0</v>
      </c>
      <c r="AO462" s="2">
        <f t="shared" si="68"/>
        <v>0</v>
      </c>
      <c r="AP462" s="2">
        <f t="shared" si="69"/>
        <v>0</v>
      </c>
      <c r="AQ462" s="25">
        <f t="shared" si="70"/>
        <v>0</v>
      </c>
    </row>
    <row r="463" spans="1:43">
      <c r="A463" s="24">
        <v>46125</v>
      </c>
      <c r="B463" s="23">
        <f t="shared" si="63"/>
        <v>46113</v>
      </c>
      <c r="C463" s="2" t="s">
        <v>97</v>
      </c>
      <c r="D463" s="2" t="s">
        <v>479</v>
      </c>
      <c r="E463" s="2">
        <v>1734</v>
      </c>
      <c r="F463" s="2">
        <v>55</v>
      </c>
      <c r="G463" s="2">
        <v>55</v>
      </c>
      <c r="H463" s="2">
        <f t="shared" si="71"/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/>
      <c r="AJ463" s="2" t="s">
        <v>110</v>
      </c>
      <c r="AK463" s="2">
        <f t="shared" si="64"/>
        <v>0</v>
      </c>
      <c r="AL463" s="2">
        <f t="shared" si="65"/>
        <v>0</v>
      </c>
      <c r="AM463" s="2">
        <f t="shared" si="66"/>
        <v>0</v>
      </c>
      <c r="AN463" s="2">
        <f t="shared" si="67"/>
        <v>0</v>
      </c>
      <c r="AO463" s="2">
        <f t="shared" si="68"/>
        <v>0</v>
      </c>
      <c r="AP463" s="2">
        <f t="shared" si="69"/>
        <v>0</v>
      </c>
      <c r="AQ463" s="25">
        <f t="shared" si="70"/>
        <v>0</v>
      </c>
    </row>
    <row r="464" spans="1:43">
      <c r="A464" s="24">
        <v>46125</v>
      </c>
      <c r="B464" s="23">
        <f t="shared" si="63"/>
        <v>46113</v>
      </c>
      <c r="C464" s="2" t="s">
        <v>97</v>
      </c>
      <c r="D464" s="2" t="s">
        <v>555</v>
      </c>
      <c r="E464" s="2">
        <v>1803</v>
      </c>
      <c r="F464" s="2">
        <v>136</v>
      </c>
      <c r="G464" s="2">
        <v>134</v>
      </c>
      <c r="H464" s="2">
        <f t="shared" si="71"/>
        <v>2</v>
      </c>
      <c r="I464" s="2">
        <v>2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/>
      <c r="AJ464" s="2" t="s">
        <v>110</v>
      </c>
      <c r="AK464" s="2">
        <f t="shared" si="64"/>
        <v>2</v>
      </c>
      <c r="AL464" s="2">
        <f t="shared" si="65"/>
        <v>0</v>
      </c>
      <c r="AM464" s="2">
        <f t="shared" si="66"/>
        <v>0</v>
      </c>
      <c r="AN464" s="2">
        <f t="shared" si="67"/>
        <v>0</v>
      </c>
      <c r="AO464" s="2">
        <f t="shared" si="68"/>
        <v>0</v>
      </c>
      <c r="AP464" s="2">
        <f t="shared" si="69"/>
        <v>0</v>
      </c>
      <c r="AQ464" s="25">
        <f t="shared" si="70"/>
        <v>0</v>
      </c>
    </row>
    <row r="465" spans="1:43">
      <c r="A465" s="24">
        <v>46125</v>
      </c>
      <c r="B465" s="23">
        <f t="shared" si="63"/>
        <v>46113</v>
      </c>
      <c r="C465" s="2" t="s">
        <v>97</v>
      </c>
      <c r="D465" s="2" t="s">
        <v>555</v>
      </c>
      <c r="E465" s="2">
        <v>1803</v>
      </c>
      <c r="F465" s="2">
        <v>32</v>
      </c>
      <c r="G465" s="2">
        <v>31</v>
      </c>
      <c r="H465" s="2">
        <f t="shared" si="71"/>
        <v>1</v>
      </c>
      <c r="I465" s="2">
        <v>0</v>
      </c>
      <c r="J465" s="2">
        <v>0</v>
      </c>
      <c r="K465" s="2">
        <v>0</v>
      </c>
      <c r="L465" s="2">
        <v>1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/>
      <c r="AJ465" s="2" t="s">
        <v>110</v>
      </c>
      <c r="AK465" s="2">
        <f t="shared" si="64"/>
        <v>0</v>
      </c>
      <c r="AL465" s="2">
        <f t="shared" si="65"/>
        <v>1</v>
      </c>
      <c r="AM465" s="2">
        <f t="shared" si="66"/>
        <v>0</v>
      </c>
      <c r="AN465" s="2">
        <f t="shared" si="67"/>
        <v>0</v>
      </c>
      <c r="AO465" s="2">
        <f t="shared" si="68"/>
        <v>0</v>
      </c>
      <c r="AP465" s="2">
        <f t="shared" si="69"/>
        <v>0</v>
      </c>
      <c r="AQ465" s="25">
        <f t="shared" si="70"/>
        <v>0</v>
      </c>
    </row>
    <row r="466" spans="1:43">
      <c r="A466" s="24">
        <v>46125</v>
      </c>
      <c r="B466" s="23">
        <f t="shared" si="63"/>
        <v>46113</v>
      </c>
      <c r="C466" s="2" t="s">
        <v>97</v>
      </c>
      <c r="D466" s="2" t="s">
        <v>452</v>
      </c>
      <c r="E466" s="2">
        <v>1805</v>
      </c>
      <c r="F466" s="2">
        <v>20</v>
      </c>
      <c r="G466" s="2">
        <v>20</v>
      </c>
      <c r="H466" s="2">
        <f t="shared" si="71"/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/>
      <c r="AJ466" s="2" t="s">
        <v>110</v>
      </c>
      <c r="AK466" s="2">
        <f t="shared" si="64"/>
        <v>0</v>
      </c>
      <c r="AL466" s="2">
        <f t="shared" si="65"/>
        <v>0</v>
      </c>
      <c r="AM466" s="2">
        <f t="shared" si="66"/>
        <v>0</v>
      </c>
      <c r="AN466" s="2">
        <f t="shared" si="67"/>
        <v>0</v>
      </c>
      <c r="AO466" s="2">
        <f t="shared" si="68"/>
        <v>0</v>
      </c>
      <c r="AP466" s="2">
        <f t="shared" si="69"/>
        <v>0</v>
      </c>
      <c r="AQ466" s="25">
        <f t="shared" si="70"/>
        <v>0</v>
      </c>
    </row>
    <row r="467" spans="1:43">
      <c r="A467" s="24">
        <v>46125</v>
      </c>
      <c r="B467" s="23">
        <f t="shared" si="63"/>
        <v>46113</v>
      </c>
      <c r="C467" s="2" t="s">
        <v>55</v>
      </c>
      <c r="D467" s="2" t="s">
        <v>483</v>
      </c>
      <c r="E467" s="2">
        <v>9323</v>
      </c>
      <c r="F467" s="2">
        <v>22</v>
      </c>
      <c r="G467" s="2">
        <v>22</v>
      </c>
      <c r="H467" s="2">
        <f t="shared" si="71"/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/>
      <c r="AJ467" s="2" t="s">
        <v>1566</v>
      </c>
      <c r="AK467" s="2">
        <f t="shared" si="64"/>
        <v>0</v>
      </c>
      <c r="AL467" s="2">
        <f t="shared" si="65"/>
        <v>0</v>
      </c>
      <c r="AM467" s="2">
        <f t="shared" si="66"/>
        <v>0</v>
      </c>
      <c r="AN467" s="2">
        <f t="shared" si="67"/>
        <v>0</v>
      </c>
      <c r="AO467" s="2">
        <f t="shared" si="68"/>
        <v>0</v>
      </c>
      <c r="AP467" s="2">
        <f t="shared" si="69"/>
        <v>0</v>
      </c>
      <c r="AQ467" s="25">
        <f t="shared" si="70"/>
        <v>0</v>
      </c>
    </row>
    <row r="468" spans="1:43">
      <c r="A468" s="24">
        <v>46125</v>
      </c>
      <c r="B468" s="23">
        <f t="shared" si="63"/>
        <v>46113</v>
      </c>
      <c r="C468" s="2" t="s">
        <v>55</v>
      </c>
      <c r="D468" s="2" t="s">
        <v>1563</v>
      </c>
      <c r="E468" s="2">
        <v>2579</v>
      </c>
      <c r="F468" s="2">
        <v>50</v>
      </c>
      <c r="G468" s="2">
        <v>49</v>
      </c>
      <c r="H468" s="2">
        <f t="shared" si="71"/>
        <v>1</v>
      </c>
      <c r="I468" s="2">
        <v>1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/>
      <c r="AJ468" s="2" t="s">
        <v>1566</v>
      </c>
      <c r="AK468" s="2">
        <f t="shared" si="64"/>
        <v>1</v>
      </c>
      <c r="AL468" s="2">
        <f t="shared" si="65"/>
        <v>0</v>
      </c>
      <c r="AM468" s="2">
        <f t="shared" si="66"/>
        <v>0</v>
      </c>
      <c r="AN468" s="2">
        <f t="shared" si="67"/>
        <v>0</v>
      </c>
      <c r="AO468" s="2">
        <f t="shared" si="68"/>
        <v>0</v>
      </c>
      <c r="AP468" s="2">
        <f t="shared" si="69"/>
        <v>0</v>
      </c>
      <c r="AQ468" s="25">
        <f t="shared" si="70"/>
        <v>0</v>
      </c>
    </row>
    <row r="469" spans="1:43">
      <c r="A469" s="24">
        <v>46125</v>
      </c>
      <c r="B469" s="23">
        <f t="shared" si="63"/>
        <v>46113</v>
      </c>
      <c r="C469" s="2" t="s">
        <v>133</v>
      </c>
      <c r="D469" s="2" t="s">
        <v>1194</v>
      </c>
      <c r="E469" s="2">
        <v>10026</v>
      </c>
      <c r="F469" s="2">
        <v>25</v>
      </c>
      <c r="G469" s="2">
        <v>25</v>
      </c>
      <c r="H469" s="2">
        <f t="shared" si="71"/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/>
      <c r="AJ469" s="2" t="s">
        <v>1566</v>
      </c>
      <c r="AK469" s="2">
        <f t="shared" si="64"/>
        <v>0</v>
      </c>
      <c r="AL469" s="2">
        <f t="shared" si="65"/>
        <v>0</v>
      </c>
      <c r="AM469" s="2">
        <f t="shared" si="66"/>
        <v>0</v>
      </c>
      <c r="AN469" s="2">
        <f t="shared" si="67"/>
        <v>0</v>
      </c>
      <c r="AO469" s="2">
        <f t="shared" si="68"/>
        <v>0</v>
      </c>
      <c r="AP469" s="2">
        <f t="shared" si="69"/>
        <v>0</v>
      </c>
      <c r="AQ469" s="25">
        <f t="shared" si="70"/>
        <v>0</v>
      </c>
    </row>
    <row r="470" spans="1:43">
      <c r="A470" s="24">
        <v>46125</v>
      </c>
      <c r="B470" s="23">
        <f t="shared" si="63"/>
        <v>46113</v>
      </c>
      <c r="C470" s="2" t="s">
        <v>55</v>
      </c>
      <c r="D470" s="2" t="s">
        <v>521</v>
      </c>
      <c r="E470" s="2">
        <v>2590</v>
      </c>
      <c r="F470" s="2">
        <v>450</v>
      </c>
      <c r="G470" s="2">
        <v>431</v>
      </c>
      <c r="H470" s="2">
        <f t="shared" si="71"/>
        <v>19</v>
      </c>
      <c r="I470" s="2">
        <v>9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4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6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/>
      <c r="AJ470" s="2" t="s">
        <v>1566</v>
      </c>
      <c r="AK470" s="2">
        <f t="shared" si="64"/>
        <v>9</v>
      </c>
      <c r="AL470" s="2">
        <f t="shared" si="65"/>
        <v>4</v>
      </c>
      <c r="AM470" s="2">
        <f t="shared" si="66"/>
        <v>6</v>
      </c>
      <c r="AN470" s="2">
        <f t="shared" si="67"/>
        <v>0</v>
      </c>
      <c r="AO470" s="2">
        <f t="shared" si="68"/>
        <v>0</v>
      </c>
      <c r="AP470" s="2">
        <f t="shared" si="69"/>
        <v>0</v>
      </c>
      <c r="AQ470" s="25">
        <f t="shared" si="70"/>
        <v>0</v>
      </c>
    </row>
    <row r="471" spans="1:43">
      <c r="A471" s="24">
        <v>46125</v>
      </c>
      <c r="B471" s="23">
        <f t="shared" si="63"/>
        <v>46113</v>
      </c>
      <c r="C471" s="2" t="s">
        <v>133</v>
      </c>
      <c r="D471" s="2" t="s">
        <v>1504</v>
      </c>
      <c r="E471" s="2">
        <v>2791</v>
      </c>
      <c r="F471" s="2">
        <v>50</v>
      </c>
      <c r="G471" s="2">
        <v>48</v>
      </c>
      <c r="H471" s="2">
        <f t="shared" si="71"/>
        <v>2</v>
      </c>
      <c r="I471" s="2">
        <v>2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/>
      <c r="AJ471" s="2" t="s">
        <v>1566</v>
      </c>
      <c r="AK471" s="2">
        <f t="shared" si="64"/>
        <v>2</v>
      </c>
      <c r="AL471" s="2">
        <f t="shared" si="65"/>
        <v>0</v>
      </c>
      <c r="AM471" s="2">
        <f t="shared" si="66"/>
        <v>0</v>
      </c>
      <c r="AN471" s="2">
        <f t="shared" si="67"/>
        <v>0</v>
      </c>
      <c r="AO471" s="2">
        <f t="shared" si="68"/>
        <v>0</v>
      </c>
      <c r="AP471" s="2">
        <f t="shared" si="69"/>
        <v>0</v>
      </c>
      <c r="AQ471" s="25">
        <f t="shared" si="70"/>
        <v>0</v>
      </c>
    </row>
    <row r="472" spans="1:43">
      <c r="A472" s="24">
        <v>46125</v>
      </c>
      <c r="B472" s="23">
        <f t="shared" si="63"/>
        <v>46113</v>
      </c>
      <c r="C472" s="2" t="s">
        <v>133</v>
      </c>
      <c r="D472" s="2" t="s">
        <v>427</v>
      </c>
      <c r="E472" s="2">
        <v>95154</v>
      </c>
      <c r="F472" s="2">
        <v>488</v>
      </c>
      <c r="G472" s="2">
        <v>472</v>
      </c>
      <c r="H472" s="2">
        <f t="shared" si="71"/>
        <v>16</v>
      </c>
      <c r="I472" s="2">
        <v>14</v>
      </c>
      <c r="J472" s="2">
        <v>0</v>
      </c>
      <c r="K472" s="2">
        <v>0</v>
      </c>
      <c r="L472" s="2">
        <v>1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1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/>
      <c r="AJ472" s="2" t="s">
        <v>1566</v>
      </c>
      <c r="AK472" s="2">
        <f t="shared" si="64"/>
        <v>14</v>
      </c>
      <c r="AL472" s="2">
        <f t="shared" si="65"/>
        <v>2</v>
      </c>
      <c r="AM472" s="2">
        <f t="shared" si="66"/>
        <v>0</v>
      </c>
      <c r="AN472" s="2">
        <f t="shared" si="67"/>
        <v>0</v>
      </c>
      <c r="AO472" s="2">
        <f t="shared" si="68"/>
        <v>0</v>
      </c>
      <c r="AP472" s="2">
        <f t="shared" si="69"/>
        <v>0</v>
      </c>
      <c r="AQ472" s="25">
        <f t="shared" si="70"/>
        <v>0</v>
      </c>
    </row>
    <row r="473" spans="1:43">
      <c r="A473" s="24">
        <v>46125</v>
      </c>
      <c r="B473" s="23">
        <f t="shared" si="63"/>
        <v>46113</v>
      </c>
      <c r="C473" s="2" t="s">
        <v>46</v>
      </c>
      <c r="D473" s="2" t="s">
        <v>558</v>
      </c>
      <c r="E473" s="2">
        <v>2577</v>
      </c>
      <c r="F473" s="2">
        <v>40</v>
      </c>
      <c r="G473" s="2">
        <v>39</v>
      </c>
      <c r="H473" s="2">
        <f t="shared" si="71"/>
        <v>1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1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/>
      <c r="AJ473" s="2" t="s">
        <v>396</v>
      </c>
      <c r="AK473" s="2">
        <f t="shared" si="64"/>
        <v>0</v>
      </c>
      <c r="AL473" s="2">
        <f t="shared" si="65"/>
        <v>0</v>
      </c>
      <c r="AM473" s="2">
        <f t="shared" si="66"/>
        <v>1</v>
      </c>
      <c r="AN473" s="2">
        <f t="shared" si="67"/>
        <v>0</v>
      </c>
      <c r="AO473" s="2">
        <f t="shared" si="68"/>
        <v>0</v>
      </c>
      <c r="AP473" s="2">
        <f t="shared" si="69"/>
        <v>0</v>
      </c>
      <c r="AQ473" s="25">
        <f t="shared" si="70"/>
        <v>0</v>
      </c>
    </row>
    <row r="474" spans="1:43">
      <c r="A474" s="24">
        <v>46127</v>
      </c>
      <c r="B474" s="23">
        <f t="shared" si="63"/>
        <v>46113</v>
      </c>
      <c r="C474" s="2" t="s">
        <v>46</v>
      </c>
      <c r="D474" s="2" t="s">
        <v>462</v>
      </c>
      <c r="E474" s="2">
        <v>2665</v>
      </c>
      <c r="F474" s="2">
        <v>199</v>
      </c>
      <c r="G474" s="2">
        <v>189</v>
      </c>
      <c r="H474" s="2">
        <f t="shared" si="71"/>
        <v>10</v>
      </c>
      <c r="I474" s="2">
        <v>3</v>
      </c>
      <c r="J474" s="2">
        <v>0</v>
      </c>
      <c r="K474" s="2">
        <v>0</v>
      </c>
      <c r="L474" s="2">
        <v>0</v>
      </c>
      <c r="M474" s="2">
        <v>7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/>
      <c r="AJ474" s="2" t="s">
        <v>80</v>
      </c>
      <c r="AK474" s="2">
        <f t="shared" si="64"/>
        <v>3</v>
      </c>
      <c r="AL474" s="2">
        <f t="shared" si="65"/>
        <v>7</v>
      </c>
      <c r="AM474" s="2">
        <f t="shared" si="66"/>
        <v>0</v>
      </c>
      <c r="AN474" s="2">
        <f t="shared" si="67"/>
        <v>0</v>
      </c>
      <c r="AO474" s="2">
        <f t="shared" si="68"/>
        <v>0</v>
      </c>
      <c r="AP474" s="2">
        <f t="shared" si="69"/>
        <v>0</v>
      </c>
      <c r="AQ474" s="25">
        <f t="shared" si="70"/>
        <v>0</v>
      </c>
    </row>
    <row r="475" spans="1:43">
      <c r="A475" s="24">
        <v>46127</v>
      </c>
      <c r="B475" s="23">
        <f t="shared" si="63"/>
        <v>46113</v>
      </c>
      <c r="C475" s="2" t="s">
        <v>160</v>
      </c>
      <c r="D475" s="2" t="s">
        <v>1537</v>
      </c>
      <c r="E475" s="2">
        <v>3318</v>
      </c>
      <c r="F475" s="2">
        <v>44</v>
      </c>
      <c r="G475" s="2">
        <v>42</v>
      </c>
      <c r="H475" s="2">
        <f t="shared" si="71"/>
        <v>2</v>
      </c>
      <c r="I475" s="2">
        <v>2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/>
      <c r="AJ475" s="2" t="s">
        <v>80</v>
      </c>
      <c r="AK475" s="2">
        <f t="shared" si="64"/>
        <v>2</v>
      </c>
      <c r="AL475" s="2">
        <f t="shared" si="65"/>
        <v>0</v>
      </c>
      <c r="AM475" s="2">
        <f t="shared" si="66"/>
        <v>0</v>
      </c>
      <c r="AN475" s="2">
        <f t="shared" si="67"/>
        <v>0</v>
      </c>
      <c r="AO475" s="2">
        <f t="shared" si="68"/>
        <v>0</v>
      </c>
      <c r="AP475" s="2">
        <f t="shared" si="69"/>
        <v>0</v>
      </c>
      <c r="AQ475" s="25">
        <f t="shared" si="70"/>
        <v>0</v>
      </c>
    </row>
    <row r="476" spans="1:43">
      <c r="A476" s="24">
        <v>46127</v>
      </c>
      <c r="B476" s="23">
        <f t="shared" si="63"/>
        <v>46113</v>
      </c>
      <c r="C476" s="2" t="s">
        <v>160</v>
      </c>
      <c r="D476" s="2" t="s">
        <v>1537</v>
      </c>
      <c r="E476" s="2">
        <v>3318</v>
      </c>
      <c r="F476" s="2">
        <v>41</v>
      </c>
      <c r="G476" s="2">
        <v>38</v>
      </c>
      <c r="H476" s="2">
        <f t="shared" si="71"/>
        <v>3</v>
      </c>
      <c r="I476" s="2">
        <v>3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/>
      <c r="AJ476" s="2" t="s">
        <v>80</v>
      </c>
      <c r="AK476" s="2">
        <f t="shared" si="64"/>
        <v>3</v>
      </c>
      <c r="AL476" s="2">
        <f t="shared" si="65"/>
        <v>0</v>
      </c>
      <c r="AM476" s="2">
        <f t="shared" si="66"/>
        <v>0</v>
      </c>
      <c r="AN476" s="2">
        <f t="shared" si="67"/>
        <v>0</v>
      </c>
      <c r="AO476" s="2">
        <f t="shared" si="68"/>
        <v>0</v>
      </c>
      <c r="AP476" s="2">
        <f t="shared" si="69"/>
        <v>0</v>
      </c>
      <c r="AQ476" s="25">
        <f t="shared" si="70"/>
        <v>0</v>
      </c>
    </row>
    <row r="477" spans="1:43">
      <c r="A477" s="24">
        <v>46127</v>
      </c>
      <c r="B477" s="23">
        <f t="shared" si="63"/>
        <v>46113</v>
      </c>
      <c r="C477" s="2" t="s">
        <v>46</v>
      </c>
      <c r="D477" s="2" t="s">
        <v>469</v>
      </c>
      <c r="E477" s="2">
        <v>2606</v>
      </c>
      <c r="F477" s="2">
        <v>300</v>
      </c>
      <c r="G477" s="2">
        <v>298</v>
      </c>
      <c r="H477" s="2">
        <f t="shared" si="71"/>
        <v>2</v>
      </c>
      <c r="I477" s="2">
        <v>2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/>
      <c r="AJ477" s="2" t="s">
        <v>80</v>
      </c>
      <c r="AK477" s="2">
        <f t="shared" si="64"/>
        <v>2</v>
      </c>
      <c r="AL477" s="2">
        <f t="shared" si="65"/>
        <v>0</v>
      </c>
      <c r="AM477" s="2">
        <f t="shared" si="66"/>
        <v>0</v>
      </c>
      <c r="AN477" s="2">
        <f t="shared" si="67"/>
        <v>0</v>
      </c>
      <c r="AO477" s="2">
        <f t="shared" si="68"/>
        <v>0</v>
      </c>
      <c r="AP477" s="2">
        <f t="shared" si="69"/>
        <v>0</v>
      </c>
      <c r="AQ477" s="25">
        <f t="shared" si="70"/>
        <v>0</v>
      </c>
    </row>
    <row r="478" spans="1:43">
      <c r="A478" s="24">
        <v>46127</v>
      </c>
      <c r="B478" s="23">
        <f t="shared" si="63"/>
        <v>46113</v>
      </c>
      <c r="C478" s="2" t="s">
        <v>160</v>
      </c>
      <c r="D478" s="2" t="s">
        <v>1537</v>
      </c>
      <c r="E478" s="2">
        <v>3318</v>
      </c>
      <c r="F478" s="2">
        <v>211</v>
      </c>
      <c r="G478" s="2">
        <v>189</v>
      </c>
      <c r="H478" s="2">
        <f t="shared" si="71"/>
        <v>22</v>
      </c>
      <c r="I478" s="2">
        <v>17</v>
      </c>
      <c r="J478" s="2">
        <v>0</v>
      </c>
      <c r="K478" s="2">
        <v>0</v>
      </c>
      <c r="L478" s="2">
        <v>0</v>
      </c>
      <c r="M478" s="2">
        <v>5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/>
      <c r="AJ478" s="2" t="s">
        <v>80</v>
      </c>
      <c r="AK478" s="2">
        <f t="shared" si="64"/>
        <v>17</v>
      </c>
      <c r="AL478" s="2">
        <f t="shared" si="65"/>
        <v>5</v>
      </c>
      <c r="AM478" s="2">
        <f t="shared" si="66"/>
        <v>0</v>
      </c>
      <c r="AN478" s="2">
        <f t="shared" si="67"/>
        <v>0</v>
      </c>
      <c r="AO478" s="2">
        <f t="shared" si="68"/>
        <v>0</v>
      </c>
      <c r="AP478" s="2">
        <f t="shared" si="69"/>
        <v>0</v>
      </c>
      <c r="AQ478" s="25">
        <f t="shared" si="70"/>
        <v>0</v>
      </c>
    </row>
    <row r="479" spans="1:43">
      <c r="A479" s="24">
        <v>46127</v>
      </c>
      <c r="B479" s="23">
        <f t="shared" si="63"/>
        <v>46113</v>
      </c>
      <c r="C479" s="2" t="s">
        <v>160</v>
      </c>
      <c r="D479" s="2" t="s">
        <v>1537</v>
      </c>
      <c r="E479" s="2">
        <v>3318</v>
      </c>
      <c r="F479" s="2">
        <v>178</v>
      </c>
      <c r="G479" s="2">
        <v>153</v>
      </c>
      <c r="H479" s="2">
        <f t="shared" si="71"/>
        <v>25</v>
      </c>
      <c r="I479" s="2">
        <v>17</v>
      </c>
      <c r="J479" s="2">
        <v>0</v>
      </c>
      <c r="K479" s="2">
        <v>0</v>
      </c>
      <c r="L479" s="2">
        <v>0</v>
      </c>
      <c r="M479" s="2">
        <v>8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/>
      <c r="AJ479" s="2" t="s">
        <v>80</v>
      </c>
      <c r="AK479" s="2">
        <f t="shared" si="64"/>
        <v>17</v>
      </c>
      <c r="AL479" s="2">
        <f t="shared" si="65"/>
        <v>8</v>
      </c>
      <c r="AM479" s="2">
        <f t="shared" si="66"/>
        <v>0</v>
      </c>
      <c r="AN479" s="2">
        <f t="shared" si="67"/>
        <v>0</v>
      </c>
      <c r="AO479" s="2">
        <f t="shared" si="68"/>
        <v>0</v>
      </c>
      <c r="AP479" s="2">
        <f t="shared" si="69"/>
        <v>0</v>
      </c>
      <c r="AQ479" s="25">
        <f t="shared" si="70"/>
        <v>0</v>
      </c>
    </row>
    <row r="480" spans="1:43">
      <c r="A480" s="24">
        <v>46127</v>
      </c>
      <c r="B480" s="23">
        <f t="shared" si="63"/>
        <v>46113</v>
      </c>
      <c r="C480" s="2" t="s">
        <v>55</v>
      </c>
      <c r="D480" s="2" t="s">
        <v>434</v>
      </c>
      <c r="E480" s="2">
        <v>1767</v>
      </c>
      <c r="F480" s="2">
        <v>54</v>
      </c>
      <c r="G480" s="2">
        <v>53</v>
      </c>
      <c r="H480" s="2">
        <f t="shared" si="71"/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1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/>
      <c r="AJ480" s="2" t="s">
        <v>110</v>
      </c>
      <c r="AK480" s="2">
        <f t="shared" si="64"/>
        <v>0</v>
      </c>
      <c r="AL480" s="2">
        <f t="shared" si="65"/>
        <v>0</v>
      </c>
      <c r="AM480" s="2">
        <f t="shared" si="66"/>
        <v>0</v>
      </c>
      <c r="AN480" s="2">
        <f t="shared" si="67"/>
        <v>1</v>
      </c>
      <c r="AO480" s="2">
        <f t="shared" si="68"/>
        <v>0</v>
      </c>
      <c r="AP480" s="2">
        <f t="shared" si="69"/>
        <v>0</v>
      </c>
      <c r="AQ480" s="25">
        <f t="shared" si="70"/>
        <v>0</v>
      </c>
    </row>
    <row r="481" spans="1:43">
      <c r="A481" s="24">
        <v>46127</v>
      </c>
      <c r="B481" s="23">
        <f t="shared" si="63"/>
        <v>46113</v>
      </c>
      <c r="C481" s="2" t="s">
        <v>55</v>
      </c>
      <c r="D481" s="2" t="s">
        <v>539</v>
      </c>
      <c r="E481" s="2">
        <v>2642</v>
      </c>
      <c r="F481" s="2">
        <v>45</v>
      </c>
      <c r="G481" s="2">
        <v>45</v>
      </c>
      <c r="H481" s="2">
        <f t="shared" si="71"/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/>
      <c r="AJ481" s="2" t="s">
        <v>110</v>
      </c>
      <c r="AK481" s="2">
        <f t="shared" si="64"/>
        <v>0</v>
      </c>
      <c r="AL481" s="2">
        <f t="shared" si="65"/>
        <v>0</v>
      </c>
      <c r="AM481" s="2">
        <f t="shared" si="66"/>
        <v>0</v>
      </c>
      <c r="AN481" s="2">
        <f t="shared" si="67"/>
        <v>0</v>
      </c>
      <c r="AO481" s="2">
        <f t="shared" si="68"/>
        <v>0</v>
      </c>
      <c r="AP481" s="2">
        <f t="shared" si="69"/>
        <v>0</v>
      </c>
      <c r="AQ481" s="25">
        <f t="shared" si="70"/>
        <v>0</v>
      </c>
    </row>
    <row r="482" spans="1:43">
      <c r="A482" s="24">
        <v>46127</v>
      </c>
      <c r="B482" s="23">
        <f t="shared" si="63"/>
        <v>46113</v>
      </c>
      <c r="C482" s="2" t="s">
        <v>46</v>
      </c>
      <c r="D482" s="2" t="s">
        <v>510</v>
      </c>
      <c r="E482" s="2">
        <v>2649</v>
      </c>
      <c r="F482" s="2">
        <v>51</v>
      </c>
      <c r="G482" s="2">
        <v>51</v>
      </c>
      <c r="H482" s="2">
        <f t="shared" si="71"/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/>
      <c r="AJ482" s="2" t="s">
        <v>110</v>
      </c>
      <c r="AK482" s="2">
        <f t="shared" si="64"/>
        <v>0</v>
      </c>
      <c r="AL482" s="2">
        <f t="shared" si="65"/>
        <v>0</v>
      </c>
      <c r="AM482" s="2">
        <f t="shared" si="66"/>
        <v>0</v>
      </c>
      <c r="AN482" s="2">
        <f t="shared" si="67"/>
        <v>0</v>
      </c>
      <c r="AO482" s="2">
        <f t="shared" si="68"/>
        <v>0</v>
      </c>
      <c r="AP482" s="2">
        <f t="shared" si="69"/>
        <v>0</v>
      </c>
      <c r="AQ482" s="25">
        <f t="shared" si="70"/>
        <v>0</v>
      </c>
    </row>
    <row r="483" spans="1:43">
      <c r="A483" s="24">
        <v>46127</v>
      </c>
      <c r="B483" s="23">
        <f t="shared" si="63"/>
        <v>46113</v>
      </c>
      <c r="C483" s="2" t="s">
        <v>46</v>
      </c>
      <c r="D483" s="2" t="s">
        <v>510</v>
      </c>
      <c r="E483" s="2">
        <v>2649</v>
      </c>
      <c r="F483" s="2">
        <v>20</v>
      </c>
      <c r="G483" s="2">
        <v>20</v>
      </c>
      <c r="H483" s="2">
        <f t="shared" si="71"/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/>
      <c r="AJ483" s="2" t="s">
        <v>110</v>
      </c>
      <c r="AK483" s="2">
        <f t="shared" si="64"/>
        <v>0</v>
      </c>
      <c r="AL483" s="2">
        <f t="shared" si="65"/>
        <v>0</v>
      </c>
      <c r="AM483" s="2">
        <f t="shared" si="66"/>
        <v>0</v>
      </c>
      <c r="AN483" s="2">
        <f t="shared" si="67"/>
        <v>0</v>
      </c>
      <c r="AO483" s="2">
        <f t="shared" si="68"/>
        <v>0</v>
      </c>
      <c r="AP483" s="2">
        <f t="shared" si="69"/>
        <v>0</v>
      </c>
      <c r="AQ483" s="25">
        <f t="shared" si="70"/>
        <v>0</v>
      </c>
    </row>
    <row r="484" spans="1:43">
      <c r="A484" s="24">
        <v>46127</v>
      </c>
      <c r="B484" s="23">
        <f t="shared" si="63"/>
        <v>46113</v>
      </c>
      <c r="C484" s="2" t="s">
        <v>46</v>
      </c>
      <c r="D484" s="2" t="s">
        <v>527</v>
      </c>
      <c r="E484" s="2">
        <v>2622</v>
      </c>
      <c r="F484" s="2">
        <v>211</v>
      </c>
      <c r="G484" s="2">
        <v>203</v>
      </c>
      <c r="H484" s="2">
        <f t="shared" si="71"/>
        <v>8</v>
      </c>
      <c r="I484" s="2">
        <v>1</v>
      </c>
      <c r="J484" s="2">
        <v>7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/>
      <c r="AJ484" s="2" t="s">
        <v>110</v>
      </c>
      <c r="AK484" s="2">
        <f t="shared" si="64"/>
        <v>1</v>
      </c>
      <c r="AL484" s="2">
        <f t="shared" si="65"/>
        <v>7</v>
      </c>
      <c r="AM484" s="2">
        <f t="shared" si="66"/>
        <v>0</v>
      </c>
      <c r="AN484" s="2">
        <f t="shared" si="67"/>
        <v>0</v>
      </c>
      <c r="AO484" s="2">
        <f t="shared" si="68"/>
        <v>0</v>
      </c>
      <c r="AP484" s="2">
        <f t="shared" si="69"/>
        <v>0</v>
      </c>
      <c r="AQ484" s="25">
        <f t="shared" si="70"/>
        <v>0</v>
      </c>
    </row>
    <row r="485" spans="1:43">
      <c r="A485" s="24">
        <v>46127</v>
      </c>
      <c r="B485" s="23">
        <f t="shared" si="63"/>
        <v>46113</v>
      </c>
      <c r="C485" s="2" t="s">
        <v>46</v>
      </c>
      <c r="D485" s="2" t="s">
        <v>462</v>
      </c>
      <c r="E485" s="2">
        <v>2665</v>
      </c>
      <c r="F485" s="2">
        <v>100</v>
      </c>
      <c r="G485" s="2">
        <v>100</v>
      </c>
      <c r="H485" s="2">
        <f t="shared" si="71"/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/>
      <c r="AJ485" s="2" t="s">
        <v>110</v>
      </c>
      <c r="AK485" s="2">
        <f t="shared" si="64"/>
        <v>0</v>
      </c>
      <c r="AL485" s="2">
        <f t="shared" si="65"/>
        <v>0</v>
      </c>
      <c r="AM485" s="2">
        <f t="shared" si="66"/>
        <v>0</v>
      </c>
      <c r="AN485" s="2">
        <f t="shared" si="67"/>
        <v>0</v>
      </c>
      <c r="AO485" s="2">
        <f t="shared" si="68"/>
        <v>0</v>
      </c>
      <c r="AP485" s="2">
        <f t="shared" si="69"/>
        <v>0</v>
      </c>
      <c r="AQ485" s="25">
        <f t="shared" si="70"/>
        <v>0</v>
      </c>
    </row>
    <row r="486" spans="1:43">
      <c r="A486" s="24">
        <v>46127</v>
      </c>
      <c r="B486" s="23">
        <f t="shared" si="63"/>
        <v>46113</v>
      </c>
      <c r="C486" s="2" t="s">
        <v>46</v>
      </c>
      <c r="D486" s="2" t="s">
        <v>462</v>
      </c>
      <c r="E486" s="2">
        <v>2665</v>
      </c>
      <c r="F486" s="2">
        <v>20</v>
      </c>
      <c r="G486" s="2">
        <v>18</v>
      </c>
      <c r="H486" s="2">
        <f t="shared" si="71"/>
        <v>2</v>
      </c>
      <c r="I486" s="2">
        <v>0</v>
      </c>
      <c r="J486" s="2">
        <v>2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/>
      <c r="AJ486" s="2" t="s">
        <v>110</v>
      </c>
      <c r="AK486" s="2">
        <f t="shared" si="64"/>
        <v>0</v>
      </c>
      <c r="AL486" s="2">
        <f t="shared" si="65"/>
        <v>2</v>
      </c>
      <c r="AM486" s="2">
        <f t="shared" si="66"/>
        <v>0</v>
      </c>
      <c r="AN486" s="2">
        <f t="shared" si="67"/>
        <v>0</v>
      </c>
      <c r="AO486" s="2">
        <f t="shared" si="68"/>
        <v>0</v>
      </c>
      <c r="AP486" s="2">
        <f t="shared" si="69"/>
        <v>0</v>
      </c>
      <c r="AQ486" s="25">
        <f t="shared" si="70"/>
        <v>0</v>
      </c>
    </row>
    <row r="487" spans="1:43">
      <c r="A487" s="24">
        <v>46127</v>
      </c>
      <c r="B487" s="23">
        <f t="shared" si="63"/>
        <v>46113</v>
      </c>
      <c r="C487" s="2" t="s">
        <v>97</v>
      </c>
      <c r="D487" s="2" t="s">
        <v>537</v>
      </c>
      <c r="E487" s="2">
        <v>1849</v>
      </c>
      <c r="F487" s="2">
        <v>52</v>
      </c>
      <c r="G487" s="2">
        <v>52</v>
      </c>
      <c r="H487" s="2">
        <f t="shared" si="71"/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/>
      <c r="AJ487" s="2" t="s">
        <v>110</v>
      </c>
      <c r="AK487" s="2">
        <f t="shared" si="64"/>
        <v>0</v>
      </c>
      <c r="AL487" s="2">
        <f t="shared" si="65"/>
        <v>0</v>
      </c>
      <c r="AM487" s="2">
        <f t="shared" si="66"/>
        <v>0</v>
      </c>
      <c r="AN487" s="2">
        <f t="shared" si="67"/>
        <v>0</v>
      </c>
      <c r="AO487" s="2">
        <f t="shared" si="68"/>
        <v>0</v>
      </c>
      <c r="AP487" s="2">
        <f t="shared" si="69"/>
        <v>0</v>
      </c>
      <c r="AQ487" s="25">
        <f t="shared" si="70"/>
        <v>0</v>
      </c>
    </row>
    <row r="488" spans="1:43">
      <c r="A488" s="24">
        <v>46127</v>
      </c>
      <c r="B488" s="23">
        <f t="shared" si="63"/>
        <v>46113</v>
      </c>
      <c r="C488" s="2" t="s">
        <v>66</v>
      </c>
      <c r="D488" s="2" t="s">
        <v>434</v>
      </c>
      <c r="E488" s="2">
        <v>1767</v>
      </c>
      <c r="F488" s="2">
        <v>19</v>
      </c>
      <c r="G488" s="2">
        <v>19</v>
      </c>
      <c r="H488" s="2">
        <f t="shared" si="71"/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/>
      <c r="AJ488" s="2" t="s">
        <v>110</v>
      </c>
      <c r="AK488" s="2">
        <f t="shared" si="64"/>
        <v>0</v>
      </c>
      <c r="AL488" s="2">
        <f t="shared" si="65"/>
        <v>0</v>
      </c>
      <c r="AM488" s="2">
        <f t="shared" si="66"/>
        <v>0</v>
      </c>
      <c r="AN488" s="2">
        <f t="shared" si="67"/>
        <v>0</v>
      </c>
      <c r="AO488" s="2">
        <f t="shared" si="68"/>
        <v>0</v>
      </c>
      <c r="AP488" s="2">
        <f t="shared" si="69"/>
        <v>0</v>
      </c>
      <c r="AQ488" s="25">
        <f t="shared" si="70"/>
        <v>0</v>
      </c>
    </row>
    <row r="489" spans="1:43">
      <c r="A489" s="24">
        <v>46127</v>
      </c>
      <c r="B489" s="23">
        <f t="shared" si="63"/>
        <v>46113</v>
      </c>
      <c r="C489" s="2" t="s">
        <v>97</v>
      </c>
      <c r="D489" s="2" t="s">
        <v>452</v>
      </c>
      <c r="E489" s="2">
        <v>1805</v>
      </c>
      <c r="F489" s="2">
        <v>292</v>
      </c>
      <c r="G489" s="2">
        <v>285</v>
      </c>
      <c r="H489" s="2">
        <f t="shared" si="71"/>
        <v>7</v>
      </c>
      <c r="I489" s="2">
        <v>5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2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/>
      <c r="AJ489" s="2" t="s">
        <v>110</v>
      </c>
      <c r="AK489" s="2">
        <f t="shared" si="64"/>
        <v>5</v>
      </c>
      <c r="AL489" s="2">
        <f t="shared" si="65"/>
        <v>2</v>
      </c>
      <c r="AM489" s="2">
        <f t="shared" si="66"/>
        <v>0</v>
      </c>
      <c r="AN489" s="2">
        <f t="shared" si="67"/>
        <v>0</v>
      </c>
      <c r="AO489" s="2">
        <f t="shared" si="68"/>
        <v>0</v>
      </c>
      <c r="AP489" s="2">
        <f t="shared" si="69"/>
        <v>0</v>
      </c>
      <c r="AQ489" s="25">
        <f t="shared" si="70"/>
        <v>0</v>
      </c>
    </row>
    <row r="490" spans="1:43">
      <c r="A490" s="24">
        <v>46127</v>
      </c>
      <c r="B490" s="23">
        <f t="shared" si="63"/>
        <v>46113</v>
      </c>
      <c r="C490" s="2" t="s">
        <v>97</v>
      </c>
      <c r="D490" s="2" t="s">
        <v>452</v>
      </c>
      <c r="E490" s="2">
        <v>1805</v>
      </c>
      <c r="F490" s="2">
        <v>47</v>
      </c>
      <c r="G490" s="2">
        <v>45</v>
      </c>
      <c r="H490" s="2">
        <f t="shared" si="71"/>
        <v>2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1</v>
      </c>
      <c r="Y490" s="2">
        <v>0</v>
      </c>
      <c r="Z490" s="2">
        <v>1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/>
      <c r="AJ490" s="2" t="s">
        <v>110</v>
      </c>
      <c r="AK490" s="2">
        <f t="shared" si="64"/>
        <v>0</v>
      </c>
      <c r="AL490" s="2">
        <f t="shared" si="65"/>
        <v>0</v>
      </c>
      <c r="AM490" s="2">
        <f t="shared" si="66"/>
        <v>0</v>
      </c>
      <c r="AN490" s="2">
        <f t="shared" si="67"/>
        <v>1</v>
      </c>
      <c r="AO490" s="2">
        <f t="shared" si="68"/>
        <v>1</v>
      </c>
      <c r="AP490" s="2">
        <f t="shared" si="69"/>
        <v>0</v>
      </c>
      <c r="AQ490" s="25">
        <f t="shared" si="70"/>
        <v>0</v>
      </c>
    </row>
    <row r="491" spans="1:43">
      <c r="A491" s="24">
        <v>46127</v>
      </c>
      <c r="B491" s="23">
        <f t="shared" si="63"/>
        <v>46113</v>
      </c>
      <c r="C491" s="2" t="s">
        <v>97</v>
      </c>
      <c r="D491" s="2" t="s">
        <v>506</v>
      </c>
      <c r="E491" s="2">
        <v>1805</v>
      </c>
      <c r="F491" s="2">
        <v>40</v>
      </c>
      <c r="G491" s="2">
        <v>40</v>
      </c>
      <c r="H491" s="2">
        <f t="shared" si="71"/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/>
      <c r="AJ491" s="2" t="s">
        <v>110</v>
      </c>
      <c r="AK491" s="2">
        <f t="shared" si="64"/>
        <v>0</v>
      </c>
      <c r="AL491" s="2">
        <f t="shared" si="65"/>
        <v>0</v>
      </c>
      <c r="AM491" s="2">
        <f t="shared" si="66"/>
        <v>0</v>
      </c>
      <c r="AN491" s="2">
        <f t="shared" si="67"/>
        <v>0</v>
      </c>
      <c r="AO491" s="2">
        <f t="shared" si="68"/>
        <v>0</v>
      </c>
      <c r="AP491" s="2">
        <f t="shared" si="69"/>
        <v>0</v>
      </c>
      <c r="AQ491" s="25">
        <f t="shared" si="70"/>
        <v>0</v>
      </c>
    </row>
    <row r="492" spans="1:43">
      <c r="A492" s="24">
        <v>46127</v>
      </c>
      <c r="B492" s="23">
        <f t="shared" si="63"/>
        <v>46113</v>
      </c>
      <c r="C492" s="2" t="s">
        <v>55</v>
      </c>
      <c r="D492" s="2" t="s">
        <v>520</v>
      </c>
      <c r="E492" s="2">
        <v>2569</v>
      </c>
      <c r="F492" s="2">
        <v>29</v>
      </c>
      <c r="G492" s="2">
        <v>29</v>
      </c>
      <c r="H492" s="2">
        <f t="shared" si="71"/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/>
      <c r="AJ492" s="2" t="s">
        <v>1566</v>
      </c>
      <c r="AK492" s="2">
        <f t="shared" si="64"/>
        <v>0</v>
      </c>
      <c r="AL492" s="2">
        <f t="shared" si="65"/>
        <v>0</v>
      </c>
      <c r="AM492" s="2">
        <f t="shared" si="66"/>
        <v>0</v>
      </c>
      <c r="AN492" s="2">
        <f t="shared" si="67"/>
        <v>0</v>
      </c>
      <c r="AO492" s="2">
        <f t="shared" si="68"/>
        <v>0</v>
      </c>
      <c r="AP492" s="2">
        <f t="shared" si="69"/>
        <v>0</v>
      </c>
      <c r="AQ492" s="25">
        <f t="shared" si="70"/>
        <v>0</v>
      </c>
    </row>
    <row r="493" spans="1:43">
      <c r="A493" s="24">
        <v>46127</v>
      </c>
      <c r="B493" s="23">
        <f t="shared" si="63"/>
        <v>46113</v>
      </c>
      <c r="C493" s="2" t="s">
        <v>133</v>
      </c>
      <c r="D493" s="2" t="s">
        <v>427</v>
      </c>
      <c r="E493" s="2">
        <v>95154</v>
      </c>
      <c r="F493" s="2">
        <v>151</v>
      </c>
      <c r="G493" s="2">
        <v>141</v>
      </c>
      <c r="H493" s="2">
        <f t="shared" si="71"/>
        <v>10</v>
      </c>
      <c r="I493" s="2">
        <v>10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/>
      <c r="AJ493" s="2" t="s">
        <v>1566</v>
      </c>
      <c r="AK493" s="2">
        <f t="shared" si="64"/>
        <v>10</v>
      </c>
      <c r="AL493" s="2">
        <f t="shared" si="65"/>
        <v>0</v>
      </c>
      <c r="AM493" s="2">
        <f t="shared" si="66"/>
        <v>0</v>
      </c>
      <c r="AN493" s="2">
        <f t="shared" si="67"/>
        <v>0</v>
      </c>
      <c r="AO493" s="2">
        <f t="shared" si="68"/>
        <v>0</v>
      </c>
      <c r="AP493" s="2">
        <f t="shared" si="69"/>
        <v>0</v>
      </c>
      <c r="AQ493" s="25">
        <f t="shared" si="70"/>
        <v>0</v>
      </c>
    </row>
    <row r="494" spans="1:43">
      <c r="A494" s="24">
        <v>46127</v>
      </c>
      <c r="B494" s="23">
        <f t="shared" si="63"/>
        <v>46113</v>
      </c>
      <c r="C494" s="2" t="s">
        <v>133</v>
      </c>
      <c r="D494" s="2" t="s">
        <v>1194</v>
      </c>
      <c r="E494" s="2">
        <v>10026</v>
      </c>
      <c r="F494" s="2">
        <v>13</v>
      </c>
      <c r="G494" s="2">
        <v>9</v>
      </c>
      <c r="H494" s="2">
        <f t="shared" si="71"/>
        <v>4</v>
      </c>
      <c r="I494" s="2">
        <v>0</v>
      </c>
      <c r="J494" s="2">
        <v>4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/>
      <c r="AJ494" s="2" t="s">
        <v>1566</v>
      </c>
      <c r="AK494" s="2">
        <f t="shared" si="64"/>
        <v>0</v>
      </c>
      <c r="AL494" s="2">
        <f t="shared" si="65"/>
        <v>4</v>
      </c>
      <c r="AM494" s="2">
        <f t="shared" si="66"/>
        <v>0</v>
      </c>
      <c r="AN494" s="2">
        <f t="shared" si="67"/>
        <v>0</v>
      </c>
      <c r="AO494" s="2">
        <f t="shared" si="68"/>
        <v>0</v>
      </c>
      <c r="AP494" s="2">
        <f t="shared" si="69"/>
        <v>0</v>
      </c>
      <c r="AQ494" s="25">
        <f t="shared" si="70"/>
        <v>0</v>
      </c>
    </row>
    <row r="495" spans="1:43">
      <c r="A495" s="24">
        <v>46127</v>
      </c>
      <c r="B495" s="23">
        <f t="shared" si="63"/>
        <v>46113</v>
      </c>
      <c r="C495" s="2" t="s">
        <v>1484</v>
      </c>
      <c r="D495" s="2" t="s">
        <v>482</v>
      </c>
      <c r="E495" s="2">
        <v>2670</v>
      </c>
      <c r="F495" s="2">
        <v>56</v>
      </c>
      <c r="G495" s="2">
        <v>49</v>
      </c>
      <c r="H495" s="2">
        <f t="shared" si="71"/>
        <v>7</v>
      </c>
      <c r="I495" s="2">
        <v>0</v>
      </c>
      <c r="J495" s="2">
        <v>7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/>
      <c r="AJ495" s="2" t="s">
        <v>1566</v>
      </c>
      <c r="AK495" s="2">
        <f t="shared" si="64"/>
        <v>0</v>
      </c>
      <c r="AL495" s="2">
        <f t="shared" si="65"/>
        <v>7</v>
      </c>
      <c r="AM495" s="2">
        <f t="shared" si="66"/>
        <v>0</v>
      </c>
      <c r="AN495" s="2">
        <f t="shared" si="67"/>
        <v>0</v>
      </c>
      <c r="AO495" s="2">
        <f t="shared" si="68"/>
        <v>0</v>
      </c>
      <c r="AP495" s="2">
        <f t="shared" si="69"/>
        <v>0</v>
      </c>
      <c r="AQ495" s="25">
        <f t="shared" si="70"/>
        <v>0</v>
      </c>
    </row>
    <row r="496" spans="1:43">
      <c r="A496" s="24">
        <v>46127</v>
      </c>
      <c r="B496" s="23">
        <f t="shared" si="63"/>
        <v>46113</v>
      </c>
      <c r="C496" s="2" t="s">
        <v>1484</v>
      </c>
      <c r="D496" s="2" t="s">
        <v>468</v>
      </c>
      <c r="E496" s="2">
        <v>2670</v>
      </c>
      <c r="F496" s="2">
        <v>184</v>
      </c>
      <c r="G496" s="2">
        <v>180</v>
      </c>
      <c r="H496" s="2">
        <f t="shared" si="71"/>
        <v>4</v>
      </c>
      <c r="I496" s="2">
        <v>2</v>
      </c>
      <c r="J496" s="2">
        <v>1</v>
      </c>
      <c r="K496" s="2">
        <v>0</v>
      </c>
      <c r="L496" s="2">
        <v>0</v>
      </c>
      <c r="M496" s="2">
        <v>1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/>
      <c r="AJ496" s="2" t="s">
        <v>1566</v>
      </c>
      <c r="AK496" s="2">
        <f t="shared" si="64"/>
        <v>2</v>
      </c>
      <c r="AL496" s="2">
        <f t="shared" si="65"/>
        <v>2</v>
      </c>
      <c r="AM496" s="2">
        <f t="shared" si="66"/>
        <v>0</v>
      </c>
      <c r="AN496" s="2">
        <f t="shared" si="67"/>
        <v>0</v>
      </c>
      <c r="AO496" s="2">
        <f t="shared" si="68"/>
        <v>0</v>
      </c>
      <c r="AP496" s="2">
        <f t="shared" si="69"/>
        <v>0</v>
      </c>
      <c r="AQ496" s="25">
        <f t="shared" si="70"/>
        <v>0</v>
      </c>
    </row>
    <row r="497" spans="1:43">
      <c r="A497" s="24">
        <v>46127</v>
      </c>
      <c r="B497" s="23">
        <f t="shared" si="63"/>
        <v>46113</v>
      </c>
      <c r="C497" s="2" t="s">
        <v>114</v>
      </c>
      <c r="D497" s="2" t="s">
        <v>547</v>
      </c>
      <c r="E497" s="2">
        <v>311</v>
      </c>
      <c r="F497" s="2">
        <v>105</v>
      </c>
      <c r="G497" s="2">
        <v>95</v>
      </c>
      <c r="H497" s="2">
        <f t="shared" si="71"/>
        <v>10</v>
      </c>
      <c r="I497" s="2">
        <v>0</v>
      </c>
      <c r="J497" s="2">
        <v>0</v>
      </c>
      <c r="K497" s="2">
        <v>0</v>
      </c>
      <c r="L497" s="2">
        <v>0</v>
      </c>
      <c r="M497" s="2">
        <v>10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/>
      <c r="AJ497" s="2" t="s">
        <v>103</v>
      </c>
      <c r="AK497" s="2">
        <f t="shared" si="64"/>
        <v>0</v>
      </c>
      <c r="AL497" s="2">
        <f t="shared" si="65"/>
        <v>10</v>
      </c>
      <c r="AM497" s="2">
        <f t="shared" si="66"/>
        <v>0</v>
      </c>
      <c r="AN497" s="2">
        <f t="shared" si="67"/>
        <v>0</v>
      </c>
      <c r="AO497" s="2">
        <f t="shared" si="68"/>
        <v>0</v>
      </c>
      <c r="AP497" s="2">
        <f t="shared" si="69"/>
        <v>0</v>
      </c>
      <c r="AQ497" s="25">
        <f t="shared" si="70"/>
        <v>0</v>
      </c>
    </row>
    <row r="498" spans="1:43">
      <c r="A498" s="24">
        <v>46127</v>
      </c>
      <c r="B498" s="23">
        <f t="shared" si="63"/>
        <v>46113</v>
      </c>
      <c r="C498" s="2" t="s">
        <v>114</v>
      </c>
      <c r="D498" s="2" t="s">
        <v>547</v>
      </c>
      <c r="E498" s="2">
        <v>311</v>
      </c>
      <c r="F498" s="2">
        <v>160</v>
      </c>
      <c r="G498" s="2">
        <v>128</v>
      </c>
      <c r="H498" s="2">
        <f t="shared" si="71"/>
        <v>32</v>
      </c>
      <c r="I498" s="2">
        <v>1</v>
      </c>
      <c r="J498" s="2">
        <v>0</v>
      </c>
      <c r="K498" s="2">
        <v>0</v>
      </c>
      <c r="L498" s="2">
        <v>0</v>
      </c>
      <c r="M498" s="2">
        <v>25</v>
      </c>
      <c r="N498" s="2">
        <v>6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/>
      <c r="AJ498" s="2" t="s">
        <v>103</v>
      </c>
      <c r="AK498" s="2">
        <f t="shared" si="64"/>
        <v>1</v>
      </c>
      <c r="AL498" s="2">
        <f t="shared" si="65"/>
        <v>31</v>
      </c>
      <c r="AM498" s="2">
        <f t="shared" si="66"/>
        <v>0</v>
      </c>
      <c r="AN498" s="2">
        <f t="shared" si="67"/>
        <v>0</v>
      </c>
      <c r="AO498" s="2">
        <f t="shared" si="68"/>
        <v>0</v>
      </c>
      <c r="AP498" s="2">
        <f t="shared" si="69"/>
        <v>0</v>
      </c>
      <c r="AQ498" s="25">
        <f t="shared" si="70"/>
        <v>0</v>
      </c>
    </row>
    <row r="499" spans="1:43">
      <c r="A499" s="24">
        <v>46127</v>
      </c>
      <c r="B499" s="23">
        <f t="shared" si="63"/>
        <v>46113</v>
      </c>
      <c r="C499" s="2" t="s">
        <v>72</v>
      </c>
      <c r="D499" s="2" t="s">
        <v>571</v>
      </c>
      <c r="E499" s="2">
        <v>2576</v>
      </c>
      <c r="F499" s="2">
        <v>55</v>
      </c>
      <c r="G499" s="2">
        <v>55</v>
      </c>
      <c r="H499" s="2">
        <f t="shared" si="71"/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/>
      <c r="AJ499" s="2" t="s">
        <v>103</v>
      </c>
      <c r="AK499" s="2">
        <f t="shared" si="64"/>
        <v>0</v>
      </c>
      <c r="AL499" s="2">
        <f t="shared" si="65"/>
        <v>0</v>
      </c>
      <c r="AM499" s="2">
        <f t="shared" si="66"/>
        <v>0</v>
      </c>
      <c r="AN499" s="2">
        <f t="shared" si="67"/>
        <v>0</v>
      </c>
      <c r="AO499" s="2">
        <f t="shared" si="68"/>
        <v>0</v>
      </c>
      <c r="AP499" s="2">
        <f t="shared" si="69"/>
        <v>0</v>
      </c>
      <c r="AQ499" s="25">
        <f t="shared" si="70"/>
        <v>0</v>
      </c>
    </row>
    <row r="500" spans="1:43">
      <c r="A500" s="24">
        <v>46127</v>
      </c>
      <c r="B500" s="23">
        <f t="shared" si="63"/>
        <v>46113</v>
      </c>
      <c r="C500" s="2" t="s">
        <v>72</v>
      </c>
      <c r="D500" s="2" t="s">
        <v>562</v>
      </c>
      <c r="E500" s="2">
        <v>2648</v>
      </c>
      <c r="F500" s="2">
        <v>26</v>
      </c>
      <c r="G500" s="2">
        <v>24</v>
      </c>
      <c r="H500" s="2">
        <f t="shared" si="71"/>
        <v>2</v>
      </c>
      <c r="I500" s="2">
        <v>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1</v>
      </c>
      <c r="AI500" s="2"/>
      <c r="AJ500" s="2" t="s">
        <v>103</v>
      </c>
      <c r="AK500" s="2">
        <f t="shared" si="64"/>
        <v>1</v>
      </c>
      <c r="AL500" s="2">
        <f t="shared" si="65"/>
        <v>0</v>
      </c>
      <c r="AM500" s="2">
        <f t="shared" si="66"/>
        <v>0</v>
      </c>
      <c r="AN500" s="2">
        <f t="shared" si="67"/>
        <v>1</v>
      </c>
      <c r="AO500" s="2">
        <f t="shared" si="68"/>
        <v>0</v>
      </c>
      <c r="AP500" s="2">
        <f t="shared" si="69"/>
        <v>0</v>
      </c>
      <c r="AQ500" s="25">
        <f t="shared" si="70"/>
        <v>0</v>
      </c>
    </row>
    <row r="501" spans="1:43">
      <c r="A501" s="24">
        <v>46127</v>
      </c>
      <c r="B501" s="23">
        <f t="shared" si="63"/>
        <v>46113</v>
      </c>
      <c r="C501" s="2" t="s">
        <v>95</v>
      </c>
      <c r="D501" s="2" t="s">
        <v>475</v>
      </c>
      <c r="E501" s="2">
        <v>2727</v>
      </c>
      <c r="F501" s="2">
        <v>240</v>
      </c>
      <c r="G501" s="2">
        <v>240</v>
      </c>
      <c r="H501" s="2">
        <f t="shared" si="71"/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/>
      <c r="AJ501" s="2" t="s">
        <v>103</v>
      </c>
      <c r="AK501" s="2">
        <f t="shared" si="64"/>
        <v>0</v>
      </c>
      <c r="AL501" s="2">
        <f t="shared" si="65"/>
        <v>0</v>
      </c>
      <c r="AM501" s="2">
        <f t="shared" si="66"/>
        <v>0</v>
      </c>
      <c r="AN501" s="2">
        <f t="shared" si="67"/>
        <v>0</v>
      </c>
      <c r="AO501" s="2">
        <f t="shared" si="68"/>
        <v>0</v>
      </c>
      <c r="AP501" s="2">
        <f t="shared" si="69"/>
        <v>0</v>
      </c>
      <c r="AQ501" s="25">
        <f t="shared" si="70"/>
        <v>0</v>
      </c>
    </row>
    <row r="502" spans="1:43">
      <c r="A502" s="24">
        <v>46127</v>
      </c>
      <c r="B502" s="23">
        <f t="shared" si="63"/>
        <v>46113</v>
      </c>
      <c r="C502" s="2" t="s">
        <v>62</v>
      </c>
      <c r="D502" s="2" t="s">
        <v>453</v>
      </c>
      <c r="E502" s="2">
        <v>2370</v>
      </c>
      <c r="F502" s="2">
        <v>51</v>
      </c>
      <c r="G502" s="2">
        <v>51</v>
      </c>
      <c r="H502" s="2">
        <f t="shared" si="71"/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/>
      <c r="AJ502" s="2" t="s">
        <v>1568</v>
      </c>
      <c r="AK502" s="2">
        <f t="shared" si="64"/>
        <v>0</v>
      </c>
      <c r="AL502" s="2">
        <f t="shared" si="65"/>
        <v>0</v>
      </c>
      <c r="AM502" s="2">
        <f t="shared" si="66"/>
        <v>0</v>
      </c>
      <c r="AN502" s="2">
        <f t="shared" si="67"/>
        <v>0</v>
      </c>
      <c r="AO502" s="2">
        <f t="shared" si="68"/>
        <v>0</v>
      </c>
      <c r="AP502" s="2">
        <f t="shared" si="69"/>
        <v>0</v>
      </c>
      <c r="AQ502" s="25">
        <f t="shared" si="70"/>
        <v>0</v>
      </c>
    </row>
    <row r="503" spans="1:43">
      <c r="A503" s="24">
        <v>46127</v>
      </c>
      <c r="B503" s="23">
        <f t="shared" si="63"/>
        <v>46113</v>
      </c>
      <c r="C503" s="2" t="s">
        <v>62</v>
      </c>
      <c r="D503" s="2" t="s">
        <v>472</v>
      </c>
      <c r="E503" s="2">
        <v>1824</v>
      </c>
      <c r="F503" s="2">
        <v>53</v>
      </c>
      <c r="G503" s="2">
        <v>48</v>
      </c>
      <c r="H503" s="2">
        <f t="shared" si="71"/>
        <v>5</v>
      </c>
      <c r="I503" s="2">
        <v>5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/>
      <c r="AJ503" s="2" t="s">
        <v>1568</v>
      </c>
      <c r="AK503" s="2">
        <f t="shared" si="64"/>
        <v>5</v>
      </c>
      <c r="AL503" s="2">
        <f t="shared" si="65"/>
        <v>0</v>
      </c>
      <c r="AM503" s="2">
        <f t="shared" si="66"/>
        <v>0</v>
      </c>
      <c r="AN503" s="2">
        <f t="shared" si="67"/>
        <v>0</v>
      </c>
      <c r="AO503" s="2">
        <f t="shared" si="68"/>
        <v>0</v>
      </c>
      <c r="AP503" s="2">
        <f t="shared" si="69"/>
        <v>0</v>
      </c>
      <c r="AQ503" s="25">
        <f t="shared" si="70"/>
        <v>0</v>
      </c>
    </row>
    <row r="504" spans="1:43">
      <c r="A504" s="24">
        <v>46127</v>
      </c>
      <c r="B504" s="23">
        <f t="shared" si="63"/>
        <v>46113</v>
      </c>
      <c r="C504" s="2" t="s">
        <v>63</v>
      </c>
      <c r="D504" s="2" t="s">
        <v>495</v>
      </c>
      <c r="E504" s="2">
        <v>2480</v>
      </c>
      <c r="F504" s="2">
        <v>184</v>
      </c>
      <c r="G504" s="2">
        <v>184</v>
      </c>
      <c r="H504" s="2">
        <f t="shared" si="71"/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/>
      <c r="AJ504" s="2" t="s">
        <v>1568</v>
      </c>
      <c r="AK504" s="2">
        <f t="shared" si="64"/>
        <v>0</v>
      </c>
      <c r="AL504" s="2">
        <f t="shared" si="65"/>
        <v>0</v>
      </c>
      <c r="AM504" s="2">
        <f t="shared" si="66"/>
        <v>0</v>
      </c>
      <c r="AN504" s="2">
        <f t="shared" si="67"/>
        <v>0</v>
      </c>
      <c r="AO504" s="2">
        <f t="shared" si="68"/>
        <v>0</v>
      </c>
      <c r="AP504" s="2">
        <f t="shared" si="69"/>
        <v>0</v>
      </c>
      <c r="AQ504" s="25">
        <f t="shared" si="70"/>
        <v>0</v>
      </c>
    </row>
    <row r="505" spans="1:43">
      <c r="A505" s="24">
        <v>46127</v>
      </c>
      <c r="B505" s="23">
        <f t="shared" si="63"/>
        <v>46113</v>
      </c>
      <c r="C505" s="2" t="s">
        <v>63</v>
      </c>
      <c r="D505" s="2" t="s">
        <v>495</v>
      </c>
      <c r="E505" s="2">
        <v>2480</v>
      </c>
      <c r="F505" s="2">
        <v>63</v>
      </c>
      <c r="G505" s="2">
        <v>63</v>
      </c>
      <c r="H505" s="2">
        <f t="shared" si="71"/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/>
      <c r="AJ505" s="2" t="s">
        <v>1568</v>
      </c>
      <c r="AK505" s="2">
        <f t="shared" si="64"/>
        <v>0</v>
      </c>
      <c r="AL505" s="2">
        <f t="shared" si="65"/>
        <v>0</v>
      </c>
      <c r="AM505" s="2">
        <f t="shared" si="66"/>
        <v>0</v>
      </c>
      <c r="AN505" s="2">
        <f t="shared" si="67"/>
        <v>0</v>
      </c>
      <c r="AO505" s="2">
        <f t="shared" si="68"/>
        <v>0</v>
      </c>
      <c r="AP505" s="2">
        <f t="shared" si="69"/>
        <v>0</v>
      </c>
      <c r="AQ505" s="25">
        <f t="shared" si="70"/>
        <v>0</v>
      </c>
    </row>
    <row r="506" spans="1:43">
      <c r="A506" s="24">
        <v>46127</v>
      </c>
      <c r="B506" s="23">
        <f t="shared" si="63"/>
        <v>46113</v>
      </c>
      <c r="C506" s="2" t="s">
        <v>63</v>
      </c>
      <c r="D506" s="2" t="s">
        <v>477</v>
      </c>
      <c r="E506" s="2">
        <v>1627</v>
      </c>
      <c r="F506" s="2">
        <v>119</v>
      </c>
      <c r="G506" s="2">
        <v>110</v>
      </c>
      <c r="H506" s="2">
        <f t="shared" si="71"/>
        <v>9</v>
      </c>
      <c r="I506" s="2">
        <v>7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2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/>
      <c r="AJ506" s="2" t="s">
        <v>1568</v>
      </c>
      <c r="AK506" s="2">
        <f t="shared" si="64"/>
        <v>7</v>
      </c>
      <c r="AL506" s="2">
        <f t="shared" si="65"/>
        <v>2</v>
      </c>
      <c r="AM506" s="2">
        <f t="shared" si="66"/>
        <v>0</v>
      </c>
      <c r="AN506" s="2">
        <f t="shared" si="67"/>
        <v>0</v>
      </c>
      <c r="AO506" s="2">
        <f t="shared" si="68"/>
        <v>0</v>
      </c>
      <c r="AP506" s="2">
        <f t="shared" si="69"/>
        <v>0</v>
      </c>
      <c r="AQ506" s="25">
        <f t="shared" si="70"/>
        <v>0</v>
      </c>
    </row>
    <row r="507" spans="1:43">
      <c r="A507" s="24">
        <v>46127</v>
      </c>
      <c r="B507" s="23">
        <f t="shared" si="63"/>
        <v>46113</v>
      </c>
      <c r="C507" s="2" t="s">
        <v>62</v>
      </c>
      <c r="D507" s="2" t="s">
        <v>450</v>
      </c>
      <c r="E507" s="2">
        <v>1823</v>
      </c>
      <c r="F507" s="2">
        <v>63</v>
      </c>
      <c r="G507" s="2">
        <v>60</v>
      </c>
      <c r="H507" s="2">
        <f t="shared" si="71"/>
        <v>3</v>
      </c>
      <c r="I507" s="2">
        <v>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/>
      <c r="AJ507" s="2" t="s">
        <v>1568</v>
      </c>
      <c r="AK507" s="2">
        <f t="shared" si="64"/>
        <v>3</v>
      </c>
      <c r="AL507" s="2">
        <f t="shared" si="65"/>
        <v>0</v>
      </c>
      <c r="AM507" s="2">
        <f t="shared" si="66"/>
        <v>0</v>
      </c>
      <c r="AN507" s="2">
        <f t="shared" si="67"/>
        <v>0</v>
      </c>
      <c r="AO507" s="2">
        <f t="shared" si="68"/>
        <v>0</v>
      </c>
      <c r="AP507" s="2">
        <f t="shared" si="69"/>
        <v>0</v>
      </c>
      <c r="AQ507" s="25">
        <f t="shared" si="70"/>
        <v>0</v>
      </c>
    </row>
    <row r="508" spans="1:43">
      <c r="A508" s="24">
        <v>46127</v>
      </c>
      <c r="B508" s="23">
        <f t="shared" si="63"/>
        <v>46113</v>
      </c>
      <c r="C508" s="2" t="s">
        <v>63</v>
      </c>
      <c r="D508" s="2" t="s">
        <v>1384</v>
      </c>
      <c r="E508" s="2">
        <v>2480</v>
      </c>
      <c r="F508" s="2">
        <v>51</v>
      </c>
      <c r="G508" s="2">
        <v>47</v>
      </c>
      <c r="H508" s="2">
        <f t="shared" si="71"/>
        <v>4</v>
      </c>
      <c r="I508" s="2">
        <v>4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/>
      <c r="AJ508" s="2" t="s">
        <v>1568</v>
      </c>
      <c r="AK508" s="2">
        <f t="shared" si="64"/>
        <v>4</v>
      </c>
      <c r="AL508" s="2">
        <f t="shared" si="65"/>
        <v>0</v>
      </c>
      <c r="AM508" s="2">
        <f t="shared" si="66"/>
        <v>0</v>
      </c>
      <c r="AN508" s="2">
        <f t="shared" si="67"/>
        <v>0</v>
      </c>
      <c r="AO508" s="2">
        <f t="shared" si="68"/>
        <v>0</v>
      </c>
      <c r="AP508" s="2">
        <f t="shared" si="69"/>
        <v>0</v>
      </c>
      <c r="AQ508" s="25">
        <f t="shared" si="70"/>
        <v>0</v>
      </c>
    </row>
    <row r="509" spans="1:43">
      <c r="A509" s="24">
        <v>46127</v>
      </c>
      <c r="B509" s="23">
        <f t="shared" si="63"/>
        <v>46113</v>
      </c>
      <c r="C509" s="2" t="s">
        <v>63</v>
      </c>
      <c r="D509" s="2" t="s">
        <v>1564</v>
      </c>
      <c r="E509" s="2">
        <v>2480</v>
      </c>
      <c r="F509" s="2">
        <v>55</v>
      </c>
      <c r="G509" s="2">
        <v>53</v>
      </c>
      <c r="H509" s="2">
        <f t="shared" si="71"/>
        <v>2</v>
      </c>
      <c r="I509" s="2">
        <v>2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/>
      <c r="AJ509" s="2" t="s">
        <v>1568</v>
      </c>
      <c r="AK509" s="2">
        <f t="shared" si="64"/>
        <v>2</v>
      </c>
      <c r="AL509" s="2">
        <f t="shared" si="65"/>
        <v>0</v>
      </c>
      <c r="AM509" s="2">
        <f t="shared" si="66"/>
        <v>0</v>
      </c>
      <c r="AN509" s="2">
        <f t="shared" si="67"/>
        <v>0</v>
      </c>
      <c r="AO509" s="2">
        <f t="shared" si="68"/>
        <v>0</v>
      </c>
      <c r="AP509" s="2">
        <f t="shared" si="69"/>
        <v>0</v>
      </c>
      <c r="AQ509" s="25">
        <f t="shared" si="70"/>
        <v>0</v>
      </c>
    </row>
    <row r="510" spans="1:43">
      <c r="A510" s="24">
        <v>46127</v>
      </c>
      <c r="B510" s="23">
        <f t="shared" si="63"/>
        <v>46113</v>
      </c>
      <c r="C510" s="2" t="s">
        <v>62</v>
      </c>
      <c r="D510" s="2" t="s">
        <v>527</v>
      </c>
      <c r="E510" s="2">
        <v>2622</v>
      </c>
      <c r="F510" s="2">
        <v>164</v>
      </c>
      <c r="G510" s="2">
        <v>163</v>
      </c>
      <c r="H510" s="2">
        <f t="shared" si="71"/>
        <v>1</v>
      </c>
      <c r="I510" s="2">
        <v>0</v>
      </c>
      <c r="J510" s="2">
        <v>1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/>
      <c r="AJ510" s="2" t="s">
        <v>1568</v>
      </c>
      <c r="AK510" s="2">
        <f t="shared" si="64"/>
        <v>0</v>
      </c>
      <c r="AL510" s="2">
        <f t="shared" si="65"/>
        <v>1</v>
      </c>
      <c r="AM510" s="2">
        <f t="shared" si="66"/>
        <v>0</v>
      </c>
      <c r="AN510" s="2">
        <f t="shared" si="67"/>
        <v>0</v>
      </c>
      <c r="AO510" s="2">
        <f t="shared" si="68"/>
        <v>0</v>
      </c>
      <c r="AP510" s="2">
        <f t="shared" si="69"/>
        <v>0</v>
      </c>
      <c r="AQ510" s="25">
        <f t="shared" si="70"/>
        <v>0</v>
      </c>
    </row>
    <row r="511" spans="1:43">
      <c r="A511" s="24">
        <v>46127</v>
      </c>
      <c r="B511" s="23">
        <f t="shared" si="63"/>
        <v>46113</v>
      </c>
      <c r="C511" s="2" t="s">
        <v>82</v>
      </c>
      <c r="D511" s="2" t="s">
        <v>525</v>
      </c>
      <c r="E511" s="2">
        <v>2608</v>
      </c>
      <c r="F511" s="2">
        <v>126</v>
      </c>
      <c r="G511" s="2">
        <v>123</v>
      </c>
      <c r="H511" s="2">
        <f t="shared" si="71"/>
        <v>3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2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1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/>
      <c r="AJ511" s="2" t="s">
        <v>93</v>
      </c>
      <c r="AK511" s="2">
        <f t="shared" si="64"/>
        <v>0</v>
      </c>
      <c r="AL511" s="2">
        <f t="shared" si="65"/>
        <v>2</v>
      </c>
      <c r="AM511" s="2">
        <f t="shared" si="66"/>
        <v>0</v>
      </c>
      <c r="AN511" s="2">
        <f t="shared" si="67"/>
        <v>1</v>
      </c>
      <c r="AO511" s="2">
        <f t="shared" si="68"/>
        <v>0</v>
      </c>
      <c r="AP511" s="2">
        <f t="shared" si="69"/>
        <v>0</v>
      </c>
      <c r="AQ511" s="25">
        <f t="shared" si="70"/>
        <v>0</v>
      </c>
    </row>
    <row r="512" spans="1:43">
      <c r="A512" s="24">
        <v>46127</v>
      </c>
      <c r="B512" s="23">
        <f t="shared" si="63"/>
        <v>46113</v>
      </c>
      <c r="C512" s="2" t="s">
        <v>82</v>
      </c>
      <c r="D512" s="2" t="s">
        <v>525</v>
      </c>
      <c r="E512" s="2">
        <v>2608</v>
      </c>
      <c r="F512" s="2">
        <v>20</v>
      </c>
      <c r="G512" s="2">
        <v>20</v>
      </c>
      <c r="H512" s="2">
        <f t="shared" si="71"/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/>
      <c r="AJ512" s="2" t="s">
        <v>93</v>
      </c>
      <c r="AK512" s="2">
        <f t="shared" si="64"/>
        <v>0</v>
      </c>
      <c r="AL512" s="2">
        <f t="shared" si="65"/>
        <v>0</v>
      </c>
      <c r="AM512" s="2">
        <f t="shared" si="66"/>
        <v>0</v>
      </c>
      <c r="AN512" s="2">
        <f t="shared" si="67"/>
        <v>0</v>
      </c>
      <c r="AO512" s="2">
        <f t="shared" si="68"/>
        <v>0</v>
      </c>
      <c r="AP512" s="2">
        <f t="shared" si="69"/>
        <v>0</v>
      </c>
      <c r="AQ512" s="25">
        <f t="shared" si="70"/>
        <v>0</v>
      </c>
    </row>
    <row r="513" spans="1:43">
      <c r="A513" s="24">
        <v>46127</v>
      </c>
      <c r="B513" s="23">
        <f t="shared" si="63"/>
        <v>46113</v>
      </c>
      <c r="C513" s="2" t="s">
        <v>82</v>
      </c>
      <c r="D513" s="2" t="s">
        <v>469</v>
      </c>
      <c r="E513" s="2">
        <v>2606</v>
      </c>
      <c r="F513" s="2">
        <v>226</v>
      </c>
      <c r="G513" s="2">
        <v>225</v>
      </c>
      <c r="H513" s="2">
        <f t="shared" si="71"/>
        <v>1</v>
      </c>
      <c r="I513" s="2">
        <v>1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/>
      <c r="AJ513" s="2" t="s">
        <v>93</v>
      </c>
      <c r="AK513" s="2">
        <f t="shared" si="64"/>
        <v>1</v>
      </c>
      <c r="AL513" s="2">
        <f t="shared" si="65"/>
        <v>0</v>
      </c>
      <c r="AM513" s="2">
        <f t="shared" si="66"/>
        <v>0</v>
      </c>
      <c r="AN513" s="2">
        <f t="shared" si="67"/>
        <v>0</v>
      </c>
      <c r="AO513" s="2">
        <f t="shared" si="68"/>
        <v>0</v>
      </c>
      <c r="AP513" s="2">
        <f t="shared" si="69"/>
        <v>0</v>
      </c>
      <c r="AQ513" s="25">
        <f t="shared" si="70"/>
        <v>0</v>
      </c>
    </row>
    <row r="514" spans="1:43">
      <c r="A514" s="24">
        <v>46127</v>
      </c>
      <c r="B514" s="23">
        <f t="shared" ref="B514:B577" si="72">EOMONTH(A514,-1)+1</f>
        <v>46113</v>
      </c>
      <c r="C514" s="2" t="s">
        <v>82</v>
      </c>
      <c r="D514" s="2" t="s">
        <v>447</v>
      </c>
      <c r="E514" s="2">
        <v>2606</v>
      </c>
      <c r="F514" s="2">
        <v>123</v>
      </c>
      <c r="G514" s="2">
        <v>122</v>
      </c>
      <c r="H514" s="2">
        <f t="shared" si="71"/>
        <v>1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/>
      <c r="AJ514" s="2" t="s">
        <v>93</v>
      </c>
      <c r="AK514" s="2">
        <f t="shared" ref="AK514:AK577" si="73">+I514+AF514</f>
        <v>0</v>
      </c>
      <c r="AL514" s="2">
        <f t="shared" ref="AL514:AL577" si="74">+J514+K514+O514+N514+P514+R514+S514+Q514+M514+L514</f>
        <v>1</v>
      </c>
      <c r="AM514" s="2">
        <f t="shared" ref="AM514:AM577" si="75">+AB514+AC514</f>
        <v>0</v>
      </c>
      <c r="AN514" s="2">
        <f t="shared" ref="AN514:AN577" si="76">+AH514+AG514+AA514+Z514</f>
        <v>0</v>
      </c>
      <c r="AO514" s="2">
        <f t="shared" ref="AO514:AO577" si="77">+X514+W514+V514+U514+T514+Y514</f>
        <v>0</v>
      </c>
      <c r="AP514" s="2">
        <f t="shared" ref="AP514:AP577" si="78">+AD514</f>
        <v>0</v>
      </c>
      <c r="AQ514" s="25">
        <f t="shared" ref="AQ514:AQ577" si="79">+AE514</f>
        <v>0</v>
      </c>
    </row>
    <row r="515" spans="1:43">
      <c r="A515" s="24">
        <v>46127</v>
      </c>
      <c r="B515" s="23">
        <f t="shared" si="72"/>
        <v>46113</v>
      </c>
      <c r="C515" s="2" t="s">
        <v>82</v>
      </c>
      <c r="D515" s="2" t="s">
        <v>515</v>
      </c>
      <c r="E515" s="2">
        <v>2608</v>
      </c>
      <c r="F515" s="2">
        <v>292</v>
      </c>
      <c r="G515" s="2">
        <v>290</v>
      </c>
      <c r="H515" s="2">
        <f t="shared" ref="H515:H578" si="80">F515-G515</f>
        <v>2</v>
      </c>
      <c r="I515" s="2">
        <v>0</v>
      </c>
      <c r="J515" s="2">
        <v>0</v>
      </c>
      <c r="K515" s="2">
        <v>0</v>
      </c>
      <c r="L515" s="2">
        <v>0</v>
      </c>
      <c r="M515" s="2">
        <v>2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/>
      <c r="AJ515" s="2" t="s">
        <v>93</v>
      </c>
      <c r="AK515" s="2">
        <f t="shared" si="73"/>
        <v>0</v>
      </c>
      <c r="AL515" s="2">
        <f t="shared" si="74"/>
        <v>2</v>
      </c>
      <c r="AM515" s="2">
        <f t="shared" si="75"/>
        <v>0</v>
      </c>
      <c r="AN515" s="2">
        <f t="shared" si="76"/>
        <v>0</v>
      </c>
      <c r="AO515" s="2">
        <f t="shared" si="77"/>
        <v>0</v>
      </c>
      <c r="AP515" s="2">
        <f t="shared" si="78"/>
        <v>0</v>
      </c>
      <c r="AQ515" s="25">
        <f t="shared" si="79"/>
        <v>0</v>
      </c>
    </row>
    <row r="516" spans="1:43">
      <c r="A516" s="24">
        <v>46127</v>
      </c>
      <c r="B516" s="23">
        <f t="shared" si="72"/>
        <v>46113</v>
      </c>
      <c r="C516" s="2" t="s">
        <v>160</v>
      </c>
      <c r="D516" s="2" t="s">
        <v>452</v>
      </c>
      <c r="E516" s="2">
        <v>1805</v>
      </c>
      <c r="F516" s="2">
        <v>20</v>
      </c>
      <c r="G516" s="2">
        <v>19</v>
      </c>
      <c r="H516" s="2">
        <f t="shared" si="80"/>
        <v>1</v>
      </c>
      <c r="I516" s="2">
        <v>1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/>
      <c r="AJ516" s="2" t="s">
        <v>93</v>
      </c>
      <c r="AK516" s="2">
        <f t="shared" si="73"/>
        <v>1</v>
      </c>
      <c r="AL516" s="2">
        <f t="shared" si="74"/>
        <v>0</v>
      </c>
      <c r="AM516" s="2">
        <f t="shared" si="75"/>
        <v>0</v>
      </c>
      <c r="AN516" s="2">
        <f t="shared" si="76"/>
        <v>0</v>
      </c>
      <c r="AO516" s="2">
        <f t="shared" si="77"/>
        <v>0</v>
      </c>
      <c r="AP516" s="2">
        <f t="shared" si="78"/>
        <v>0</v>
      </c>
      <c r="AQ516" s="25">
        <f t="shared" si="79"/>
        <v>0</v>
      </c>
    </row>
    <row r="517" spans="1:43">
      <c r="A517" s="24">
        <v>46127</v>
      </c>
      <c r="B517" s="23">
        <f t="shared" si="72"/>
        <v>46113</v>
      </c>
      <c r="C517" s="2" t="s">
        <v>160</v>
      </c>
      <c r="D517" s="2" t="s">
        <v>449</v>
      </c>
      <c r="E517" s="2">
        <v>3318</v>
      </c>
      <c r="F517" s="2">
        <v>463</v>
      </c>
      <c r="G517" s="2">
        <v>412</v>
      </c>
      <c r="H517" s="2">
        <f t="shared" si="80"/>
        <v>51</v>
      </c>
      <c r="I517" s="2">
        <v>26</v>
      </c>
      <c r="J517" s="2">
        <v>24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1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/>
      <c r="AJ517" s="2" t="s">
        <v>93</v>
      </c>
      <c r="AK517" s="2">
        <f t="shared" si="73"/>
        <v>26</v>
      </c>
      <c r="AL517" s="2">
        <f t="shared" si="74"/>
        <v>24</v>
      </c>
      <c r="AM517" s="2">
        <f t="shared" si="75"/>
        <v>0</v>
      </c>
      <c r="AN517" s="2">
        <f t="shared" si="76"/>
        <v>1</v>
      </c>
      <c r="AO517" s="2">
        <f t="shared" si="77"/>
        <v>0</v>
      </c>
      <c r="AP517" s="2">
        <f t="shared" si="78"/>
        <v>0</v>
      </c>
      <c r="AQ517" s="25">
        <f t="shared" si="79"/>
        <v>0</v>
      </c>
    </row>
    <row r="518" spans="1:43">
      <c r="A518" s="24">
        <v>46127</v>
      </c>
      <c r="B518" s="23">
        <f t="shared" si="72"/>
        <v>46113</v>
      </c>
      <c r="C518" s="2" t="s">
        <v>82</v>
      </c>
      <c r="D518" s="2" t="s">
        <v>515</v>
      </c>
      <c r="E518" s="2">
        <v>2608</v>
      </c>
      <c r="F518" s="2">
        <v>50</v>
      </c>
      <c r="G518" s="2">
        <v>50</v>
      </c>
      <c r="H518" s="2">
        <f t="shared" si="80"/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/>
      <c r="AJ518" s="2" t="s">
        <v>93</v>
      </c>
      <c r="AK518" s="2">
        <f t="shared" si="73"/>
        <v>0</v>
      </c>
      <c r="AL518" s="2">
        <f t="shared" si="74"/>
        <v>0</v>
      </c>
      <c r="AM518" s="2">
        <f t="shared" si="75"/>
        <v>0</v>
      </c>
      <c r="AN518" s="2">
        <f t="shared" si="76"/>
        <v>0</v>
      </c>
      <c r="AO518" s="2">
        <f t="shared" si="77"/>
        <v>0</v>
      </c>
      <c r="AP518" s="2">
        <f t="shared" si="78"/>
        <v>0</v>
      </c>
      <c r="AQ518" s="25">
        <f t="shared" si="79"/>
        <v>0</v>
      </c>
    </row>
    <row r="519" spans="1:43">
      <c r="A519" s="24">
        <v>46127</v>
      </c>
      <c r="B519" s="23">
        <f t="shared" si="72"/>
        <v>46113</v>
      </c>
      <c r="C519" s="2" t="s">
        <v>62</v>
      </c>
      <c r="D519" s="2" t="s">
        <v>457</v>
      </c>
      <c r="E519" s="2">
        <v>1806</v>
      </c>
      <c r="F519" s="2">
        <v>790</v>
      </c>
      <c r="G519" s="2">
        <v>788</v>
      </c>
      <c r="H519" s="2">
        <f t="shared" si="80"/>
        <v>2</v>
      </c>
      <c r="I519" s="2">
        <v>2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/>
      <c r="AJ519" s="2" t="s">
        <v>77</v>
      </c>
      <c r="AK519" s="2">
        <f t="shared" si="73"/>
        <v>2</v>
      </c>
      <c r="AL519" s="2">
        <f t="shared" si="74"/>
        <v>0</v>
      </c>
      <c r="AM519" s="2">
        <f t="shared" si="75"/>
        <v>0</v>
      </c>
      <c r="AN519" s="2">
        <f t="shared" si="76"/>
        <v>0</v>
      </c>
      <c r="AO519" s="2">
        <f t="shared" si="77"/>
        <v>0</v>
      </c>
      <c r="AP519" s="2">
        <f t="shared" si="78"/>
        <v>0</v>
      </c>
      <c r="AQ519" s="25">
        <f t="shared" si="79"/>
        <v>0</v>
      </c>
    </row>
    <row r="520" spans="1:43">
      <c r="A520" s="24">
        <v>46127</v>
      </c>
      <c r="B520" s="23">
        <f t="shared" si="72"/>
        <v>46113</v>
      </c>
      <c r="C520" s="2" t="s">
        <v>46</v>
      </c>
      <c r="D520" s="2" t="s">
        <v>469</v>
      </c>
      <c r="E520" s="2">
        <v>2606</v>
      </c>
      <c r="F520" s="2">
        <v>242</v>
      </c>
      <c r="G520" s="2">
        <v>241</v>
      </c>
      <c r="H520" s="2">
        <f t="shared" si="80"/>
        <v>1</v>
      </c>
      <c r="I520" s="2">
        <v>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/>
      <c r="AJ520" s="2" t="s">
        <v>77</v>
      </c>
      <c r="AK520" s="2">
        <f t="shared" si="73"/>
        <v>1</v>
      </c>
      <c r="AL520" s="2">
        <f t="shared" si="74"/>
        <v>0</v>
      </c>
      <c r="AM520" s="2">
        <f t="shared" si="75"/>
        <v>0</v>
      </c>
      <c r="AN520" s="2">
        <f t="shared" si="76"/>
        <v>0</v>
      </c>
      <c r="AO520" s="2">
        <f t="shared" si="77"/>
        <v>0</v>
      </c>
      <c r="AP520" s="2">
        <f t="shared" si="78"/>
        <v>0</v>
      </c>
      <c r="AQ520" s="25">
        <f t="shared" si="79"/>
        <v>0</v>
      </c>
    </row>
    <row r="521" spans="1:43">
      <c r="A521" s="24">
        <v>46127</v>
      </c>
      <c r="B521" s="23">
        <f t="shared" si="72"/>
        <v>46113</v>
      </c>
      <c r="C521" s="2" t="s">
        <v>62</v>
      </c>
      <c r="D521" s="2" t="s">
        <v>570</v>
      </c>
      <c r="E521" s="2">
        <v>1806</v>
      </c>
      <c r="F521" s="2">
        <v>178</v>
      </c>
      <c r="G521" s="2">
        <v>178</v>
      </c>
      <c r="H521" s="2">
        <f t="shared" si="80"/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/>
      <c r="AJ521" s="2" t="s">
        <v>77</v>
      </c>
      <c r="AK521" s="2">
        <f t="shared" si="73"/>
        <v>0</v>
      </c>
      <c r="AL521" s="2">
        <f t="shared" si="74"/>
        <v>0</v>
      </c>
      <c r="AM521" s="2">
        <f t="shared" si="75"/>
        <v>0</v>
      </c>
      <c r="AN521" s="2">
        <f t="shared" si="76"/>
        <v>0</v>
      </c>
      <c r="AO521" s="2">
        <f t="shared" si="77"/>
        <v>0</v>
      </c>
      <c r="AP521" s="2">
        <f t="shared" si="78"/>
        <v>0</v>
      </c>
      <c r="AQ521" s="25">
        <f t="shared" si="79"/>
        <v>0</v>
      </c>
    </row>
    <row r="522" spans="1:43">
      <c r="A522" s="24">
        <v>46127</v>
      </c>
      <c r="B522" s="23">
        <f t="shared" si="72"/>
        <v>46113</v>
      </c>
      <c r="C522" s="2" t="s">
        <v>62</v>
      </c>
      <c r="D522" s="2" t="s">
        <v>565</v>
      </c>
      <c r="E522" s="2">
        <v>1806</v>
      </c>
      <c r="F522" s="2">
        <v>64</v>
      </c>
      <c r="G522" s="2">
        <v>64</v>
      </c>
      <c r="H522" s="2">
        <f t="shared" si="80"/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/>
      <c r="AJ522" s="2" t="s">
        <v>77</v>
      </c>
      <c r="AK522" s="2">
        <f t="shared" si="73"/>
        <v>0</v>
      </c>
      <c r="AL522" s="2">
        <f t="shared" si="74"/>
        <v>0</v>
      </c>
      <c r="AM522" s="2">
        <f t="shared" si="75"/>
        <v>0</v>
      </c>
      <c r="AN522" s="2">
        <f t="shared" si="76"/>
        <v>0</v>
      </c>
      <c r="AO522" s="2">
        <f t="shared" si="77"/>
        <v>0</v>
      </c>
      <c r="AP522" s="2">
        <f t="shared" si="78"/>
        <v>0</v>
      </c>
      <c r="AQ522" s="25">
        <f t="shared" si="79"/>
        <v>0</v>
      </c>
    </row>
    <row r="523" spans="1:43">
      <c r="A523" s="24">
        <v>46127</v>
      </c>
      <c r="B523" s="23">
        <f t="shared" si="72"/>
        <v>46113</v>
      </c>
      <c r="C523" s="2" t="s">
        <v>62</v>
      </c>
      <c r="D523" s="2" t="s">
        <v>459</v>
      </c>
      <c r="E523" s="2">
        <v>1824</v>
      </c>
      <c r="F523" s="2">
        <v>101</v>
      </c>
      <c r="G523" s="2">
        <v>100</v>
      </c>
      <c r="H523" s="2">
        <f t="shared" si="80"/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/>
      <c r="AJ523" s="2" t="s">
        <v>77</v>
      </c>
      <c r="AK523" s="2">
        <f t="shared" si="73"/>
        <v>1</v>
      </c>
      <c r="AL523" s="2">
        <f t="shared" si="74"/>
        <v>0</v>
      </c>
      <c r="AM523" s="2">
        <f t="shared" si="75"/>
        <v>0</v>
      </c>
      <c r="AN523" s="2">
        <f t="shared" si="76"/>
        <v>0</v>
      </c>
      <c r="AO523" s="2">
        <f t="shared" si="77"/>
        <v>0</v>
      </c>
      <c r="AP523" s="2">
        <f t="shared" si="78"/>
        <v>0</v>
      </c>
      <c r="AQ523" s="25">
        <f t="shared" si="79"/>
        <v>0</v>
      </c>
    </row>
    <row r="524" spans="1:43">
      <c r="A524" s="24">
        <v>46127</v>
      </c>
      <c r="B524" s="23">
        <f t="shared" si="72"/>
        <v>46113</v>
      </c>
      <c r="C524" s="2" t="s">
        <v>62</v>
      </c>
      <c r="D524" s="2" t="s">
        <v>570</v>
      </c>
      <c r="E524" s="2">
        <v>1806</v>
      </c>
      <c r="F524" s="2">
        <v>32</v>
      </c>
      <c r="G524" s="2">
        <v>32</v>
      </c>
      <c r="H524" s="2">
        <f t="shared" si="80"/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/>
      <c r="AJ524" s="2" t="s">
        <v>77</v>
      </c>
      <c r="AK524" s="2">
        <f t="shared" si="73"/>
        <v>0</v>
      </c>
      <c r="AL524" s="2">
        <f t="shared" si="74"/>
        <v>0</v>
      </c>
      <c r="AM524" s="2">
        <f t="shared" si="75"/>
        <v>0</v>
      </c>
      <c r="AN524" s="2">
        <f t="shared" si="76"/>
        <v>0</v>
      </c>
      <c r="AO524" s="2">
        <f t="shared" si="77"/>
        <v>0</v>
      </c>
      <c r="AP524" s="2">
        <f t="shared" si="78"/>
        <v>0</v>
      </c>
      <c r="AQ524" s="25">
        <f t="shared" si="79"/>
        <v>0</v>
      </c>
    </row>
    <row r="525" spans="1:43">
      <c r="A525" s="24">
        <v>46127</v>
      </c>
      <c r="B525" s="23">
        <f t="shared" si="72"/>
        <v>46113</v>
      </c>
      <c r="C525" s="2" t="s">
        <v>62</v>
      </c>
      <c r="D525" s="2" t="s">
        <v>457</v>
      </c>
      <c r="E525" s="2">
        <v>1806</v>
      </c>
      <c r="F525" s="2">
        <v>80</v>
      </c>
      <c r="G525" s="2">
        <v>80</v>
      </c>
      <c r="H525" s="2">
        <f t="shared" si="80"/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/>
      <c r="AJ525" s="2" t="s">
        <v>77</v>
      </c>
      <c r="AK525" s="2">
        <f t="shared" si="73"/>
        <v>0</v>
      </c>
      <c r="AL525" s="2">
        <f t="shared" si="74"/>
        <v>0</v>
      </c>
      <c r="AM525" s="2">
        <f t="shared" si="75"/>
        <v>0</v>
      </c>
      <c r="AN525" s="2">
        <f t="shared" si="76"/>
        <v>0</v>
      </c>
      <c r="AO525" s="2">
        <f t="shared" si="77"/>
        <v>0</v>
      </c>
      <c r="AP525" s="2">
        <f t="shared" si="78"/>
        <v>0</v>
      </c>
      <c r="AQ525" s="25">
        <f t="shared" si="79"/>
        <v>0</v>
      </c>
    </row>
    <row r="526" spans="1:43">
      <c r="A526" s="24">
        <v>46127</v>
      </c>
      <c r="B526" s="23">
        <f t="shared" si="72"/>
        <v>46113</v>
      </c>
      <c r="C526" s="2" t="s">
        <v>62</v>
      </c>
      <c r="D526" s="2" t="s">
        <v>459</v>
      </c>
      <c r="E526" s="2">
        <v>1824</v>
      </c>
      <c r="F526" s="2">
        <v>20</v>
      </c>
      <c r="G526" s="2">
        <v>20</v>
      </c>
      <c r="H526" s="2">
        <f t="shared" si="80"/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/>
      <c r="AJ526" s="2" t="s">
        <v>77</v>
      </c>
      <c r="AK526" s="2">
        <f t="shared" si="73"/>
        <v>0</v>
      </c>
      <c r="AL526" s="2">
        <f t="shared" si="74"/>
        <v>0</v>
      </c>
      <c r="AM526" s="2">
        <f t="shared" si="75"/>
        <v>0</v>
      </c>
      <c r="AN526" s="2">
        <f t="shared" si="76"/>
        <v>0</v>
      </c>
      <c r="AO526" s="2">
        <f t="shared" si="77"/>
        <v>0</v>
      </c>
      <c r="AP526" s="2">
        <f t="shared" si="78"/>
        <v>0</v>
      </c>
      <c r="AQ526" s="25">
        <f t="shared" si="79"/>
        <v>0</v>
      </c>
    </row>
    <row r="527" spans="1:43">
      <c r="A527" s="24">
        <v>46127</v>
      </c>
      <c r="B527" s="23">
        <f t="shared" si="72"/>
        <v>46113</v>
      </c>
      <c r="C527" s="2" t="s">
        <v>95</v>
      </c>
      <c r="D527" s="2" t="s">
        <v>475</v>
      </c>
      <c r="E527" s="2">
        <v>2727</v>
      </c>
      <c r="F527" s="2">
        <v>530</v>
      </c>
      <c r="G527" s="2">
        <v>526</v>
      </c>
      <c r="H527" s="2">
        <f t="shared" si="80"/>
        <v>4</v>
      </c>
      <c r="I527" s="2">
        <v>3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1</v>
      </c>
      <c r="AE527" s="2">
        <v>0</v>
      </c>
      <c r="AF527" s="2">
        <v>0</v>
      </c>
      <c r="AG527" s="2">
        <v>0</v>
      </c>
      <c r="AH527" s="2">
        <v>0</v>
      </c>
      <c r="AI527" s="2"/>
      <c r="AJ527" s="2" t="s">
        <v>77</v>
      </c>
      <c r="AK527" s="2">
        <f t="shared" si="73"/>
        <v>3</v>
      </c>
      <c r="AL527" s="2">
        <f t="shared" si="74"/>
        <v>0</v>
      </c>
      <c r="AM527" s="2">
        <f t="shared" si="75"/>
        <v>0</v>
      </c>
      <c r="AN527" s="2">
        <f t="shared" si="76"/>
        <v>0</v>
      </c>
      <c r="AO527" s="2">
        <f t="shared" si="77"/>
        <v>0</v>
      </c>
      <c r="AP527" s="2">
        <f t="shared" si="78"/>
        <v>1</v>
      </c>
      <c r="AQ527" s="25">
        <f t="shared" si="79"/>
        <v>0</v>
      </c>
    </row>
    <row r="528" spans="1:43">
      <c r="A528" s="24">
        <v>46128</v>
      </c>
      <c r="B528" s="23">
        <f t="shared" si="72"/>
        <v>46113</v>
      </c>
      <c r="C528" s="2" t="s">
        <v>160</v>
      </c>
      <c r="D528" s="2" t="s">
        <v>1537</v>
      </c>
      <c r="E528" s="2">
        <v>3318</v>
      </c>
      <c r="F528" s="2">
        <v>44</v>
      </c>
      <c r="G528" s="2">
        <v>42</v>
      </c>
      <c r="H528" s="2">
        <f t="shared" si="80"/>
        <v>2</v>
      </c>
      <c r="I528" s="2">
        <v>2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/>
      <c r="AJ528" s="2" t="s">
        <v>80</v>
      </c>
      <c r="AK528" s="2">
        <f t="shared" si="73"/>
        <v>2</v>
      </c>
      <c r="AL528" s="2">
        <f t="shared" si="74"/>
        <v>0</v>
      </c>
      <c r="AM528" s="2">
        <f t="shared" si="75"/>
        <v>0</v>
      </c>
      <c r="AN528" s="2">
        <f t="shared" si="76"/>
        <v>0</v>
      </c>
      <c r="AO528" s="2">
        <f t="shared" si="77"/>
        <v>0</v>
      </c>
      <c r="AP528" s="2">
        <f t="shared" si="78"/>
        <v>0</v>
      </c>
      <c r="AQ528" s="25">
        <f t="shared" si="79"/>
        <v>0</v>
      </c>
    </row>
    <row r="529" spans="1:43">
      <c r="A529" s="24">
        <v>46128</v>
      </c>
      <c r="B529" s="23">
        <f t="shared" si="72"/>
        <v>46113</v>
      </c>
      <c r="C529" s="2" t="s">
        <v>160</v>
      </c>
      <c r="D529" s="2" t="s">
        <v>487</v>
      </c>
      <c r="E529" s="2">
        <v>2651</v>
      </c>
      <c r="F529" s="2">
        <v>161</v>
      </c>
      <c r="G529" s="2">
        <v>155</v>
      </c>
      <c r="H529" s="2">
        <f t="shared" si="80"/>
        <v>6</v>
      </c>
      <c r="I529" s="2">
        <v>0</v>
      </c>
      <c r="J529" s="2">
        <v>0</v>
      </c>
      <c r="K529" s="2">
        <v>1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5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/>
      <c r="AJ529" s="2" t="s">
        <v>80</v>
      </c>
      <c r="AK529" s="2">
        <f t="shared" si="73"/>
        <v>0</v>
      </c>
      <c r="AL529" s="2">
        <f t="shared" si="74"/>
        <v>1</v>
      </c>
      <c r="AM529" s="2">
        <f t="shared" si="75"/>
        <v>0</v>
      </c>
      <c r="AN529" s="2">
        <f t="shared" si="76"/>
        <v>0</v>
      </c>
      <c r="AO529" s="2">
        <f t="shared" si="77"/>
        <v>5</v>
      </c>
      <c r="AP529" s="2">
        <f t="shared" si="78"/>
        <v>0</v>
      </c>
      <c r="AQ529" s="25">
        <f t="shared" si="79"/>
        <v>0</v>
      </c>
    </row>
    <row r="530" spans="1:43">
      <c r="A530" s="24">
        <v>46128</v>
      </c>
      <c r="B530" s="23">
        <f t="shared" si="72"/>
        <v>46113</v>
      </c>
      <c r="C530" s="2" t="s">
        <v>46</v>
      </c>
      <c r="D530" s="2" t="s">
        <v>1540</v>
      </c>
      <c r="E530" s="2">
        <v>1767</v>
      </c>
      <c r="F530" s="2">
        <v>915</v>
      </c>
      <c r="G530" s="2">
        <v>900</v>
      </c>
      <c r="H530" s="2">
        <f t="shared" si="80"/>
        <v>15</v>
      </c>
      <c r="I530" s="2">
        <v>15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/>
      <c r="AJ530" s="2" t="s">
        <v>80</v>
      </c>
      <c r="AK530" s="2">
        <f t="shared" si="73"/>
        <v>15</v>
      </c>
      <c r="AL530" s="2">
        <f t="shared" si="74"/>
        <v>0</v>
      </c>
      <c r="AM530" s="2">
        <f t="shared" si="75"/>
        <v>0</v>
      </c>
      <c r="AN530" s="2">
        <f t="shared" si="76"/>
        <v>0</v>
      </c>
      <c r="AO530" s="2">
        <f t="shared" si="77"/>
        <v>0</v>
      </c>
      <c r="AP530" s="2">
        <f t="shared" si="78"/>
        <v>0</v>
      </c>
      <c r="AQ530" s="25">
        <f t="shared" si="79"/>
        <v>0</v>
      </c>
    </row>
    <row r="531" spans="1:43">
      <c r="A531" s="24">
        <v>46128</v>
      </c>
      <c r="B531" s="23">
        <f t="shared" si="72"/>
        <v>46113</v>
      </c>
      <c r="C531" s="2" t="s">
        <v>95</v>
      </c>
      <c r="D531" s="2" t="s">
        <v>475</v>
      </c>
      <c r="E531" s="2">
        <v>2727</v>
      </c>
      <c r="F531" s="2">
        <v>173</v>
      </c>
      <c r="G531" s="2">
        <v>171</v>
      </c>
      <c r="H531" s="2">
        <f t="shared" si="80"/>
        <v>2</v>
      </c>
      <c r="I531" s="2">
        <v>2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/>
      <c r="AJ531" s="2" t="s">
        <v>103</v>
      </c>
      <c r="AK531" s="2">
        <f t="shared" si="73"/>
        <v>2</v>
      </c>
      <c r="AL531" s="2">
        <f t="shared" si="74"/>
        <v>0</v>
      </c>
      <c r="AM531" s="2">
        <f t="shared" si="75"/>
        <v>0</v>
      </c>
      <c r="AN531" s="2">
        <f t="shared" si="76"/>
        <v>0</v>
      </c>
      <c r="AO531" s="2">
        <f t="shared" si="77"/>
        <v>0</v>
      </c>
      <c r="AP531" s="2">
        <f t="shared" si="78"/>
        <v>0</v>
      </c>
      <c r="AQ531" s="25">
        <f t="shared" si="79"/>
        <v>0</v>
      </c>
    </row>
    <row r="532" spans="1:43">
      <c r="A532" s="24">
        <v>46128</v>
      </c>
      <c r="B532" s="23">
        <f t="shared" si="72"/>
        <v>46113</v>
      </c>
      <c r="C532" s="2" t="s">
        <v>114</v>
      </c>
      <c r="D532" s="2" t="s">
        <v>524</v>
      </c>
      <c r="E532" s="2">
        <v>1885</v>
      </c>
      <c r="F532" s="2">
        <v>368</v>
      </c>
      <c r="G532" s="2">
        <v>354</v>
      </c>
      <c r="H532" s="2">
        <f t="shared" si="80"/>
        <v>14</v>
      </c>
      <c r="I532" s="2">
        <v>7</v>
      </c>
      <c r="J532" s="2">
        <v>1</v>
      </c>
      <c r="K532" s="2">
        <v>4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  <c r="V532" s="2">
        <v>0</v>
      </c>
      <c r="W532" s="2">
        <v>0</v>
      </c>
      <c r="X532" s="2">
        <v>0</v>
      </c>
      <c r="Y532" s="2">
        <v>0</v>
      </c>
      <c r="Z532" s="2">
        <v>1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/>
      <c r="AJ532" s="2" t="s">
        <v>103</v>
      </c>
      <c r="AK532" s="2">
        <f t="shared" si="73"/>
        <v>7</v>
      </c>
      <c r="AL532" s="2">
        <f t="shared" si="74"/>
        <v>5</v>
      </c>
      <c r="AM532" s="2">
        <f t="shared" si="75"/>
        <v>0</v>
      </c>
      <c r="AN532" s="2">
        <f t="shared" si="76"/>
        <v>1</v>
      </c>
      <c r="AO532" s="2">
        <f t="shared" si="77"/>
        <v>1</v>
      </c>
      <c r="AP532" s="2">
        <f t="shared" si="78"/>
        <v>0</v>
      </c>
      <c r="AQ532" s="25">
        <f t="shared" si="79"/>
        <v>0</v>
      </c>
    </row>
    <row r="533" spans="1:43">
      <c r="A533" s="24">
        <v>46128</v>
      </c>
      <c r="B533" s="23">
        <f t="shared" si="72"/>
        <v>46113</v>
      </c>
      <c r="C533" s="2" t="s">
        <v>114</v>
      </c>
      <c r="D533" s="2" t="s">
        <v>555</v>
      </c>
      <c r="E533" s="2">
        <v>1803</v>
      </c>
      <c r="F533" s="2">
        <v>25</v>
      </c>
      <c r="G533" s="2">
        <v>24</v>
      </c>
      <c r="H533" s="2">
        <f t="shared" si="80"/>
        <v>1</v>
      </c>
      <c r="I533" s="2">
        <v>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/>
      <c r="AJ533" s="2" t="s">
        <v>103</v>
      </c>
      <c r="AK533" s="2">
        <f t="shared" si="73"/>
        <v>1</v>
      </c>
      <c r="AL533" s="2">
        <f t="shared" si="74"/>
        <v>0</v>
      </c>
      <c r="AM533" s="2">
        <f t="shared" si="75"/>
        <v>0</v>
      </c>
      <c r="AN533" s="2">
        <f t="shared" si="76"/>
        <v>0</v>
      </c>
      <c r="AO533" s="2">
        <f t="shared" si="77"/>
        <v>0</v>
      </c>
      <c r="AP533" s="2">
        <f t="shared" si="78"/>
        <v>0</v>
      </c>
      <c r="AQ533" s="25">
        <f t="shared" si="79"/>
        <v>0</v>
      </c>
    </row>
    <row r="534" spans="1:43">
      <c r="A534" s="24">
        <v>46128</v>
      </c>
      <c r="B534" s="23">
        <f t="shared" si="72"/>
        <v>46113</v>
      </c>
      <c r="C534" s="2" t="s">
        <v>72</v>
      </c>
      <c r="D534" s="2" t="s">
        <v>571</v>
      </c>
      <c r="E534" s="2">
        <v>2576</v>
      </c>
      <c r="F534" s="2">
        <v>30</v>
      </c>
      <c r="G534" s="2">
        <v>27</v>
      </c>
      <c r="H534" s="2">
        <f t="shared" si="80"/>
        <v>3</v>
      </c>
      <c r="I534" s="2">
        <v>1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2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/>
      <c r="AJ534" s="2" t="s">
        <v>103</v>
      </c>
      <c r="AK534" s="2">
        <f t="shared" si="73"/>
        <v>1</v>
      </c>
      <c r="AL534" s="2">
        <f t="shared" si="74"/>
        <v>2</v>
      </c>
      <c r="AM534" s="2">
        <f t="shared" si="75"/>
        <v>0</v>
      </c>
      <c r="AN534" s="2">
        <f t="shared" si="76"/>
        <v>0</v>
      </c>
      <c r="AO534" s="2">
        <f t="shared" si="77"/>
        <v>0</v>
      </c>
      <c r="AP534" s="2">
        <f t="shared" si="78"/>
        <v>0</v>
      </c>
      <c r="AQ534" s="25">
        <f t="shared" si="79"/>
        <v>0</v>
      </c>
    </row>
    <row r="535" spans="1:43">
      <c r="A535" s="24">
        <v>46128</v>
      </c>
      <c r="B535" s="23">
        <f t="shared" si="72"/>
        <v>46113</v>
      </c>
      <c r="C535" s="2" t="s">
        <v>72</v>
      </c>
      <c r="D535" s="2" t="s">
        <v>1199</v>
      </c>
      <c r="E535" s="2">
        <v>2455</v>
      </c>
      <c r="F535" s="2">
        <v>73</v>
      </c>
      <c r="G535" s="2">
        <v>73</v>
      </c>
      <c r="H535" s="2">
        <f t="shared" si="80"/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/>
      <c r="AJ535" s="2" t="s">
        <v>103</v>
      </c>
      <c r="AK535" s="2">
        <f t="shared" si="73"/>
        <v>0</v>
      </c>
      <c r="AL535" s="2">
        <f t="shared" si="74"/>
        <v>0</v>
      </c>
      <c r="AM535" s="2">
        <f t="shared" si="75"/>
        <v>0</v>
      </c>
      <c r="AN535" s="2">
        <f t="shared" si="76"/>
        <v>0</v>
      </c>
      <c r="AO535" s="2">
        <f t="shared" si="77"/>
        <v>0</v>
      </c>
      <c r="AP535" s="2">
        <f t="shared" si="78"/>
        <v>0</v>
      </c>
      <c r="AQ535" s="25">
        <f t="shared" si="79"/>
        <v>0</v>
      </c>
    </row>
    <row r="536" spans="1:43">
      <c r="A536" s="24">
        <v>46128</v>
      </c>
      <c r="B536" s="23">
        <f t="shared" si="72"/>
        <v>46113</v>
      </c>
      <c r="C536" s="2" t="s">
        <v>160</v>
      </c>
      <c r="D536" s="2" t="s">
        <v>487</v>
      </c>
      <c r="E536" s="2">
        <v>2651</v>
      </c>
      <c r="F536" s="2">
        <v>62</v>
      </c>
      <c r="G536" s="2">
        <v>62</v>
      </c>
      <c r="H536" s="2">
        <f t="shared" si="80"/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/>
      <c r="AJ536" s="2" t="s">
        <v>93</v>
      </c>
      <c r="AK536" s="2">
        <f t="shared" si="73"/>
        <v>0</v>
      </c>
      <c r="AL536" s="2">
        <f t="shared" si="74"/>
        <v>0</v>
      </c>
      <c r="AM536" s="2">
        <f t="shared" si="75"/>
        <v>0</v>
      </c>
      <c r="AN536" s="2">
        <f t="shared" si="76"/>
        <v>0</v>
      </c>
      <c r="AO536" s="2">
        <f t="shared" si="77"/>
        <v>0</v>
      </c>
      <c r="AP536" s="2">
        <f t="shared" si="78"/>
        <v>0</v>
      </c>
      <c r="AQ536" s="25">
        <f t="shared" si="79"/>
        <v>0</v>
      </c>
    </row>
    <row r="537" spans="1:43">
      <c r="A537" s="24">
        <v>46128</v>
      </c>
      <c r="B537" s="23">
        <f t="shared" si="72"/>
        <v>46113</v>
      </c>
      <c r="C537" s="2" t="s">
        <v>160</v>
      </c>
      <c r="D537" s="2" t="s">
        <v>487</v>
      </c>
      <c r="E537" s="2">
        <v>2651</v>
      </c>
      <c r="F537" s="2">
        <v>20</v>
      </c>
      <c r="G537" s="2">
        <v>19</v>
      </c>
      <c r="H537" s="2">
        <f t="shared" si="80"/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1</v>
      </c>
      <c r="AI537" s="2"/>
      <c r="AJ537" s="2" t="s">
        <v>93</v>
      </c>
      <c r="AK537" s="2">
        <f t="shared" si="73"/>
        <v>0</v>
      </c>
      <c r="AL537" s="2">
        <f t="shared" si="74"/>
        <v>0</v>
      </c>
      <c r="AM537" s="2">
        <f t="shared" si="75"/>
        <v>0</v>
      </c>
      <c r="AN537" s="2">
        <f t="shared" si="76"/>
        <v>1</v>
      </c>
      <c r="AO537" s="2">
        <f t="shared" si="77"/>
        <v>0</v>
      </c>
      <c r="AP537" s="2">
        <f t="shared" si="78"/>
        <v>0</v>
      </c>
      <c r="AQ537" s="25">
        <f t="shared" si="79"/>
        <v>0</v>
      </c>
    </row>
    <row r="538" spans="1:43">
      <c r="A538" s="24">
        <v>46128</v>
      </c>
      <c r="B538" s="23">
        <f t="shared" si="72"/>
        <v>46113</v>
      </c>
      <c r="C538" s="2" t="s">
        <v>160</v>
      </c>
      <c r="D538" s="2" t="s">
        <v>448</v>
      </c>
      <c r="E538" s="2">
        <v>3318</v>
      </c>
      <c r="F538" s="2">
        <v>48</v>
      </c>
      <c r="G538" s="2">
        <v>39</v>
      </c>
      <c r="H538" s="2">
        <f t="shared" si="80"/>
        <v>9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9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/>
      <c r="AJ538" s="2" t="s">
        <v>93</v>
      </c>
      <c r="AK538" s="2">
        <f t="shared" si="73"/>
        <v>0</v>
      </c>
      <c r="AL538" s="2">
        <f t="shared" si="74"/>
        <v>9</v>
      </c>
      <c r="AM538" s="2">
        <f t="shared" si="75"/>
        <v>0</v>
      </c>
      <c r="AN538" s="2">
        <f t="shared" si="76"/>
        <v>0</v>
      </c>
      <c r="AO538" s="2">
        <f t="shared" si="77"/>
        <v>0</v>
      </c>
      <c r="AP538" s="2">
        <f t="shared" si="78"/>
        <v>0</v>
      </c>
      <c r="AQ538" s="25">
        <f t="shared" si="79"/>
        <v>0</v>
      </c>
    </row>
    <row r="539" spans="1:43">
      <c r="A539" s="24">
        <v>46128</v>
      </c>
      <c r="B539" s="23">
        <f t="shared" si="72"/>
        <v>46113</v>
      </c>
      <c r="C539" s="2" t="s">
        <v>160</v>
      </c>
      <c r="D539" s="2" t="s">
        <v>487</v>
      </c>
      <c r="E539" s="2">
        <v>2651</v>
      </c>
      <c r="F539" s="2">
        <v>258</v>
      </c>
      <c r="G539" s="2">
        <v>224</v>
      </c>
      <c r="H539" s="2">
        <f t="shared" si="80"/>
        <v>34</v>
      </c>
      <c r="I539" s="2">
        <v>3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18</v>
      </c>
      <c r="U539" s="2">
        <v>8</v>
      </c>
      <c r="V539" s="2">
        <v>4</v>
      </c>
      <c r="W539" s="2">
        <v>0</v>
      </c>
      <c r="X539" s="2">
        <v>0</v>
      </c>
      <c r="Y539" s="2">
        <v>0</v>
      </c>
      <c r="Z539" s="2">
        <v>1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/>
      <c r="AJ539" s="2" t="s">
        <v>93</v>
      </c>
      <c r="AK539" s="2">
        <f t="shared" si="73"/>
        <v>3</v>
      </c>
      <c r="AL539" s="2">
        <f t="shared" si="74"/>
        <v>0</v>
      </c>
      <c r="AM539" s="2">
        <f t="shared" si="75"/>
        <v>0</v>
      </c>
      <c r="AN539" s="2">
        <f t="shared" si="76"/>
        <v>1</v>
      </c>
      <c r="AO539" s="2">
        <f t="shared" si="77"/>
        <v>30</v>
      </c>
      <c r="AP539" s="2">
        <f t="shared" si="78"/>
        <v>0</v>
      </c>
      <c r="AQ539" s="25">
        <f t="shared" si="79"/>
        <v>0</v>
      </c>
    </row>
    <row r="540" spans="1:43">
      <c r="A540" s="24">
        <v>46128</v>
      </c>
      <c r="B540" s="23">
        <f t="shared" si="72"/>
        <v>46113</v>
      </c>
      <c r="C540" s="2" t="s">
        <v>82</v>
      </c>
      <c r="D540" s="2" t="s">
        <v>438</v>
      </c>
      <c r="E540" s="2">
        <v>2648</v>
      </c>
      <c r="F540" s="2">
        <v>34</v>
      </c>
      <c r="G540" s="2">
        <v>33</v>
      </c>
      <c r="H540" s="2">
        <f t="shared" si="80"/>
        <v>1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1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/>
      <c r="AJ540" s="2" t="s">
        <v>93</v>
      </c>
      <c r="AK540" s="2">
        <f t="shared" si="73"/>
        <v>0</v>
      </c>
      <c r="AL540" s="2">
        <f t="shared" si="74"/>
        <v>1</v>
      </c>
      <c r="AM540" s="2">
        <f t="shared" si="75"/>
        <v>0</v>
      </c>
      <c r="AN540" s="2">
        <f t="shared" si="76"/>
        <v>0</v>
      </c>
      <c r="AO540" s="2">
        <f t="shared" si="77"/>
        <v>0</v>
      </c>
      <c r="AP540" s="2">
        <f t="shared" si="78"/>
        <v>0</v>
      </c>
      <c r="AQ540" s="25">
        <f t="shared" si="79"/>
        <v>0</v>
      </c>
    </row>
    <row r="541" spans="1:43">
      <c r="A541" s="24">
        <v>46128</v>
      </c>
      <c r="B541" s="23">
        <f t="shared" si="72"/>
        <v>46113</v>
      </c>
      <c r="C541" s="2" t="s">
        <v>82</v>
      </c>
      <c r="D541" s="2" t="s">
        <v>523</v>
      </c>
      <c r="E541" s="2">
        <v>2648</v>
      </c>
      <c r="F541" s="2">
        <v>91</v>
      </c>
      <c r="G541" s="2">
        <v>90</v>
      </c>
      <c r="H541" s="2">
        <f t="shared" si="80"/>
        <v>1</v>
      </c>
      <c r="I541" s="2">
        <v>1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/>
      <c r="AJ541" s="2" t="s">
        <v>93</v>
      </c>
      <c r="AK541" s="2">
        <f t="shared" si="73"/>
        <v>1</v>
      </c>
      <c r="AL541" s="2">
        <f t="shared" si="74"/>
        <v>0</v>
      </c>
      <c r="AM541" s="2">
        <f t="shared" si="75"/>
        <v>0</v>
      </c>
      <c r="AN541" s="2">
        <f t="shared" si="76"/>
        <v>0</v>
      </c>
      <c r="AO541" s="2">
        <f t="shared" si="77"/>
        <v>0</v>
      </c>
      <c r="AP541" s="2">
        <f t="shared" si="78"/>
        <v>0</v>
      </c>
      <c r="AQ541" s="25">
        <f t="shared" si="79"/>
        <v>0</v>
      </c>
    </row>
    <row r="542" spans="1:43">
      <c r="A542" s="24">
        <v>46128</v>
      </c>
      <c r="B542" s="23">
        <f t="shared" si="72"/>
        <v>46113</v>
      </c>
      <c r="C542" s="2" t="s">
        <v>82</v>
      </c>
      <c r="D542" s="2" t="s">
        <v>523</v>
      </c>
      <c r="E542" s="2">
        <v>2648</v>
      </c>
      <c r="F542" s="2">
        <v>20</v>
      </c>
      <c r="G542" s="2">
        <v>20</v>
      </c>
      <c r="H542" s="2">
        <f t="shared" si="80"/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/>
      <c r="AJ542" s="2" t="s">
        <v>93</v>
      </c>
      <c r="AK542" s="2">
        <f t="shared" si="73"/>
        <v>0</v>
      </c>
      <c r="AL542" s="2">
        <f t="shared" si="74"/>
        <v>0</v>
      </c>
      <c r="AM542" s="2">
        <f t="shared" si="75"/>
        <v>0</v>
      </c>
      <c r="AN542" s="2">
        <f t="shared" si="76"/>
        <v>0</v>
      </c>
      <c r="AO542" s="2">
        <f t="shared" si="77"/>
        <v>0</v>
      </c>
      <c r="AP542" s="2">
        <f t="shared" si="78"/>
        <v>0</v>
      </c>
      <c r="AQ542" s="25">
        <f t="shared" si="79"/>
        <v>0</v>
      </c>
    </row>
    <row r="543" spans="1:43">
      <c r="A543" s="24">
        <v>46128</v>
      </c>
      <c r="B543" s="23">
        <f t="shared" si="72"/>
        <v>46113</v>
      </c>
      <c r="C543" s="2" t="s">
        <v>160</v>
      </c>
      <c r="D543" s="2" t="s">
        <v>487</v>
      </c>
      <c r="E543" s="2">
        <v>2651</v>
      </c>
      <c r="F543" s="2">
        <v>51</v>
      </c>
      <c r="G543" s="2">
        <v>41</v>
      </c>
      <c r="H543" s="2">
        <f t="shared" si="80"/>
        <v>10</v>
      </c>
      <c r="I543" s="2">
        <v>1</v>
      </c>
      <c r="J543" s="2">
        <v>0</v>
      </c>
      <c r="K543" s="2">
        <v>1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6</v>
      </c>
      <c r="U543" s="2">
        <v>2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/>
      <c r="AJ543" s="2" t="s">
        <v>93</v>
      </c>
      <c r="AK543" s="2">
        <f t="shared" si="73"/>
        <v>1</v>
      </c>
      <c r="AL543" s="2">
        <f t="shared" si="74"/>
        <v>1</v>
      </c>
      <c r="AM543" s="2">
        <f t="shared" si="75"/>
        <v>0</v>
      </c>
      <c r="AN543" s="2">
        <f t="shared" si="76"/>
        <v>0</v>
      </c>
      <c r="AO543" s="2">
        <f t="shared" si="77"/>
        <v>8</v>
      </c>
      <c r="AP543" s="2">
        <f t="shared" si="78"/>
        <v>0</v>
      </c>
      <c r="AQ543" s="25">
        <f t="shared" si="79"/>
        <v>0</v>
      </c>
    </row>
    <row r="544" spans="1:43">
      <c r="A544" s="24">
        <v>46128</v>
      </c>
      <c r="B544" s="23">
        <f t="shared" si="72"/>
        <v>46113</v>
      </c>
      <c r="C544" s="2" t="s">
        <v>160</v>
      </c>
      <c r="D544" s="2" t="s">
        <v>487</v>
      </c>
      <c r="E544" s="2">
        <v>2651</v>
      </c>
      <c r="F544" s="2">
        <v>32</v>
      </c>
      <c r="G544" s="2">
        <v>31</v>
      </c>
      <c r="H544" s="2">
        <f t="shared" si="80"/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1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/>
      <c r="AJ544" s="2" t="s">
        <v>93</v>
      </c>
      <c r="AK544" s="2">
        <f t="shared" si="73"/>
        <v>0</v>
      </c>
      <c r="AL544" s="2">
        <f t="shared" si="74"/>
        <v>0</v>
      </c>
      <c r="AM544" s="2">
        <f t="shared" si="75"/>
        <v>0</v>
      </c>
      <c r="AN544" s="2">
        <f t="shared" si="76"/>
        <v>0</v>
      </c>
      <c r="AO544" s="2">
        <f t="shared" si="77"/>
        <v>1</v>
      </c>
      <c r="AP544" s="2">
        <f t="shared" si="78"/>
        <v>0</v>
      </c>
      <c r="AQ544" s="25">
        <f t="shared" si="79"/>
        <v>0</v>
      </c>
    </row>
    <row r="545" spans="1:43">
      <c r="A545" s="24">
        <v>46128</v>
      </c>
      <c r="B545" s="23">
        <f t="shared" si="72"/>
        <v>46113</v>
      </c>
      <c r="C545" s="2" t="s">
        <v>160</v>
      </c>
      <c r="D545" s="2" t="s">
        <v>449</v>
      </c>
      <c r="E545" s="2">
        <v>3318</v>
      </c>
      <c r="F545" s="2">
        <v>50</v>
      </c>
      <c r="G545" s="2">
        <v>50</v>
      </c>
      <c r="H545" s="2">
        <f t="shared" si="80"/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/>
      <c r="AJ545" s="2" t="s">
        <v>93</v>
      </c>
      <c r="AK545" s="2">
        <f t="shared" si="73"/>
        <v>0</v>
      </c>
      <c r="AL545" s="2">
        <f t="shared" si="74"/>
        <v>0</v>
      </c>
      <c r="AM545" s="2">
        <f t="shared" si="75"/>
        <v>0</v>
      </c>
      <c r="AN545" s="2">
        <f t="shared" si="76"/>
        <v>0</v>
      </c>
      <c r="AO545" s="2">
        <f t="shared" si="77"/>
        <v>0</v>
      </c>
      <c r="AP545" s="2">
        <f t="shared" si="78"/>
        <v>0</v>
      </c>
      <c r="AQ545" s="25">
        <f t="shared" si="79"/>
        <v>0</v>
      </c>
    </row>
    <row r="546" spans="1:43">
      <c r="A546" s="24">
        <v>46128</v>
      </c>
      <c r="B546" s="23">
        <f t="shared" si="72"/>
        <v>46113</v>
      </c>
      <c r="C546" s="2" t="s">
        <v>82</v>
      </c>
      <c r="D546" s="2" t="s">
        <v>496</v>
      </c>
      <c r="E546" s="2">
        <v>2648</v>
      </c>
      <c r="F546" s="2">
        <v>35</v>
      </c>
      <c r="G546" s="2">
        <v>32</v>
      </c>
      <c r="H546" s="2">
        <f t="shared" si="80"/>
        <v>3</v>
      </c>
      <c r="I546" s="2">
        <v>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/>
      <c r="AJ546" s="2" t="s">
        <v>93</v>
      </c>
      <c r="AK546" s="2">
        <f t="shared" si="73"/>
        <v>3</v>
      </c>
      <c r="AL546" s="2">
        <f t="shared" si="74"/>
        <v>0</v>
      </c>
      <c r="AM546" s="2">
        <f t="shared" si="75"/>
        <v>0</v>
      </c>
      <c r="AN546" s="2">
        <f t="shared" si="76"/>
        <v>0</v>
      </c>
      <c r="AO546" s="2">
        <f t="shared" si="77"/>
        <v>0</v>
      </c>
      <c r="AP546" s="2">
        <f t="shared" si="78"/>
        <v>0</v>
      </c>
      <c r="AQ546" s="25">
        <f t="shared" si="79"/>
        <v>0</v>
      </c>
    </row>
    <row r="547" spans="1:43">
      <c r="A547" s="24">
        <v>46128</v>
      </c>
      <c r="B547" s="23">
        <f t="shared" si="72"/>
        <v>46113</v>
      </c>
      <c r="C547" s="2" t="s">
        <v>82</v>
      </c>
      <c r="D547" s="2" t="s">
        <v>447</v>
      </c>
      <c r="E547" s="2">
        <v>2606</v>
      </c>
      <c r="F547" s="2">
        <v>20</v>
      </c>
      <c r="G547" s="2">
        <v>20</v>
      </c>
      <c r="H547" s="2">
        <f t="shared" si="80"/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/>
      <c r="AJ547" s="2" t="s">
        <v>93</v>
      </c>
      <c r="AK547" s="2">
        <f t="shared" si="73"/>
        <v>0</v>
      </c>
      <c r="AL547" s="2">
        <f t="shared" si="74"/>
        <v>0</v>
      </c>
      <c r="AM547" s="2">
        <f t="shared" si="75"/>
        <v>0</v>
      </c>
      <c r="AN547" s="2">
        <f t="shared" si="76"/>
        <v>0</v>
      </c>
      <c r="AO547" s="2">
        <f t="shared" si="77"/>
        <v>0</v>
      </c>
      <c r="AP547" s="2">
        <f t="shared" si="78"/>
        <v>0</v>
      </c>
      <c r="AQ547" s="25">
        <f t="shared" si="79"/>
        <v>0</v>
      </c>
    </row>
    <row r="548" spans="1:43">
      <c r="A548" s="24">
        <v>46128</v>
      </c>
      <c r="B548" s="23">
        <f t="shared" si="72"/>
        <v>46113</v>
      </c>
      <c r="C548" s="2" t="s">
        <v>82</v>
      </c>
      <c r="D548" s="2" t="s">
        <v>515</v>
      </c>
      <c r="E548" s="2">
        <v>2608</v>
      </c>
      <c r="F548" s="2">
        <v>242</v>
      </c>
      <c r="G548" s="2">
        <v>242</v>
      </c>
      <c r="H548" s="2">
        <f t="shared" si="80"/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/>
      <c r="AJ548" s="2" t="s">
        <v>93</v>
      </c>
      <c r="AK548" s="2">
        <f t="shared" si="73"/>
        <v>0</v>
      </c>
      <c r="AL548" s="2">
        <f t="shared" si="74"/>
        <v>0</v>
      </c>
      <c r="AM548" s="2">
        <f t="shared" si="75"/>
        <v>0</v>
      </c>
      <c r="AN548" s="2">
        <f t="shared" si="76"/>
        <v>0</v>
      </c>
      <c r="AO548" s="2">
        <f t="shared" si="77"/>
        <v>0</v>
      </c>
      <c r="AP548" s="2">
        <f t="shared" si="78"/>
        <v>0</v>
      </c>
      <c r="AQ548" s="25">
        <f t="shared" si="79"/>
        <v>0</v>
      </c>
    </row>
    <row r="549" spans="1:43">
      <c r="A549" s="24">
        <v>46128</v>
      </c>
      <c r="B549" s="23">
        <f t="shared" si="72"/>
        <v>46113</v>
      </c>
      <c r="C549" s="2" t="s">
        <v>82</v>
      </c>
      <c r="D549" s="2" t="s">
        <v>1186</v>
      </c>
      <c r="E549" s="2">
        <v>1506</v>
      </c>
      <c r="F549" s="2">
        <v>8</v>
      </c>
      <c r="G549" s="2">
        <v>7</v>
      </c>
      <c r="H549" s="2">
        <f t="shared" si="80"/>
        <v>1</v>
      </c>
      <c r="I549" s="2">
        <v>1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/>
      <c r="AJ549" s="2" t="s">
        <v>93</v>
      </c>
      <c r="AK549" s="2">
        <f t="shared" si="73"/>
        <v>1</v>
      </c>
      <c r="AL549" s="2">
        <f t="shared" si="74"/>
        <v>0</v>
      </c>
      <c r="AM549" s="2">
        <f t="shared" si="75"/>
        <v>0</v>
      </c>
      <c r="AN549" s="2">
        <f t="shared" si="76"/>
        <v>0</v>
      </c>
      <c r="AO549" s="2">
        <f t="shared" si="77"/>
        <v>0</v>
      </c>
      <c r="AP549" s="2">
        <f t="shared" si="78"/>
        <v>0</v>
      </c>
      <c r="AQ549" s="25">
        <f t="shared" si="79"/>
        <v>0</v>
      </c>
    </row>
    <row r="550" spans="1:43">
      <c r="A550" s="24">
        <v>46128</v>
      </c>
      <c r="B550" s="23">
        <f t="shared" si="72"/>
        <v>46113</v>
      </c>
      <c r="C550" s="2" t="s">
        <v>82</v>
      </c>
      <c r="D550" s="2" t="s">
        <v>562</v>
      </c>
      <c r="E550" s="2">
        <v>2648</v>
      </c>
      <c r="F550" s="2">
        <v>117</v>
      </c>
      <c r="G550" s="2">
        <v>116</v>
      </c>
      <c r="H550" s="2">
        <f t="shared" si="80"/>
        <v>1</v>
      </c>
      <c r="I550" s="2">
        <v>1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/>
      <c r="AJ550" s="2" t="s">
        <v>93</v>
      </c>
      <c r="AK550" s="2">
        <f t="shared" si="73"/>
        <v>1</v>
      </c>
      <c r="AL550" s="2">
        <f t="shared" si="74"/>
        <v>0</v>
      </c>
      <c r="AM550" s="2">
        <f t="shared" si="75"/>
        <v>0</v>
      </c>
      <c r="AN550" s="2">
        <f t="shared" si="76"/>
        <v>0</v>
      </c>
      <c r="AO550" s="2">
        <f t="shared" si="77"/>
        <v>0</v>
      </c>
      <c r="AP550" s="2">
        <f t="shared" si="78"/>
        <v>0</v>
      </c>
      <c r="AQ550" s="25">
        <f t="shared" si="79"/>
        <v>0</v>
      </c>
    </row>
    <row r="551" spans="1:43">
      <c r="A551" s="24">
        <v>46128</v>
      </c>
      <c r="B551" s="23">
        <f t="shared" si="72"/>
        <v>46113</v>
      </c>
      <c r="C551" s="2" t="s">
        <v>160</v>
      </c>
      <c r="D551" s="2" t="s">
        <v>487</v>
      </c>
      <c r="E551" s="2">
        <v>2651</v>
      </c>
      <c r="F551" s="2">
        <v>49</v>
      </c>
      <c r="G551" s="2">
        <v>43</v>
      </c>
      <c r="H551" s="2">
        <f t="shared" si="80"/>
        <v>6</v>
      </c>
      <c r="I551" s="2">
        <v>2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1</v>
      </c>
      <c r="P551" s="2">
        <v>0</v>
      </c>
      <c r="Q551" s="2">
        <v>0</v>
      </c>
      <c r="R551" s="2">
        <v>0</v>
      </c>
      <c r="S551" s="2">
        <v>0</v>
      </c>
      <c r="T551" s="2">
        <v>1</v>
      </c>
      <c r="U551" s="2">
        <v>1</v>
      </c>
      <c r="V551" s="2">
        <v>1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/>
      <c r="AJ551" s="2" t="s">
        <v>93</v>
      </c>
      <c r="AK551" s="2">
        <f t="shared" si="73"/>
        <v>2</v>
      </c>
      <c r="AL551" s="2">
        <f t="shared" si="74"/>
        <v>1</v>
      </c>
      <c r="AM551" s="2">
        <f t="shared" si="75"/>
        <v>0</v>
      </c>
      <c r="AN551" s="2">
        <f t="shared" si="76"/>
        <v>0</v>
      </c>
      <c r="AO551" s="2">
        <f t="shared" si="77"/>
        <v>3</v>
      </c>
      <c r="AP551" s="2">
        <f t="shared" si="78"/>
        <v>0</v>
      </c>
      <c r="AQ551" s="25">
        <f t="shared" si="79"/>
        <v>0</v>
      </c>
    </row>
    <row r="552" spans="1:43">
      <c r="A552" s="24">
        <v>46128</v>
      </c>
      <c r="B552" s="23">
        <f t="shared" si="72"/>
        <v>46113</v>
      </c>
      <c r="C552" s="2" t="s">
        <v>66</v>
      </c>
      <c r="D552" s="2" t="s">
        <v>545</v>
      </c>
      <c r="E552" s="2">
        <v>2683</v>
      </c>
      <c r="F552" s="2">
        <v>31</v>
      </c>
      <c r="G552" s="2">
        <v>31</v>
      </c>
      <c r="H552" s="2">
        <f t="shared" si="80"/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/>
      <c r="AJ552" s="2" t="s">
        <v>110</v>
      </c>
      <c r="AK552" s="2">
        <f t="shared" si="73"/>
        <v>0</v>
      </c>
      <c r="AL552" s="2">
        <f t="shared" si="74"/>
        <v>0</v>
      </c>
      <c r="AM552" s="2">
        <f t="shared" si="75"/>
        <v>0</v>
      </c>
      <c r="AN552" s="2">
        <f t="shared" si="76"/>
        <v>0</v>
      </c>
      <c r="AO552" s="2">
        <f t="shared" si="77"/>
        <v>0</v>
      </c>
      <c r="AP552" s="2">
        <f t="shared" si="78"/>
        <v>0</v>
      </c>
      <c r="AQ552" s="25">
        <f t="shared" si="79"/>
        <v>0</v>
      </c>
    </row>
    <row r="553" spans="1:43">
      <c r="A553" s="24">
        <v>46128</v>
      </c>
      <c r="B553" s="23">
        <f t="shared" si="72"/>
        <v>46113</v>
      </c>
      <c r="C553" s="2" t="s">
        <v>97</v>
      </c>
      <c r="D553" s="2" t="s">
        <v>578</v>
      </c>
      <c r="E553" s="2">
        <v>1734</v>
      </c>
      <c r="F553" s="2">
        <v>37</v>
      </c>
      <c r="G553" s="2">
        <v>37</v>
      </c>
      <c r="H553" s="2">
        <f t="shared" si="80"/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/>
      <c r="AJ553" s="2" t="s">
        <v>110</v>
      </c>
      <c r="AK553" s="2">
        <f t="shared" si="73"/>
        <v>0</v>
      </c>
      <c r="AL553" s="2">
        <f t="shared" si="74"/>
        <v>0</v>
      </c>
      <c r="AM553" s="2">
        <f t="shared" si="75"/>
        <v>0</v>
      </c>
      <c r="AN553" s="2">
        <f t="shared" si="76"/>
        <v>0</v>
      </c>
      <c r="AO553" s="2">
        <f t="shared" si="77"/>
        <v>0</v>
      </c>
      <c r="AP553" s="2">
        <f t="shared" si="78"/>
        <v>0</v>
      </c>
      <c r="AQ553" s="25">
        <f t="shared" si="79"/>
        <v>0</v>
      </c>
    </row>
    <row r="554" spans="1:43">
      <c r="A554" s="24">
        <v>46128</v>
      </c>
      <c r="B554" s="23">
        <f t="shared" si="72"/>
        <v>46113</v>
      </c>
      <c r="C554" s="2" t="s">
        <v>97</v>
      </c>
      <c r="D554" s="2" t="s">
        <v>479</v>
      </c>
      <c r="E554" s="2">
        <v>1734</v>
      </c>
      <c r="F554" s="2">
        <v>42</v>
      </c>
      <c r="G554" s="2">
        <v>42</v>
      </c>
      <c r="H554" s="2">
        <f t="shared" si="80"/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/>
      <c r="AJ554" s="2" t="s">
        <v>110</v>
      </c>
      <c r="AK554" s="2">
        <f t="shared" si="73"/>
        <v>0</v>
      </c>
      <c r="AL554" s="2">
        <f t="shared" si="74"/>
        <v>0</v>
      </c>
      <c r="AM554" s="2">
        <f t="shared" si="75"/>
        <v>0</v>
      </c>
      <c r="AN554" s="2">
        <f t="shared" si="76"/>
        <v>0</v>
      </c>
      <c r="AO554" s="2">
        <f t="shared" si="77"/>
        <v>0</v>
      </c>
      <c r="AP554" s="2">
        <f t="shared" si="78"/>
        <v>0</v>
      </c>
      <c r="AQ554" s="25">
        <f t="shared" si="79"/>
        <v>0</v>
      </c>
    </row>
    <row r="555" spans="1:43">
      <c r="A555" s="24">
        <v>46128</v>
      </c>
      <c r="B555" s="23">
        <f t="shared" si="72"/>
        <v>46113</v>
      </c>
      <c r="C555" s="2" t="s">
        <v>97</v>
      </c>
      <c r="D555" s="2" t="s">
        <v>481</v>
      </c>
      <c r="E555" s="2">
        <v>1734</v>
      </c>
      <c r="F555" s="2">
        <v>805</v>
      </c>
      <c r="G555" s="2">
        <v>801</v>
      </c>
      <c r="H555" s="2">
        <f t="shared" si="80"/>
        <v>4</v>
      </c>
      <c r="I555" s="2">
        <v>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2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/>
      <c r="AJ555" s="2" t="s">
        <v>110</v>
      </c>
      <c r="AK555" s="2">
        <f t="shared" si="73"/>
        <v>2</v>
      </c>
      <c r="AL555" s="2">
        <f t="shared" si="74"/>
        <v>2</v>
      </c>
      <c r="AM555" s="2">
        <f t="shared" si="75"/>
        <v>0</v>
      </c>
      <c r="AN555" s="2">
        <f t="shared" si="76"/>
        <v>0</v>
      </c>
      <c r="AO555" s="2">
        <f t="shared" si="77"/>
        <v>0</v>
      </c>
      <c r="AP555" s="2">
        <f t="shared" si="78"/>
        <v>0</v>
      </c>
      <c r="AQ555" s="25">
        <f t="shared" si="79"/>
        <v>0</v>
      </c>
    </row>
    <row r="556" spans="1:43">
      <c r="A556" s="24">
        <v>46128</v>
      </c>
      <c r="B556" s="23">
        <f t="shared" si="72"/>
        <v>46113</v>
      </c>
      <c r="C556" s="2" t="s">
        <v>133</v>
      </c>
      <c r="D556" s="2" t="s">
        <v>468</v>
      </c>
      <c r="E556" s="2">
        <v>2670</v>
      </c>
      <c r="F556" s="2">
        <v>48</v>
      </c>
      <c r="G556" s="2">
        <v>47</v>
      </c>
      <c r="H556" s="2">
        <f t="shared" si="80"/>
        <v>1</v>
      </c>
      <c r="I556" s="2">
        <v>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/>
      <c r="AJ556" s="2" t="s">
        <v>1566</v>
      </c>
      <c r="AK556" s="2">
        <f t="shared" si="73"/>
        <v>1</v>
      </c>
      <c r="AL556" s="2">
        <f t="shared" si="74"/>
        <v>0</v>
      </c>
      <c r="AM556" s="2">
        <f t="shared" si="75"/>
        <v>0</v>
      </c>
      <c r="AN556" s="2">
        <f t="shared" si="76"/>
        <v>0</v>
      </c>
      <c r="AO556" s="2">
        <f t="shared" si="77"/>
        <v>0</v>
      </c>
      <c r="AP556" s="2">
        <f t="shared" si="78"/>
        <v>0</v>
      </c>
      <c r="AQ556" s="25">
        <f t="shared" si="79"/>
        <v>0</v>
      </c>
    </row>
    <row r="557" spans="1:43">
      <c r="A557" s="24">
        <v>46128</v>
      </c>
      <c r="B557" s="23">
        <f t="shared" si="72"/>
        <v>46113</v>
      </c>
      <c r="C557" s="2" t="s">
        <v>133</v>
      </c>
      <c r="D557" s="2" t="s">
        <v>482</v>
      </c>
      <c r="E557" s="2">
        <v>2670</v>
      </c>
      <c r="F557" s="2">
        <v>14</v>
      </c>
      <c r="G557" s="2">
        <v>14</v>
      </c>
      <c r="H557" s="2">
        <f t="shared" si="80"/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/>
      <c r="AJ557" s="2" t="s">
        <v>1566</v>
      </c>
      <c r="AK557" s="2">
        <f t="shared" si="73"/>
        <v>0</v>
      </c>
      <c r="AL557" s="2">
        <f t="shared" si="74"/>
        <v>0</v>
      </c>
      <c r="AM557" s="2">
        <f t="shared" si="75"/>
        <v>0</v>
      </c>
      <c r="AN557" s="2">
        <f t="shared" si="76"/>
        <v>0</v>
      </c>
      <c r="AO557" s="2">
        <f t="shared" si="77"/>
        <v>0</v>
      </c>
      <c r="AP557" s="2">
        <f t="shared" si="78"/>
        <v>0</v>
      </c>
      <c r="AQ557" s="25">
        <f t="shared" si="79"/>
        <v>0</v>
      </c>
    </row>
    <row r="558" spans="1:43">
      <c r="A558" s="24">
        <v>46128</v>
      </c>
      <c r="B558" s="23">
        <f t="shared" si="72"/>
        <v>46113</v>
      </c>
      <c r="C558" s="2" t="s">
        <v>55</v>
      </c>
      <c r="D558" s="2" t="s">
        <v>1293</v>
      </c>
      <c r="E558" s="2">
        <v>2754</v>
      </c>
      <c r="F558" s="2">
        <v>11</v>
      </c>
      <c r="G558" s="2">
        <v>10</v>
      </c>
      <c r="H558" s="2">
        <f t="shared" si="80"/>
        <v>1</v>
      </c>
      <c r="I558" s="2">
        <v>1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/>
      <c r="AJ558" s="2" t="s">
        <v>1566</v>
      </c>
      <c r="AK558" s="2">
        <f t="shared" si="73"/>
        <v>1</v>
      </c>
      <c r="AL558" s="2">
        <f t="shared" si="74"/>
        <v>0</v>
      </c>
      <c r="AM558" s="2">
        <f t="shared" si="75"/>
        <v>0</v>
      </c>
      <c r="AN558" s="2">
        <f t="shared" si="76"/>
        <v>0</v>
      </c>
      <c r="AO558" s="2">
        <f t="shared" si="77"/>
        <v>0</v>
      </c>
      <c r="AP558" s="2">
        <f t="shared" si="78"/>
        <v>0</v>
      </c>
      <c r="AQ558" s="25">
        <f t="shared" si="79"/>
        <v>0</v>
      </c>
    </row>
    <row r="559" spans="1:43">
      <c r="A559" s="24">
        <v>46128</v>
      </c>
      <c r="B559" s="23">
        <f t="shared" si="72"/>
        <v>46113</v>
      </c>
      <c r="C559" s="2" t="s">
        <v>133</v>
      </c>
      <c r="D559" s="2" t="s">
        <v>427</v>
      </c>
      <c r="E559" s="2">
        <v>95154</v>
      </c>
      <c r="F559" s="2">
        <v>37</v>
      </c>
      <c r="G559" s="2">
        <v>37</v>
      </c>
      <c r="H559" s="2">
        <f t="shared" si="80"/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/>
      <c r="AJ559" s="2" t="s">
        <v>1566</v>
      </c>
      <c r="AK559" s="2">
        <f t="shared" si="73"/>
        <v>0</v>
      </c>
      <c r="AL559" s="2">
        <f t="shared" si="74"/>
        <v>0</v>
      </c>
      <c r="AM559" s="2">
        <f t="shared" si="75"/>
        <v>0</v>
      </c>
      <c r="AN559" s="2">
        <f t="shared" si="76"/>
        <v>0</v>
      </c>
      <c r="AO559" s="2">
        <f t="shared" si="77"/>
        <v>0</v>
      </c>
      <c r="AP559" s="2">
        <f t="shared" si="78"/>
        <v>0</v>
      </c>
      <c r="AQ559" s="25">
        <f t="shared" si="79"/>
        <v>0</v>
      </c>
    </row>
    <row r="560" spans="1:43">
      <c r="A560" s="24">
        <v>46128</v>
      </c>
      <c r="B560" s="23">
        <f t="shared" si="72"/>
        <v>46113</v>
      </c>
      <c r="C560" s="2" t="s">
        <v>63</v>
      </c>
      <c r="D560" s="2" t="s">
        <v>507</v>
      </c>
      <c r="E560" s="2">
        <v>2725</v>
      </c>
      <c r="F560" s="2">
        <v>76</v>
      </c>
      <c r="G560" s="2">
        <v>70</v>
      </c>
      <c r="H560" s="2">
        <f t="shared" si="80"/>
        <v>6</v>
      </c>
      <c r="I560" s="2">
        <v>2</v>
      </c>
      <c r="J560" s="2">
        <v>0</v>
      </c>
      <c r="K560" s="2">
        <v>3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1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/>
      <c r="AJ560" s="2" t="s">
        <v>1568</v>
      </c>
      <c r="AK560" s="2">
        <f t="shared" si="73"/>
        <v>2</v>
      </c>
      <c r="AL560" s="2">
        <f t="shared" si="74"/>
        <v>3</v>
      </c>
      <c r="AM560" s="2">
        <f t="shared" si="75"/>
        <v>0</v>
      </c>
      <c r="AN560" s="2">
        <f t="shared" si="76"/>
        <v>1</v>
      </c>
      <c r="AO560" s="2">
        <f t="shared" si="77"/>
        <v>0</v>
      </c>
      <c r="AP560" s="2">
        <f t="shared" si="78"/>
        <v>0</v>
      </c>
      <c r="AQ560" s="25">
        <f t="shared" si="79"/>
        <v>0</v>
      </c>
    </row>
    <row r="561" spans="1:43">
      <c r="A561" s="24">
        <v>46128</v>
      </c>
      <c r="B561" s="23">
        <f t="shared" si="72"/>
        <v>46113</v>
      </c>
      <c r="C561" s="2" t="s">
        <v>62</v>
      </c>
      <c r="D561" s="2" t="s">
        <v>425</v>
      </c>
      <c r="E561" s="2">
        <v>1806</v>
      </c>
      <c r="F561" s="2">
        <v>52</v>
      </c>
      <c r="G561" s="2">
        <v>50</v>
      </c>
      <c r="H561" s="2">
        <f t="shared" si="80"/>
        <v>2</v>
      </c>
      <c r="I561" s="2">
        <v>2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/>
      <c r="AJ561" s="2" t="s">
        <v>1568</v>
      </c>
      <c r="AK561" s="2">
        <f t="shared" si="73"/>
        <v>2</v>
      </c>
      <c r="AL561" s="2">
        <f t="shared" si="74"/>
        <v>0</v>
      </c>
      <c r="AM561" s="2">
        <f t="shared" si="75"/>
        <v>0</v>
      </c>
      <c r="AN561" s="2">
        <f t="shared" si="76"/>
        <v>0</v>
      </c>
      <c r="AO561" s="2">
        <f t="shared" si="77"/>
        <v>0</v>
      </c>
      <c r="AP561" s="2">
        <f t="shared" si="78"/>
        <v>0</v>
      </c>
      <c r="AQ561" s="25">
        <f t="shared" si="79"/>
        <v>0</v>
      </c>
    </row>
    <row r="562" spans="1:43">
      <c r="A562" s="24">
        <v>46128</v>
      </c>
      <c r="B562" s="23">
        <f t="shared" si="72"/>
        <v>46113</v>
      </c>
      <c r="C562" s="2" t="s">
        <v>62</v>
      </c>
      <c r="D562" s="2" t="s">
        <v>527</v>
      </c>
      <c r="E562" s="2">
        <v>2622</v>
      </c>
      <c r="F562" s="2">
        <v>382</v>
      </c>
      <c r="G562" s="2">
        <v>381</v>
      </c>
      <c r="H562" s="2">
        <f t="shared" si="80"/>
        <v>1</v>
      </c>
      <c r="I562" s="2">
        <v>1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/>
      <c r="AJ562" s="2" t="s">
        <v>1568</v>
      </c>
      <c r="AK562" s="2">
        <f t="shared" si="73"/>
        <v>1</v>
      </c>
      <c r="AL562" s="2">
        <f t="shared" si="74"/>
        <v>0</v>
      </c>
      <c r="AM562" s="2">
        <f t="shared" si="75"/>
        <v>0</v>
      </c>
      <c r="AN562" s="2">
        <f t="shared" si="76"/>
        <v>0</v>
      </c>
      <c r="AO562" s="2">
        <f t="shared" si="77"/>
        <v>0</v>
      </c>
      <c r="AP562" s="2">
        <f t="shared" si="78"/>
        <v>0</v>
      </c>
      <c r="AQ562" s="25">
        <f t="shared" si="79"/>
        <v>0</v>
      </c>
    </row>
    <row r="563" spans="1:43">
      <c r="A563" s="24">
        <v>46128</v>
      </c>
      <c r="B563" s="23">
        <f t="shared" si="72"/>
        <v>46113</v>
      </c>
      <c r="C563" s="2" t="s">
        <v>62</v>
      </c>
      <c r="D563" s="2" t="s">
        <v>559</v>
      </c>
      <c r="E563" s="2">
        <v>1824</v>
      </c>
      <c r="F563" s="2">
        <v>307</v>
      </c>
      <c r="G563" s="2">
        <v>296</v>
      </c>
      <c r="H563" s="2">
        <f t="shared" si="80"/>
        <v>11</v>
      </c>
      <c r="I563" s="2">
        <v>11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/>
      <c r="AJ563" s="2" t="s">
        <v>1568</v>
      </c>
      <c r="AK563" s="2">
        <f t="shared" si="73"/>
        <v>11</v>
      </c>
      <c r="AL563" s="2">
        <f t="shared" si="74"/>
        <v>0</v>
      </c>
      <c r="AM563" s="2">
        <f t="shared" si="75"/>
        <v>0</v>
      </c>
      <c r="AN563" s="2">
        <f t="shared" si="76"/>
        <v>0</v>
      </c>
      <c r="AO563" s="2">
        <f t="shared" si="77"/>
        <v>0</v>
      </c>
      <c r="AP563" s="2">
        <f t="shared" si="78"/>
        <v>0</v>
      </c>
      <c r="AQ563" s="25">
        <f t="shared" si="79"/>
        <v>0</v>
      </c>
    </row>
    <row r="564" spans="1:43">
      <c r="A564" s="24">
        <v>46128</v>
      </c>
      <c r="B564" s="23">
        <f t="shared" si="72"/>
        <v>46113</v>
      </c>
      <c r="C564" s="2" t="s">
        <v>63</v>
      </c>
      <c r="D564" s="2" t="s">
        <v>549</v>
      </c>
      <c r="E564" s="2">
        <v>1870</v>
      </c>
      <c r="F564" s="2">
        <v>195</v>
      </c>
      <c r="G564" s="2">
        <v>183</v>
      </c>
      <c r="H564" s="2">
        <f t="shared" si="80"/>
        <v>12</v>
      </c>
      <c r="I564" s="2">
        <v>12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/>
      <c r="AJ564" s="2" t="s">
        <v>1568</v>
      </c>
      <c r="AK564" s="2">
        <f t="shared" si="73"/>
        <v>12</v>
      </c>
      <c r="AL564" s="2">
        <f t="shared" si="74"/>
        <v>0</v>
      </c>
      <c r="AM564" s="2">
        <f t="shared" si="75"/>
        <v>0</v>
      </c>
      <c r="AN564" s="2">
        <f t="shared" si="76"/>
        <v>0</v>
      </c>
      <c r="AO564" s="2">
        <f t="shared" si="77"/>
        <v>0</v>
      </c>
      <c r="AP564" s="2">
        <f t="shared" si="78"/>
        <v>0</v>
      </c>
      <c r="AQ564" s="25">
        <f t="shared" si="79"/>
        <v>0</v>
      </c>
    </row>
    <row r="565" spans="1:43">
      <c r="A565" s="24">
        <v>46128</v>
      </c>
      <c r="B565" s="23">
        <f t="shared" si="72"/>
        <v>46113</v>
      </c>
      <c r="C565" s="2" t="s">
        <v>95</v>
      </c>
      <c r="D565" s="2" t="s">
        <v>454</v>
      </c>
      <c r="E565" s="2">
        <v>2727</v>
      </c>
      <c r="F565" s="2">
        <v>139</v>
      </c>
      <c r="G565" s="2">
        <v>139</v>
      </c>
      <c r="H565" s="2">
        <f t="shared" si="80"/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/>
      <c r="AJ565" s="2" t="s">
        <v>77</v>
      </c>
      <c r="AK565" s="2">
        <f t="shared" si="73"/>
        <v>0</v>
      </c>
      <c r="AL565" s="2">
        <f t="shared" si="74"/>
        <v>0</v>
      </c>
      <c r="AM565" s="2">
        <f t="shared" si="75"/>
        <v>0</v>
      </c>
      <c r="AN565" s="2">
        <f t="shared" si="76"/>
        <v>0</v>
      </c>
      <c r="AO565" s="2">
        <f t="shared" si="77"/>
        <v>0</v>
      </c>
      <c r="AP565" s="2">
        <f t="shared" si="78"/>
        <v>0</v>
      </c>
      <c r="AQ565" s="25">
        <f t="shared" si="79"/>
        <v>0</v>
      </c>
    </row>
    <row r="566" spans="1:43">
      <c r="A566" s="24">
        <v>46128</v>
      </c>
      <c r="B566" s="23">
        <f t="shared" si="72"/>
        <v>46113</v>
      </c>
      <c r="C566" s="2" t="s">
        <v>95</v>
      </c>
      <c r="D566" s="2" t="s">
        <v>490</v>
      </c>
      <c r="E566" s="2">
        <v>1698</v>
      </c>
      <c r="F566" s="2">
        <v>404</v>
      </c>
      <c r="G566" s="2">
        <v>383</v>
      </c>
      <c r="H566" s="2">
        <f t="shared" si="80"/>
        <v>21</v>
      </c>
      <c r="I566" s="2">
        <v>21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/>
      <c r="AJ566" s="2" t="s">
        <v>77</v>
      </c>
      <c r="AK566" s="2">
        <f t="shared" si="73"/>
        <v>21</v>
      </c>
      <c r="AL566" s="2">
        <f t="shared" si="74"/>
        <v>0</v>
      </c>
      <c r="AM566" s="2">
        <f t="shared" si="75"/>
        <v>0</v>
      </c>
      <c r="AN566" s="2">
        <f t="shared" si="76"/>
        <v>0</v>
      </c>
      <c r="AO566" s="2">
        <f t="shared" si="77"/>
        <v>0</v>
      </c>
      <c r="AP566" s="2">
        <f t="shared" si="78"/>
        <v>0</v>
      </c>
      <c r="AQ566" s="25">
        <f t="shared" si="79"/>
        <v>0</v>
      </c>
    </row>
    <row r="567" spans="1:43">
      <c r="A567" s="24">
        <v>46128</v>
      </c>
      <c r="B567" s="23">
        <f t="shared" si="72"/>
        <v>46113</v>
      </c>
      <c r="C567" s="2" t="s">
        <v>95</v>
      </c>
      <c r="D567" s="2" t="s">
        <v>451</v>
      </c>
      <c r="E567" s="2">
        <v>1698</v>
      </c>
      <c r="F567" s="2">
        <v>449</v>
      </c>
      <c r="G567" s="2">
        <v>440</v>
      </c>
      <c r="H567" s="2">
        <f t="shared" si="80"/>
        <v>9</v>
      </c>
      <c r="I567" s="2">
        <v>9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/>
      <c r="AJ567" s="2" t="s">
        <v>77</v>
      </c>
      <c r="AK567" s="2">
        <f t="shared" si="73"/>
        <v>9</v>
      </c>
      <c r="AL567" s="2">
        <f t="shared" si="74"/>
        <v>0</v>
      </c>
      <c r="AM567" s="2">
        <f t="shared" si="75"/>
        <v>0</v>
      </c>
      <c r="AN567" s="2">
        <f t="shared" si="76"/>
        <v>0</v>
      </c>
      <c r="AO567" s="2">
        <f t="shared" si="77"/>
        <v>0</v>
      </c>
      <c r="AP567" s="2">
        <f t="shared" si="78"/>
        <v>0</v>
      </c>
      <c r="AQ567" s="25">
        <f t="shared" si="79"/>
        <v>0</v>
      </c>
    </row>
    <row r="568" spans="1:43">
      <c r="A568" s="24">
        <v>46128</v>
      </c>
      <c r="B568" s="23">
        <f t="shared" si="72"/>
        <v>46113</v>
      </c>
      <c r="C568" s="2" t="s">
        <v>95</v>
      </c>
      <c r="D568" s="2" t="s">
        <v>491</v>
      </c>
      <c r="E568" s="2">
        <v>1698</v>
      </c>
      <c r="F568" s="2">
        <v>77</v>
      </c>
      <c r="G568" s="2">
        <v>73</v>
      </c>
      <c r="H568" s="2">
        <f t="shared" si="80"/>
        <v>4</v>
      </c>
      <c r="I568" s="2">
        <v>4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/>
      <c r="AJ568" s="2" t="s">
        <v>77</v>
      </c>
      <c r="AK568" s="2">
        <f t="shared" si="73"/>
        <v>4</v>
      </c>
      <c r="AL568" s="2">
        <f t="shared" si="74"/>
        <v>0</v>
      </c>
      <c r="AM568" s="2">
        <f t="shared" si="75"/>
        <v>0</v>
      </c>
      <c r="AN568" s="2">
        <f t="shared" si="76"/>
        <v>0</v>
      </c>
      <c r="AO568" s="2">
        <f t="shared" si="77"/>
        <v>0</v>
      </c>
      <c r="AP568" s="2">
        <f t="shared" si="78"/>
        <v>0</v>
      </c>
      <c r="AQ568" s="25">
        <f t="shared" si="79"/>
        <v>0</v>
      </c>
    </row>
    <row r="569" spans="1:43">
      <c r="A569" s="24">
        <v>46128</v>
      </c>
      <c r="B569" s="23">
        <f t="shared" si="72"/>
        <v>46113</v>
      </c>
      <c r="C569" s="2" t="s">
        <v>95</v>
      </c>
      <c r="D569" s="2" t="s">
        <v>1540</v>
      </c>
      <c r="E569" s="2">
        <v>1767</v>
      </c>
      <c r="F569" s="2">
        <v>504</v>
      </c>
      <c r="G569" s="2">
        <v>500</v>
      </c>
      <c r="H569" s="2">
        <f t="shared" si="80"/>
        <v>4</v>
      </c>
      <c r="I569" s="2">
        <v>4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/>
      <c r="AJ569" s="2" t="s">
        <v>77</v>
      </c>
      <c r="AK569" s="2">
        <f t="shared" si="73"/>
        <v>4</v>
      </c>
      <c r="AL569" s="2">
        <f t="shared" si="74"/>
        <v>0</v>
      </c>
      <c r="AM569" s="2">
        <f t="shared" si="75"/>
        <v>0</v>
      </c>
      <c r="AN569" s="2">
        <f t="shared" si="76"/>
        <v>0</v>
      </c>
      <c r="AO569" s="2">
        <f t="shared" si="77"/>
        <v>0</v>
      </c>
      <c r="AP569" s="2">
        <f t="shared" si="78"/>
        <v>0</v>
      </c>
      <c r="AQ569" s="25">
        <f t="shared" si="79"/>
        <v>0</v>
      </c>
    </row>
    <row r="570" spans="1:43">
      <c r="A570" s="24">
        <v>46129</v>
      </c>
      <c r="B570" s="23">
        <f t="shared" si="72"/>
        <v>46113</v>
      </c>
      <c r="C570" s="2" t="s">
        <v>46</v>
      </c>
      <c r="D570" s="2" t="s">
        <v>1540</v>
      </c>
      <c r="E570" s="2">
        <v>1767</v>
      </c>
      <c r="F570" s="2">
        <v>165</v>
      </c>
      <c r="G570" s="2">
        <v>152</v>
      </c>
      <c r="H570" s="2">
        <f t="shared" si="80"/>
        <v>13</v>
      </c>
      <c r="I570" s="2">
        <v>11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1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1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/>
      <c r="AJ570" s="2" t="s">
        <v>80</v>
      </c>
      <c r="AK570" s="2">
        <f t="shared" si="73"/>
        <v>11</v>
      </c>
      <c r="AL570" s="2">
        <f t="shared" si="74"/>
        <v>1</v>
      </c>
      <c r="AM570" s="2">
        <f t="shared" si="75"/>
        <v>0</v>
      </c>
      <c r="AN570" s="2">
        <f t="shared" si="76"/>
        <v>1</v>
      </c>
      <c r="AO570" s="2">
        <f t="shared" si="77"/>
        <v>0</v>
      </c>
      <c r="AP570" s="2">
        <f t="shared" si="78"/>
        <v>0</v>
      </c>
      <c r="AQ570" s="25">
        <f t="shared" si="79"/>
        <v>0</v>
      </c>
    </row>
    <row r="571" spans="1:43">
      <c r="A571" s="24">
        <v>46129</v>
      </c>
      <c r="B571" s="23">
        <f t="shared" si="72"/>
        <v>46113</v>
      </c>
      <c r="C571" s="2" t="s">
        <v>95</v>
      </c>
      <c r="D571" s="2" t="s">
        <v>1540</v>
      </c>
      <c r="E571" s="2">
        <v>1767</v>
      </c>
      <c r="F571" s="2">
        <v>120</v>
      </c>
      <c r="G571" s="2">
        <v>120</v>
      </c>
      <c r="H571" s="2">
        <f t="shared" si="80"/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/>
      <c r="AJ571" s="2" t="s">
        <v>80</v>
      </c>
      <c r="AK571" s="2">
        <f t="shared" si="73"/>
        <v>0</v>
      </c>
      <c r="AL571" s="2">
        <f t="shared" si="74"/>
        <v>0</v>
      </c>
      <c r="AM571" s="2">
        <f t="shared" si="75"/>
        <v>0</v>
      </c>
      <c r="AN571" s="2">
        <f t="shared" si="76"/>
        <v>0</v>
      </c>
      <c r="AO571" s="2">
        <f t="shared" si="77"/>
        <v>0</v>
      </c>
      <c r="AP571" s="2">
        <f t="shared" si="78"/>
        <v>0</v>
      </c>
      <c r="AQ571" s="25">
        <f t="shared" si="79"/>
        <v>0</v>
      </c>
    </row>
    <row r="572" spans="1:43">
      <c r="A572" s="24">
        <v>46129</v>
      </c>
      <c r="B572" s="23">
        <f t="shared" si="72"/>
        <v>46113</v>
      </c>
      <c r="C572" s="2" t="s">
        <v>46</v>
      </c>
      <c r="D572" s="2" t="s">
        <v>469</v>
      </c>
      <c r="E572" s="2">
        <v>2606</v>
      </c>
      <c r="F572" s="2">
        <v>64</v>
      </c>
      <c r="G572" s="2">
        <v>64</v>
      </c>
      <c r="H572" s="2">
        <f t="shared" si="80"/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/>
      <c r="AJ572" s="2" t="s">
        <v>80</v>
      </c>
      <c r="AK572" s="2">
        <f t="shared" si="73"/>
        <v>0</v>
      </c>
      <c r="AL572" s="2">
        <f t="shared" si="74"/>
        <v>0</v>
      </c>
      <c r="AM572" s="2">
        <f t="shared" si="75"/>
        <v>0</v>
      </c>
      <c r="AN572" s="2">
        <f t="shared" si="76"/>
        <v>0</v>
      </c>
      <c r="AO572" s="2">
        <f t="shared" si="77"/>
        <v>0</v>
      </c>
      <c r="AP572" s="2">
        <f t="shared" si="78"/>
        <v>0</v>
      </c>
      <c r="AQ572" s="25">
        <f t="shared" si="79"/>
        <v>0</v>
      </c>
    </row>
    <row r="573" spans="1:43">
      <c r="A573" s="24">
        <v>46129</v>
      </c>
      <c r="B573" s="23">
        <f t="shared" si="72"/>
        <v>46113</v>
      </c>
      <c r="C573" s="2" t="s">
        <v>46</v>
      </c>
      <c r="D573" s="2" t="s">
        <v>1541</v>
      </c>
      <c r="E573" s="2">
        <v>10047</v>
      </c>
      <c r="F573" s="2">
        <v>202</v>
      </c>
      <c r="G573" s="2">
        <v>202</v>
      </c>
      <c r="H573" s="2">
        <f t="shared" si="80"/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/>
      <c r="AJ573" s="2" t="s">
        <v>80</v>
      </c>
      <c r="AK573" s="2">
        <f t="shared" si="73"/>
        <v>0</v>
      </c>
      <c r="AL573" s="2">
        <f t="shared" si="74"/>
        <v>0</v>
      </c>
      <c r="AM573" s="2">
        <f t="shared" si="75"/>
        <v>0</v>
      </c>
      <c r="AN573" s="2">
        <f t="shared" si="76"/>
        <v>0</v>
      </c>
      <c r="AO573" s="2">
        <f t="shared" si="77"/>
        <v>0</v>
      </c>
      <c r="AP573" s="2">
        <f t="shared" si="78"/>
        <v>0</v>
      </c>
      <c r="AQ573" s="25">
        <f t="shared" si="79"/>
        <v>0</v>
      </c>
    </row>
    <row r="574" spans="1:43">
      <c r="A574" s="24">
        <v>46129</v>
      </c>
      <c r="B574" s="23">
        <f t="shared" si="72"/>
        <v>46113</v>
      </c>
      <c r="C574" s="2" t="s">
        <v>66</v>
      </c>
      <c r="D574" s="2" t="s">
        <v>522</v>
      </c>
      <c r="E574" s="2">
        <v>2642</v>
      </c>
      <c r="F574" s="2">
        <v>92</v>
      </c>
      <c r="G574" s="2">
        <v>92</v>
      </c>
      <c r="H574" s="2">
        <f t="shared" si="80"/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/>
      <c r="AJ574" s="2" t="s">
        <v>80</v>
      </c>
      <c r="AK574" s="2">
        <f t="shared" si="73"/>
        <v>0</v>
      </c>
      <c r="AL574" s="2">
        <f t="shared" si="74"/>
        <v>0</v>
      </c>
      <c r="AM574" s="2">
        <f t="shared" si="75"/>
        <v>0</v>
      </c>
      <c r="AN574" s="2">
        <f t="shared" si="76"/>
        <v>0</v>
      </c>
      <c r="AO574" s="2">
        <f t="shared" si="77"/>
        <v>0</v>
      </c>
      <c r="AP574" s="2">
        <f t="shared" si="78"/>
        <v>0</v>
      </c>
      <c r="AQ574" s="25">
        <f t="shared" si="79"/>
        <v>0</v>
      </c>
    </row>
    <row r="575" spans="1:43">
      <c r="A575" s="24">
        <v>46129</v>
      </c>
      <c r="B575" s="23">
        <f t="shared" si="72"/>
        <v>46113</v>
      </c>
      <c r="C575" s="2" t="s">
        <v>114</v>
      </c>
      <c r="D575" s="2" t="s">
        <v>464</v>
      </c>
      <c r="E575" s="2">
        <v>2642</v>
      </c>
      <c r="F575" s="2">
        <v>159</v>
      </c>
      <c r="G575" s="2">
        <v>159</v>
      </c>
      <c r="H575" s="2">
        <f t="shared" si="80"/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/>
      <c r="AJ575" s="2" t="s">
        <v>80</v>
      </c>
      <c r="AK575" s="2">
        <f t="shared" si="73"/>
        <v>0</v>
      </c>
      <c r="AL575" s="2">
        <f t="shared" si="74"/>
        <v>0</v>
      </c>
      <c r="AM575" s="2">
        <f t="shared" si="75"/>
        <v>0</v>
      </c>
      <c r="AN575" s="2">
        <f t="shared" si="76"/>
        <v>0</v>
      </c>
      <c r="AO575" s="2">
        <f t="shared" si="77"/>
        <v>0</v>
      </c>
      <c r="AP575" s="2">
        <f t="shared" si="78"/>
        <v>0</v>
      </c>
      <c r="AQ575" s="25">
        <f t="shared" si="79"/>
        <v>0</v>
      </c>
    </row>
    <row r="576" spans="1:43">
      <c r="A576" s="24">
        <v>46129</v>
      </c>
      <c r="B576" s="23">
        <f t="shared" si="72"/>
        <v>46113</v>
      </c>
      <c r="C576" s="2" t="s">
        <v>66</v>
      </c>
      <c r="D576" s="2" t="s">
        <v>464</v>
      </c>
      <c r="E576" s="2">
        <v>2642</v>
      </c>
      <c r="F576" s="2">
        <v>285</v>
      </c>
      <c r="G576" s="2">
        <v>283</v>
      </c>
      <c r="H576" s="2">
        <f t="shared" si="80"/>
        <v>2</v>
      </c>
      <c r="I576" s="2">
        <v>2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/>
      <c r="AJ576" s="2" t="s">
        <v>80</v>
      </c>
      <c r="AK576" s="2">
        <f t="shared" si="73"/>
        <v>2</v>
      </c>
      <c r="AL576" s="2">
        <f t="shared" si="74"/>
        <v>0</v>
      </c>
      <c r="AM576" s="2">
        <f t="shared" si="75"/>
        <v>0</v>
      </c>
      <c r="AN576" s="2">
        <f t="shared" si="76"/>
        <v>0</v>
      </c>
      <c r="AO576" s="2">
        <f t="shared" si="77"/>
        <v>0</v>
      </c>
      <c r="AP576" s="2">
        <f t="shared" si="78"/>
        <v>0</v>
      </c>
      <c r="AQ576" s="25">
        <f t="shared" si="79"/>
        <v>0</v>
      </c>
    </row>
    <row r="577" spans="1:43">
      <c r="A577" s="24">
        <v>46129</v>
      </c>
      <c r="B577" s="23">
        <f t="shared" si="72"/>
        <v>46113</v>
      </c>
      <c r="C577" s="2" t="s">
        <v>46</v>
      </c>
      <c r="D577" s="2" t="s">
        <v>1540</v>
      </c>
      <c r="E577" s="2">
        <v>1767</v>
      </c>
      <c r="F577" s="2">
        <v>326</v>
      </c>
      <c r="G577" s="2">
        <v>300</v>
      </c>
      <c r="H577" s="2">
        <f t="shared" si="80"/>
        <v>26</v>
      </c>
      <c r="I577" s="2">
        <v>25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1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/>
      <c r="AJ577" s="2" t="s">
        <v>80</v>
      </c>
      <c r="AK577" s="2">
        <f t="shared" si="73"/>
        <v>25</v>
      </c>
      <c r="AL577" s="2">
        <f t="shared" si="74"/>
        <v>1</v>
      </c>
      <c r="AM577" s="2">
        <f t="shared" si="75"/>
        <v>0</v>
      </c>
      <c r="AN577" s="2">
        <f t="shared" si="76"/>
        <v>0</v>
      </c>
      <c r="AO577" s="2">
        <f t="shared" si="77"/>
        <v>0</v>
      </c>
      <c r="AP577" s="2">
        <f t="shared" si="78"/>
        <v>0</v>
      </c>
      <c r="AQ577" s="25">
        <f t="shared" si="79"/>
        <v>0</v>
      </c>
    </row>
    <row r="578" spans="1:43">
      <c r="A578" s="24">
        <v>46129</v>
      </c>
      <c r="B578" s="23">
        <f t="shared" ref="B578:B641" si="81">EOMONTH(A578,-1)+1</f>
        <v>46113</v>
      </c>
      <c r="C578" s="2" t="s">
        <v>82</v>
      </c>
      <c r="D578" s="2" t="s">
        <v>562</v>
      </c>
      <c r="E578" s="2">
        <v>2648</v>
      </c>
      <c r="F578" s="2">
        <v>32</v>
      </c>
      <c r="G578" s="2">
        <v>29</v>
      </c>
      <c r="H578" s="2">
        <f t="shared" si="80"/>
        <v>3</v>
      </c>
      <c r="I578" s="2">
        <v>2</v>
      </c>
      <c r="J578" s="2">
        <v>0</v>
      </c>
      <c r="K578" s="2">
        <v>1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/>
      <c r="AJ578" s="2" t="s">
        <v>93</v>
      </c>
      <c r="AK578" s="2">
        <f t="shared" ref="AK578:AK641" si="82">+I578+AF578</f>
        <v>2</v>
      </c>
      <c r="AL578" s="2">
        <f t="shared" ref="AL578:AL641" si="83">+J578+K578+O578+N578+P578+R578+S578+Q578+M578+L578</f>
        <v>1</v>
      </c>
      <c r="AM578" s="2">
        <f t="shared" ref="AM578:AM641" si="84">+AB578+AC578</f>
        <v>0</v>
      </c>
      <c r="AN578" s="2">
        <f t="shared" ref="AN578:AN641" si="85">+AH578+AG578+AA578+Z578</f>
        <v>0</v>
      </c>
      <c r="AO578" s="2">
        <f t="shared" ref="AO578:AO641" si="86">+X578+W578+V578+U578+T578+Y578</f>
        <v>0</v>
      </c>
      <c r="AP578" s="2">
        <f t="shared" ref="AP578:AP641" si="87">+AD578</f>
        <v>0</v>
      </c>
      <c r="AQ578" s="25">
        <f t="shared" ref="AQ578:AQ641" si="88">+AE578</f>
        <v>0</v>
      </c>
    </row>
    <row r="579" spans="1:43">
      <c r="A579" s="24">
        <v>46129</v>
      </c>
      <c r="B579" s="23">
        <f t="shared" si="81"/>
        <v>46113</v>
      </c>
      <c r="C579" s="2" t="s">
        <v>82</v>
      </c>
      <c r="D579" s="2" t="s">
        <v>484</v>
      </c>
      <c r="E579" s="2">
        <v>2648</v>
      </c>
      <c r="F579" s="2">
        <v>93</v>
      </c>
      <c r="G579" s="2">
        <v>89</v>
      </c>
      <c r="H579" s="2">
        <f t="shared" ref="H579:H642" si="89">F579-G579</f>
        <v>4</v>
      </c>
      <c r="I579" s="2">
        <v>4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/>
      <c r="AJ579" s="2" t="s">
        <v>93</v>
      </c>
      <c r="AK579" s="2">
        <f t="shared" si="82"/>
        <v>4</v>
      </c>
      <c r="AL579" s="2">
        <f t="shared" si="83"/>
        <v>0</v>
      </c>
      <c r="AM579" s="2">
        <f t="shared" si="84"/>
        <v>0</v>
      </c>
      <c r="AN579" s="2">
        <f t="shared" si="85"/>
        <v>0</v>
      </c>
      <c r="AO579" s="2">
        <f t="shared" si="86"/>
        <v>0</v>
      </c>
      <c r="AP579" s="2">
        <f t="shared" si="87"/>
        <v>0</v>
      </c>
      <c r="AQ579" s="25">
        <f t="shared" si="88"/>
        <v>0</v>
      </c>
    </row>
    <row r="580" spans="1:43">
      <c r="A580" s="24">
        <v>46129</v>
      </c>
      <c r="B580" s="23">
        <f t="shared" si="81"/>
        <v>46113</v>
      </c>
      <c r="C580" s="2" t="s">
        <v>82</v>
      </c>
      <c r="D580" s="2" t="s">
        <v>515</v>
      </c>
      <c r="E580" s="2">
        <v>2608</v>
      </c>
      <c r="F580" s="2">
        <v>32</v>
      </c>
      <c r="G580" s="2">
        <v>32</v>
      </c>
      <c r="H580" s="2">
        <f t="shared" si="89"/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/>
      <c r="AJ580" s="2" t="s">
        <v>93</v>
      </c>
      <c r="AK580" s="2">
        <f t="shared" si="82"/>
        <v>0</v>
      </c>
      <c r="AL580" s="2">
        <f t="shared" si="83"/>
        <v>0</v>
      </c>
      <c r="AM580" s="2">
        <f t="shared" si="84"/>
        <v>0</v>
      </c>
      <c r="AN580" s="2">
        <f t="shared" si="85"/>
        <v>0</v>
      </c>
      <c r="AO580" s="2">
        <f t="shared" si="86"/>
        <v>0</v>
      </c>
      <c r="AP580" s="2">
        <f t="shared" si="87"/>
        <v>0</v>
      </c>
      <c r="AQ580" s="25">
        <f t="shared" si="88"/>
        <v>0</v>
      </c>
    </row>
    <row r="581" spans="1:43">
      <c r="A581" s="24">
        <v>46129</v>
      </c>
      <c r="B581" s="23">
        <f t="shared" si="81"/>
        <v>46113</v>
      </c>
      <c r="C581" s="2" t="s">
        <v>82</v>
      </c>
      <c r="D581" s="2" t="s">
        <v>491</v>
      </c>
      <c r="E581" s="2">
        <v>1698</v>
      </c>
      <c r="F581" s="2">
        <v>155</v>
      </c>
      <c r="G581" s="2">
        <v>148</v>
      </c>
      <c r="H581" s="2">
        <f t="shared" si="89"/>
        <v>7</v>
      </c>
      <c r="I581" s="2">
        <v>7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/>
      <c r="AJ581" s="2" t="s">
        <v>93</v>
      </c>
      <c r="AK581" s="2">
        <f t="shared" si="82"/>
        <v>7</v>
      </c>
      <c r="AL581" s="2">
        <f t="shared" si="83"/>
        <v>0</v>
      </c>
      <c r="AM581" s="2">
        <f t="shared" si="84"/>
        <v>0</v>
      </c>
      <c r="AN581" s="2">
        <f t="shared" si="85"/>
        <v>0</v>
      </c>
      <c r="AO581" s="2">
        <f t="shared" si="86"/>
        <v>0</v>
      </c>
      <c r="AP581" s="2">
        <f t="shared" si="87"/>
        <v>0</v>
      </c>
      <c r="AQ581" s="25">
        <f t="shared" si="88"/>
        <v>0</v>
      </c>
    </row>
    <row r="582" spans="1:43">
      <c r="A582" s="24">
        <v>46129</v>
      </c>
      <c r="B582" s="23">
        <f t="shared" si="81"/>
        <v>46113</v>
      </c>
      <c r="C582" s="2" t="s">
        <v>82</v>
      </c>
      <c r="D582" s="2" t="s">
        <v>491</v>
      </c>
      <c r="E582" s="2">
        <v>1698</v>
      </c>
      <c r="F582" s="2">
        <v>32</v>
      </c>
      <c r="G582" s="2">
        <v>29</v>
      </c>
      <c r="H582" s="2">
        <f t="shared" si="89"/>
        <v>3</v>
      </c>
      <c r="I582" s="2">
        <v>3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/>
      <c r="AJ582" s="2" t="s">
        <v>93</v>
      </c>
      <c r="AK582" s="2">
        <f t="shared" si="82"/>
        <v>3</v>
      </c>
      <c r="AL582" s="2">
        <f t="shared" si="83"/>
        <v>0</v>
      </c>
      <c r="AM582" s="2">
        <f t="shared" si="84"/>
        <v>0</v>
      </c>
      <c r="AN582" s="2">
        <f t="shared" si="85"/>
        <v>0</v>
      </c>
      <c r="AO582" s="2">
        <f t="shared" si="86"/>
        <v>0</v>
      </c>
      <c r="AP582" s="2">
        <f t="shared" si="87"/>
        <v>0</v>
      </c>
      <c r="AQ582" s="25">
        <f t="shared" si="88"/>
        <v>0</v>
      </c>
    </row>
    <row r="583" spans="1:43">
      <c r="A583" s="24">
        <v>46129</v>
      </c>
      <c r="B583" s="23">
        <f t="shared" si="81"/>
        <v>46113</v>
      </c>
      <c r="C583" s="2" t="s">
        <v>82</v>
      </c>
      <c r="D583" s="2" t="s">
        <v>451</v>
      </c>
      <c r="E583" s="2">
        <v>1698</v>
      </c>
      <c r="F583" s="2">
        <v>165</v>
      </c>
      <c r="G583" s="2">
        <v>160</v>
      </c>
      <c r="H583" s="2">
        <f t="shared" si="89"/>
        <v>5</v>
      </c>
      <c r="I583" s="2">
        <v>5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/>
      <c r="AJ583" s="2" t="s">
        <v>93</v>
      </c>
      <c r="AK583" s="2">
        <f t="shared" si="82"/>
        <v>5</v>
      </c>
      <c r="AL583" s="2">
        <f t="shared" si="83"/>
        <v>0</v>
      </c>
      <c r="AM583" s="2">
        <f t="shared" si="84"/>
        <v>0</v>
      </c>
      <c r="AN583" s="2">
        <f t="shared" si="85"/>
        <v>0</v>
      </c>
      <c r="AO583" s="2">
        <f t="shared" si="86"/>
        <v>0</v>
      </c>
      <c r="AP583" s="2">
        <f t="shared" si="87"/>
        <v>0</v>
      </c>
      <c r="AQ583" s="25">
        <f t="shared" si="88"/>
        <v>0</v>
      </c>
    </row>
    <row r="584" spans="1:43">
      <c r="A584" s="24">
        <v>46129</v>
      </c>
      <c r="B584" s="23">
        <f t="shared" si="81"/>
        <v>46113</v>
      </c>
      <c r="C584" s="2" t="s">
        <v>82</v>
      </c>
      <c r="D584" s="2" t="s">
        <v>451</v>
      </c>
      <c r="E584" s="2">
        <v>1698</v>
      </c>
      <c r="F584" s="2">
        <v>32</v>
      </c>
      <c r="G584" s="2">
        <v>31</v>
      </c>
      <c r="H584" s="2">
        <f t="shared" si="89"/>
        <v>1</v>
      </c>
      <c r="I584" s="2">
        <v>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/>
      <c r="AJ584" s="2" t="s">
        <v>93</v>
      </c>
      <c r="AK584" s="2">
        <f t="shared" si="82"/>
        <v>1</v>
      </c>
      <c r="AL584" s="2">
        <f t="shared" si="83"/>
        <v>0</v>
      </c>
      <c r="AM584" s="2">
        <f t="shared" si="84"/>
        <v>0</v>
      </c>
      <c r="AN584" s="2">
        <f t="shared" si="85"/>
        <v>0</v>
      </c>
      <c r="AO584" s="2">
        <f t="shared" si="86"/>
        <v>0</v>
      </c>
      <c r="AP584" s="2">
        <f t="shared" si="87"/>
        <v>0</v>
      </c>
      <c r="AQ584" s="25">
        <f t="shared" si="88"/>
        <v>0</v>
      </c>
    </row>
    <row r="585" spans="1:43">
      <c r="A585" s="24">
        <v>46129</v>
      </c>
      <c r="B585" s="23">
        <f t="shared" si="81"/>
        <v>46113</v>
      </c>
      <c r="C585" s="2" t="s">
        <v>160</v>
      </c>
      <c r="D585" s="2" t="s">
        <v>439</v>
      </c>
      <c r="E585" s="2">
        <v>1733</v>
      </c>
      <c r="F585" s="2">
        <v>126</v>
      </c>
      <c r="G585" s="2">
        <v>108</v>
      </c>
      <c r="H585" s="2">
        <f t="shared" si="89"/>
        <v>18</v>
      </c>
      <c r="I585" s="2">
        <v>6</v>
      </c>
      <c r="J585" s="2">
        <v>3</v>
      </c>
      <c r="K585" s="2">
        <v>0</v>
      </c>
      <c r="L585" s="2">
        <v>0</v>
      </c>
      <c r="M585" s="2">
        <v>9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/>
      <c r="AJ585" s="2" t="s">
        <v>93</v>
      </c>
      <c r="AK585" s="2">
        <f t="shared" si="82"/>
        <v>6</v>
      </c>
      <c r="AL585" s="2">
        <f t="shared" si="83"/>
        <v>12</v>
      </c>
      <c r="AM585" s="2">
        <f t="shared" si="84"/>
        <v>0</v>
      </c>
      <c r="AN585" s="2">
        <f t="shared" si="85"/>
        <v>0</v>
      </c>
      <c r="AO585" s="2">
        <f t="shared" si="86"/>
        <v>0</v>
      </c>
      <c r="AP585" s="2">
        <f t="shared" si="87"/>
        <v>0</v>
      </c>
      <c r="AQ585" s="25">
        <f t="shared" si="88"/>
        <v>0</v>
      </c>
    </row>
    <row r="586" spans="1:43">
      <c r="A586" s="24">
        <v>46129</v>
      </c>
      <c r="B586" s="23">
        <f t="shared" si="81"/>
        <v>46113</v>
      </c>
      <c r="C586" s="2" t="s">
        <v>160</v>
      </c>
      <c r="D586" s="2" t="s">
        <v>439</v>
      </c>
      <c r="E586" s="2">
        <v>1733</v>
      </c>
      <c r="F586" s="2">
        <v>20</v>
      </c>
      <c r="G586" s="2">
        <v>20</v>
      </c>
      <c r="H586" s="2">
        <f t="shared" si="89"/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/>
      <c r="AJ586" s="2" t="s">
        <v>93</v>
      </c>
      <c r="AK586" s="2">
        <f t="shared" si="82"/>
        <v>0</v>
      </c>
      <c r="AL586" s="2">
        <f t="shared" si="83"/>
        <v>0</v>
      </c>
      <c r="AM586" s="2">
        <f t="shared" si="84"/>
        <v>0</v>
      </c>
      <c r="AN586" s="2">
        <f t="shared" si="85"/>
        <v>0</v>
      </c>
      <c r="AO586" s="2">
        <f t="shared" si="86"/>
        <v>0</v>
      </c>
      <c r="AP586" s="2">
        <f t="shared" si="87"/>
        <v>0</v>
      </c>
      <c r="AQ586" s="25">
        <f t="shared" si="88"/>
        <v>0</v>
      </c>
    </row>
    <row r="587" spans="1:43">
      <c r="A587" s="24">
        <v>46129</v>
      </c>
      <c r="B587" s="23">
        <f t="shared" si="81"/>
        <v>46113</v>
      </c>
      <c r="C587" s="2" t="s">
        <v>160</v>
      </c>
      <c r="D587" s="2" t="s">
        <v>439</v>
      </c>
      <c r="E587" s="2">
        <v>1733</v>
      </c>
      <c r="F587" s="2">
        <v>84</v>
      </c>
      <c r="G587" s="2">
        <v>82</v>
      </c>
      <c r="H587" s="2">
        <f t="shared" si="89"/>
        <v>2</v>
      </c>
      <c r="I587" s="2">
        <v>2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/>
      <c r="AJ587" s="2" t="s">
        <v>93</v>
      </c>
      <c r="AK587" s="2">
        <f t="shared" si="82"/>
        <v>2</v>
      </c>
      <c r="AL587" s="2">
        <f t="shared" si="83"/>
        <v>0</v>
      </c>
      <c r="AM587" s="2">
        <f t="shared" si="84"/>
        <v>0</v>
      </c>
      <c r="AN587" s="2">
        <f t="shared" si="85"/>
        <v>0</v>
      </c>
      <c r="AO587" s="2">
        <f t="shared" si="86"/>
        <v>0</v>
      </c>
      <c r="AP587" s="2">
        <f t="shared" si="87"/>
        <v>0</v>
      </c>
      <c r="AQ587" s="25">
        <f t="shared" si="88"/>
        <v>0</v>
      </c>
    </row>
    <row r="588" spans="1:43">
      <c r="A588" s="24">
        <v>46129</v>
      </c>
      <c r="B588" s="23">
        <f t="shared" si="81"/>
        <v>46113</v>
      </c>
      <c r="C588" s="2" t="s">
        <v>160</v>
      </c>
      <c r="D588" s="2" t="s">
        <v>439</v>
      </c>
      <c r="E588" s="2">
        <v>1733</v>
      </c>
      <c r="F588" s="2">
        <v>20</v>
      </c>
      <c r="G588" s="2">
        <v>20</v>
      </c>
      <c r="H588" s="2">
        <f t="shared" si="89"/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/>
      <c r="AJ588" s="2" t="s">
        <v>93</v>
      </c>
      <c r="AK588" s="2">
        <f t="shared" si="82"/>
        <v>0</v>
      </c>
      <c r="AL588" s="2">
        <f t="shared" si="83"/>
        <v>0</v>
      </c>
      <c r="AM588" s="2">
        <f t="shared" si="84"/>
        <v>0</v>
      </c>
      <c r="AN588" s="2">
        <f t="shared" si="85"/>
        <v>0</v>
      </c>
      <c r="AO588" s="2">
        <f t="shared" si="86"/>
        <v>0</v>
      </c>
      <c r="AP588" s="2">
        <f t="shared" si="87"/>
        <v>0</v>
      </c>
      <c r="AQ588" s="25">
        <f t="shared" si="88"/>
        <v>0</v>
      </c>
    </row>
    <row r="589" spans="1:43">
      <c r="A589" s="24">
        <v>46129</v>
      </c>
      <c r="B589" s="23">
        <f t="shared" si="81"/>
        <v>46113</v>
      </c>
      <c r="C589" s="2" t="s">
        <v>160</v>
      </c>
      <c r="D589" s="2" t="s">
        <v>554</v>
      </c>
      <c r="E589" s="2">
        <v>1733</v>
      </c>
      <c r="F589" s="2">
        <v>71</v>
      </c>
      <c r="G589" s="2">
        <v>67</v>
      </c>
      <c r="H589" s="2">
        <f t="shared" si="89"/>
        <v>4</v>
      </c>
      <c r="I589" s="2">
        <v>1</v>
      </c>
      <c r="J589" s="2">
        <v>0</v>
      </c>
      <c r="K589" s="2">
        <v>2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1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/>
      <c r="AJ589" s="2" t="s">
        <v>93</v>
      </c>
      <c r="AK589" s="2">
        <f t="shared" si="82"/>
        <v>1</v>
      </c>
      <c r="AL589" s="2">
        <f t="shared" si="83"/>
        <v>2</v>
      </c>
      <c r="AM589" s="2">
        <f t="shared" si="84"/>
        <v>0</v>
      </c>
      <c r="AN589" s="2">
        <f t="shared" si="85"/>
        <v>0</v>
      </c>
      <c r="AO589" s="2">
        <f t="shared" si="86"/>
        <v>1</v>
      </c>
      <c r="AP589" s="2">
        <f t="shared" si="87"/>
        <v>0</v>
      </c>
      <c r="AQ589" s="25">
        <f t="shared" si="88"/>
        <v>0</v>
      </c>
    </row>
    <row r="590" spans="1:43">
      <c r="A590" s="24">
        <v>46129</v>
      </c>
      <c r="B590" s="23">
        <f t="shared" si="81"/>
        <v>46113</v>
      </c>
      <c r="C590" s="2" t="s">
        <v>62</v>
      </c>
      <c r="D590" s="2" t="s">
        <v>471</v>
      </c>
      <c r="E590" s="2">
        <v>1824</v>
      </c>
      <c r="F590" s="2">
        <v>301</v>
      </c>
      <c r="G590" s="2">
        <v>284</v>
      </c>
      <c r="H590" s="2">
        <f t="shared" si="89"/>
        <v>17</v>
      </c>
      <c r="I590" s="2">
        <v>16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1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/>
      <c r="AJ590" s="2" t="s">
        <v>1568</v>
      </c>
      <c r="AK590" s="2">
        <f t="shared" si="82"/>
        <v>16</v>
      </c>
      <c r="AL590" s="2">
        <f t="shared" si="83"/>
        <v>1</v>
      </c>
      <c r="AM590" s="2">
        <f t="shared" si="84"/>
        <v>0</v>
      </c>
      <c r="AN590" s="2">
        <f t="shared" si="85"/>
        <v>0</v>
      </c>
      <c r="AO590" s="2">
        <f t="shared" si="86"/>
        <v>0</v>
      </c>
      <c r="AP590" s="2">
        <f t="shared" si="87"/>
        <v>0</v>
      </c>
      <c r="AQ590" s="25">
        <f t="shared" si="88"/>
        <v>0</v>
      </c>
    </row>
    <row r="591" spans="1:43">
      <c r="A591" s="24">
        <v>46129</v>
      </c>
      <c r="B591" s="23">
        <f t="shared" si="81"/>
        <v>46113</v>
      </c>
      <c r="C591" s="2" t="s">
        <v>62</v>
      </c>
      <c r="D591" s="2" t="s">
        <v>563</v>
      </c>
      <c r="E591" s="2">
        <v>1824</v>
      </c>
      <c r="F591" s="2">
        <v>172</v>
      </c>
      <c r="G591" s="2">
        <v>170</v>
      </c>
      <c r="H591" s="2">
        <f t="shared" si="89"/>
        <v>2</v>
      </c>
      <c r="I591" s="2">
        <v>2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/>
      <c r="AJ591" s="2" t="s">
        <v>1568</v>
      </c>
      <c r="AK591" s="2">
        <f t="shared" si="82"/>
        <v>2</v>
      </c>
      <c r="AL591" s="2">
        <f t="shared" si="83"/>
        <v>0</v>
      </c>
      <c r="AM591" s="2">
        <f t="shared" si="84"/>
        <v>0</v>
      </c>
      <c r="AN591" s="2">
        <f t="shared" si="85"/>
        <v>0</v>
      </c>
      <c r="AO591" s="2">
        <f t="shared" si="86"/>
        <v>0</v>
      </c>
      <c r="AP591" s="2">
        <f t="shared" si="87"/>
        <v>0</v>
      </c>
      <c r="AQ591" s="25">
        <f t="shared" si="88"/>
        <v>0</v>
      </c>
    </row>
    <row r="592" spans="1:43">
      <c r="A592" s="24">
        <v>46129</v>
      </c>
      <c r="B592" s="23">
        <f t="shared" si="81"/>
        <v>46113</v>
      </c>
      <c r="C592" s="2" t="s">
        <v>62</v>
      </c>
      <c r="D592" s="2" t="s">
        <v>458</v>
      </c>
      <c r="E592" s="2">
        <v>1824</v>
      </c>
      <c r="F592" s="2">
        <v>211</v>
      </c>
      <c r="G592" s="2">
        <v>205</v>
      </c>
      <c r="H592" s="2">
        <f t="shared" si="89"/>
        <v>6</v>
      </c>
      <c r="I592" s="2">
        <v>5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1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/>
      <c r="AJ592" s="2" t="s">
        <v>1568</v>
      </c>
      <c r="AK592" s="2">
        <f t="shared" si="82"/>
        <v>5</v>
      </c>
      <c r="AL592" s="2">
        <f t="shared" si="83"/>
        <v>1</v>
      </c>
      <c r="AM592" s="2">
        <f t="shared" si="84"/>
        <v>0</v>
      </c>
      <c r="AN592" s="2">
        <f t="shared" si="85"/>
        <v>0</v>
      </c>
      <c r="AO592" s="2">
        <f t="shared" si="86"/>
        <v>0</v>
      </c>
      <c r="AP592" s="2">
        <f t="shared" si="87"/>
        <v>0</v>
      </c>
      <c r="AQ592" s="25">
        <f t="shared" si="88"/>
        <v>0</v>
      </c>
    </row>
    <row r="593" spans="1:43">
      <c r="A593" s="24">
        <v>46129</v>
      </c>
      <c r="B593" s="23">
        <f t="shared" si="81"/>
        <v>46113</v>
      </c>
      <c r="C593" s="2" t="s">
        <v>46</v>
      </c>
      <c r="D593" s="2" t="s">
        <v>455</v>
      </c>
      <c r="E593" s="2">
        <v>2725</v>
      </c>
      <c r="F593" s="2">
        <v>85</v>
      </c>
      <c r="G593" s="2">
        <v>83</v>
      </c>
      <c r="H593" s="2">
        <f t="shared" si="89"/>
        <v>2</v>
      </c>
      <c r="I593" s="2">
        <v>2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/>
      <c r="AJ593" s="2" t="s">
        <v>1568</v>
      </c>
      <c r="AK593" s="2">
        <f t="shared" si="82"/>
        <v>2</v>
      </c>
      <c r="AL593" s="2">
        <f t="shared" si="83"/>
        <v>0</v>
      </c>
      <c r="AM593" s="2">
        <f t="shared" si="84"/>
        <v>0</v>
      </c>
      <c r="AN593" s="2">
        <f t="shared" si="85"/>
        <v>0</v>
      </c>
      <c r="AO593" s="2">
        <f t="shared" si="86"/>
        <v>0</v>
      </c>
      <c r="AP593" s="2">
        <f t="shared" si="87"/>
        <v>0</v>
      </c>
      <c r="AQ593" s="25">
        <f t="shared" si="88"/>
        <v>0</v>
      </c>
    </row>
    <row r="594" spans="1:43">
      <c r="A594" s="24">
        <v>46129</v>
      </c>
      <c r="B594" s="23">
        <f t="shared" si="81"/>
        <v>46113</v>
      </c>
      <c r="C594" s="2" t="s">
        <v>63</v>
      </c>
      <c r="D594" s="2" t="s">
        <v>508</v>
      </c>
      <c r="E594" s="2">
        <v>2565</v>
      </c>
      <c r="F594" s="2">
        <v>64</v>
      </c>
      <c r="G594" s="2">
        <v>64</v>
      </c>
      <c r="H594" s="2">
        <f t="shared" si="89"/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/>
      <c r="AJ594" s="2" t="s">
        <v>1568</v>
      </c>
      <c r="AK594" s="2">
        <f t="shared" si="82"/>
        <v>0</v>
      </c>
      <c r="AL594" s="2">
        <f t="shared" si="83"/>
        <v>0</v>
      </c>
      <c r="AM594" s="2">
        <f t="shared" si="84"/>
        <v>0</v>
      </c>
      <c r="AN594" s="2">
        <f t="shared" si="85"/>
        <v>0</v>
      </c>
      <c r="AO594" s="2">
        <f t="shared" si="86"/>
        <v>0</v>
      </c>
      <c r="AP594" s="2">
        <f t="shared" si="87"/>
        <v>0</v>
      </c>
      <c r="AQ594" s="25">
        <f t="shared" si="88"/>
        <v>0</v>
      </c>
    </row>
    <row r="595" spans="1:43">
      <c r="A595" s="24">
        <v>46129</v>
      </c>
      <c r="B595" s="23">
        <f t="shared" si="81"/>
        <v>46113</v>
      </c>
      <c r="C595" s="2" t="s">
        <v>63</v>
      </c>
      <c r="D595" s="2" t="s">
        <v>1540</v>
      </c>
      <c r="E595" s="2">
        <v>1767</v>
      </c>
      <c r="F595" s="2">
        <v>156</v>
      </c>
      <c r="G595" s="2">
        <v>156</v>
      </c>
      <c r="H595" s="2">
        <f t="shared" si="89"/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/>
      <c r="AJ595" s="2" t="s">
        <v>1568</v>
      </c>
      <c r="AK595" s="2">
        <f t="shared" si="82"/>
        <v>0</v>
      </c>
      <c r="AL595" s="2">
        <f t="shared" si="83"/>
        <v>0</v>
      </c>
      <c r="AM595" s="2">
        <f t="shared" si="84"/>
        <v>0</v>
      </c>
      <c r="AN595" s="2">
        <f t="shared" si="85"/>
        <v>0</v>
      </c>
      <c r="AO595" s="2">
        <f t="shared" si="86"/>
        <v>0</v>
      </c>
      <c r="AP595" s="2">
        <f t="shared" si="87"/>
        <v>0</v>
      </c>
      <c r="AQ595" s="25">
        <f t="shared" si="88"/>
        <v>0</v>
      </c>
    </row>
    <row r="596" spans="1:43">
      <c r="A596" s="24">
        <v>46129</v>
      </c>
      <c r="B596" s="23">
        <f t="shared" si="81"/>
        <v>46113</v>
      </c>
      <c r="C596" s="2" t="s">
        <v>72</v>
      </c>
      <c r="D596" s="2" t="s">
        <v>438</v>
      </c>
      <c r="E596" s="2">
        <v>2648</v>
      </c>
      <c r="F596" s="2">
        <v>55</v>
      </c>
      <c r="G596" s="2">
        <v>55</v>
      </c>
      <c r="H596" s="2">
        <f t="shared" si="89"/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/>
      <c r="AJ596" s="2" t="s">
        <v>103</v>
      </c>
      <c r="AK596" s="2">
        <f t="shared" si="82"/>
        <v>0</v>
      </c>
      <c r="AL596" s="2">
        <f t="shared" si="83"/>
        <v>0</v>
      </c>
      <c r="AM596" s="2">
        <f t="shared" si="84"/>
        <v>0</v>
      </c>
      <c r="AN596" s="2">
        <f t="shared" si="85"/>
        <v>0</v>
      </c>
      <c r="AO596" s="2">
        <f t="shared" si="86"/>
        <v>0</v>
      </c>
      <c r="AP596" s="2">
        <f t="shared" si="87"/>
        <v>0</v>
      </c>
      <c r="AQ596" s="25">
        <f t="shared" si="88"/>
        <v>0</v>
      </c>
    </row>
    <row r="597" spans="1:43">
      <c r="A597" s="24">
        <v>46129</v>
      </c>
      <c r="B597" s="23">
        <f t="shared" si="81"/>
        <v>46113</v>
      </c>
      <c r="C597" s="2" t="s">
        <v>114</v>
      </c>
      <c r="D597" s="2" t="s">
        <v>1202</v>
      </c>
      <c r="E597" s="2">
        <v>311</v>
      </c>
      <c r="F597" s="2">
        <v>132</v>
      </c>
      <c r="G597" s="2">
        <v>130</v>
      </c>
      <c r="H597" s="2">
        <f t="shared" si="89"/>
        <v>2</v>
      </c>
      <c r="I597" s="2">
        <v>2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/>
      <c r="AJ597" s="2" t="s">
        <v>103</v>
      </c>
      <c r="AK597" s="2">
        <f t="shared" si="82"/>
        <v>2</v>
      </c>
      <c r="AL597" s="2">
        <f t="shared" si="83"/>
        <v>0</v>
      </c>
      <c r="AM597" s="2">
        <f t="shared" si="84"/>
        <v>0</v>
      </c>
      <c r="AN597" s="2">
        <f t="shared" si="85"/>
        <v>0</v>
      </c>
      <c r="AO597" s="2">
        <f t="shared" si="86"/>
        <v>0</v>
      </c>
      <c r="AP597" s="2">
        <f t="shared" si="87"/>
        <v>0</v>
      </c>
      <c r="AQ597" s="25">
        <f t="shared" si="88"/>
        <v>0</v>
      </c>
    </row>
    <row r="598" spans="1:43">
      <c r="A598" s="24">
        <v>46129</v>
      </c>
      <c r="B598" s="23">
        <f t="shared" si="81"/>
        <v>46113</v>
      </c>
      <c r="C598" s="2" t="s">
        <v>114</v>
      </c>
      <c r="D598" s="2" t="s">
        <v>555</v>
      </c>
      <c r="E598" s="2">
        <v>1803</v>
      </c>
      <c r="F598" s="2">
        <v>83</v>
      </c>
      <c r="G598" s="2">
        <v>82</v>
      </c>
      <c r="H598" s="2">
        <f t="shared" si="89"/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/>
      <c r="AJ598" s="2" t="s">
        <v>103</v>
      </c>
      <c r="AK598" s="2">
        <f t="shared" si="82"/>
        <v>1</v>
      </c>
      <c r="AL598" s="2">
        <f t="shared" si="83"/>
        <v>0</v>
      </c>
      <c r="AM598" s="2">
        <f t="shared" si="84"/>
        <v>0</v>
      </c>
      <c r="AN598" s="2">
        <f t="shared" si="85"/>
        <v>0</v>
      </c>
      <c r="AO598" s="2">
        <f t="shared" si="86"/>
        <v>0</v>
      </c>
      <c r="AP598" s="2">
        <f t="shared" si="87"/>
        <v>0</v>
      </c>
      <c r="AQ598" s="25">
        <f t="shared" si="88"/>
        <v>0</v>
      </c>
    </row>
    <row r="599" spans="1:43">
      <c r="A599" s="24">
        <v>46129</v>
      </c>
      <c r="B599" s="23">
        <f t="shared" si="81"/>
        <v>46113</v>
      </c>
      <c r="C599" s="2" t="s">
        <v>66</v>
      </c>
      <c r="D599" s="2" t="s">
        <v>434</v>
      </c>
      <c r="E599" s="2">
        <v>1767</v>
      </c>
      <c r="F599" s="2">
        <v>41</v>
      </c>
      <c r="G599" s="2">
        <v>41</v>
      </c>
      <c r="H599" s="2">
        <f t="shared" si="89"/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/>
      <c r="AJ599" s="2" t="s">
        <v>110</v>
      </c>
      <c r="AK599" s="2">
        <f t="shared" si="82"/>
        <v>0</v>
      </c>
      <c r="AL599" s="2">
        <f t="shared" si="83"/>
        <v>0</v>
      </c>
      <c r="AM599" s="2">
        <f t="shared" si="84"/>
        <v>0</v>
      </c>
      <c r="AN599" s="2">
        <f t="shared" si="85"/>
        <v>0</v>
      </c>
      <c r="AO599" s="2">
        <f t="shared" si="86"/>
        <v>0</v>
      </c>
      <c r="AP599" s="2">
        <f t="shared" si="87"/>
        <v>0</v>
      </c>
      <c r="AQ599" s="25">
        <f t="shared" si="88"/>
        <v>0</v>
      </c>
    </row>
    <row r="600" spans="1:43">
      <c r="A600" s="24">
        <v>46129</v>
      </c>
      <c r="B600" s="23">
        <f t="shared" si="81"/>
        <v>46113</v>
      </c>
      <c r="C600" s="2" t="s">
        <v>97</v>
      </c>
      <c r="D600" s="2" t="s">
        <v>1540</v>
      </c>
      <c r="E600" s="2">
        <v>1767</v>
      </c>
      <c r="F600" s="2">
        <v>24</v>
      </c>
      <c r="G600" s="2">
        <v>21</v>
      </c>
      <c r="H600" s="2">
        <f t="shared" si="89"/>
        <v>3</v>
      </c>
      <c r="I600" s="2">
        <v>0</v>
      </c>
      <c r="J600" s="2">
        <v>0</v>
      </c>
      <c r="K600" s="2">
        <v>3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/>
      <c r="AJ600" s="2" t="s">
        <v>110</v>
      </c>
      <c r="AK600" s="2">
        <f t="shared" si="82"/>
        <v>0</v>
      </c>
      <c r="AL600" s="2">
        <f t="shared" si="83"/>
        <v>3</v>
      </c>
      <c r="AM600" s="2">
        <f t="shared" si="84"/>
        <v>0</v>
      </c>
      <c r="AN600" s="2">
        <f t="shared" si="85"/>
        <v>0</v>
      </c>
      <c r="AO600" s="2">
        <f t="shared" si="86"/>
        <v>0</v>
      </c>
      <c r="AP600" s="2">
        <f t="shared" si="87"/>
        <v>0</v>
      </c>
      <c r="AQ600" s="25">
        <f t="shared" si="88"/>
        <v>0</v>
      </c>
    </row>
    <row r="601" spans="1:43">
      <c r="A601" s="24">
        <v>46129</v>
      </c>
      <c r="B601" s="23">
        <f t="shared" si="81"/>
        <v>46113</v>
      </c>
      <c r="C601" s="2" t="s">
        <v>66</v>
      </c>
      <c r="D601" s="2" t="s">
        <v>465</v>
      </c>
      <c r="E601" s="2">
        <v>1636</v>
      </c>
      <c r="F601" s="2">
        <v>144</v>
      </c>
      <c r="G601" s="2">
        <v>143</v>
      </c>
      <c r="H601" s="2">
        <f t="shared" si="89"/>
        <v>1</v>
      </c>
      <c r="I601" s="2">
        <v>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/>
      <c r="AJ601" s="2" t="s">
        <v>110</v>
      </c>
      <c r="AK601" s="2">
        <f t="shared" si="82"/>
        <v>1</v>
      </c>
      <c r="AL601" s="2">
        <f t="shared" si="83"/>
        <v>0</v>
      </c>
      <c r="AM601" s="2">
        <f t="shared" si="84"/>
        <v>0</v>
      </c>
      <c r="AN601" s="2">
        <f t="shared" si="85"/>
        <v>0</v>
      </c>
      <c r="AO601" s="2">
        <f t="shared" si="86"/>
        <v>0</v>
      </c>
      <c r="AP601" s="2">
        <f t="shared" si="87"/>
        <v>0</v>
      </c>
      <c r="AQ601" s="25">
        <f t="shared" si="88"/>
        <v>0</v>
      </c>
    </row>
    <row r="602" spans="1:43">
      <c r="A602" s="24">
        <v>46129</v>
      </c>
      <c r="B602" s="23">
        <f t="shared" si="81"/>
        <v>46113</v>
      </c>
      <c r="C602" s="2" t="s">
        <v>66</v>
      </c>
      <c r="D602" s="2" t="s">
        <v>1540</v>
      </c>
      <c r="E602" s="2">
        <v>1767</v>
      </c>
      <c r="F602" s="2">
        <v>1176</v>
      </c>
      <c r="G602" s="2">
        <v>1126</v>
      </c>
      <c r="H602" s="2">
        <f t="shared" si="89"/>
        <v>50</v>
      </c>
      <c r="I602" s="2">
        <v>5</v>
      </c>
      <c r="J602" s="2">
        <v>0</v>
      </c>
      <c r="K602" s="2">
        <v>45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/>
      <c r="AJ602" s="2" t="s">
        <v>110</v>
      </c>
      <c r="AK602" s="2">
        <f t="shared" si="82"/>
        <v>5</v>
      </c>
      <c r="AL602" s="2">
        <f t="shared" si="83"/>
        <v>45</v>
      </c>
      <c r="AM602" s="2">
        <f t="shared" si="84"/>
        <v>0</v>
      </c>
      <c r="AN602" s="2">
        <f t="shared" si="85"/>
        <v>0</v>
      </c>
      <c r="AO602" s="2">
        <f t="shared" si="86"/>
        <v>0</v>
      </c>
      <c r="AP602" s="2">
        <f t="shared" si="87"/>
        <v>0</v>
      </c>
      <c r="AQ602" s="25">
        <f t="shared" si="88"/>
        <v>0</v>
      </c>
    </row>
    <row r="603" spans="1:43">
      <c r="A603" s="24">
        <v>46129</v>
      </c>
      <c r="B603" s="23">
        <f t="shared" si="81"/>
        <v>46113</v>
      </c>
      <c r="C603" s="2" t="s">
        <v>55</v>
      </c>
      <c r="D603" s="2" t="s">
        <v>534</v>
      </c>
      <c r="E603" s="2">
        <v>2617</v>
      </c>
      <c r="F603" s="2">
        <v>52</v>
      </c>
      <c r="G603" s="2">
        <v>52</v>
      </c>
      <c r="H603" s="2">
        <f t="shared" si="89"/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/>
      <c r="AJ603" s="2" t="s">
        <v>1566</v>
      </c>
      <c r="AK603" s="2">
        <f t="shared" si="82"/>
        <v>0</v>
      </c>
      <c r="AL603" s="2">
        <f t="shared" si="83"/>
        <v>0</v>
      </c>
      <c r="AM603" s="2">
        <f t="shared" si="84"/>
        <v>0</v>
      </c>
      <c r="AN603" s="2">
        <f t="shared" si="85"/>
        <v>0</v>
      </c>
      <c r="AO603" s="2">
        <f t="shared" si="86"/>
        <v>0</v>
      </c>
      <c r="AP603" s="2">
        <f t="shared" si="87"/>
        <v>0</v>
      </c>
      <c r="AQ603" s="25">
        <f t="shared" si="88"/>
        <v>0</v>
      </c>
    </row>
    <row r="604" spans="1:43">
      <c r="A604" s="24">
        <v>46129</v>
      </c>
      <c r="B604" s="23">
        <f t="shared" si="81"/>
        <v>46113</v>
      </c>
      <c r="C604" s="2" t="s">
        <v>55</v>
      </c>
      <c r="D604" s="2" t="s">
        <v>501</v>
      </c>
      <c r="E604" s="2">
        <v>2617</v>
      </c>
      <c r="F604" s="2">
        <v>82</v>
      </c>
      <c r="G604" s="2">
        <v>80</v>
      </c>
      <c r="H604" s="2">
        <f t="shared" si="89"/>
        <v>2</v>
      </c>
      <c r="I604" s="2">
        <v>2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/>
      <c r="AJ604" s="2" t="s">
        <v>1566</v>
      </c>
      <c r="AK604" s="2">
        <f t="shared" si="82"/>
        <v>2</v>
      </c>
      <c r="AL604" s="2">
        <f t="shared" si="83"/>
        <v>0</v>
      </c>
      <c r="AM604" s="2">
        <f t="shared" si="84"/>
        <v>0</v>
      </c>
      <c r="AN604" s="2">
        <f t="shared" si="85"/>
        <v>0</v>
      </c>
      <c r="AO604" s="2">
        <f t="shared" si="86"/>
        <v>0</v>
      </c>
      <c r="AP604" s="2">
        <f t="shared" si="87"/>
        <v>0</v>
      </c>
      <c r="AQ604" s="25">
        <f t="shared" si="88"/>
        <v>0</v>
      </c>
    </row>
    <row r="605" spans="1:43">
      <c r="A605" s="24">
        <v>46129</v>
      </c>
      <c r="B605" s="23">
        <f t="shared" si="81"/>
        <v>46113</v>
      </c>
      <c r="C605" s="2" t="s">
        <v>46</v>
      </c>
      <c r="D605" s="2" t="s">
        <v>1540</v>
      </c>
      <c r="E605" s="2">
        <v>1767</v>
      </c>
      <c r="F605" s="2">
        <v>120</v>
      </c>
      <c r="G605" s="2">
        <v>120</v>
      </c>
      <c r="H605" s="2">
        <f t="shared" si="89"/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/>
      <c r="AJ605" s="2" t="s">
        <v>1566</v>
      </c>
      <c r="AK605" s="2">
        <f t="shared" si="82"/>
        <v>0</v>
      </c>
      <c r="AL605" s="2">
        <f t="shared" si="83"/>
        <v>0</v>
      </c>
      <c r="AM605" s="2">
        <f t="shared" si="84"/>
        <v>0</v>
      </c>
      <c r="AN605" s="2">
        <f t="shared" si="85"/>
        <v>0</v>
      </c>
      <c r="AO605" s="2">
        <f t="shared" si="86"/>
        <v>0</v>
      </c>
      <c r="AP605" s="2">
        <f t="shared" si="87"/>
        <v>0</v>
      </c>
      <c r="AQ605" s="25">
        <f t="shared" si="88"/>
        <v>0</v>
      </c>
    </row>
    <row r="606" spans="1:43">
      <c r="A606" s="24">
        <v>46129</v>
      </c>
      <c r="B606" s="23">
        <f t="shared" si="81"/>
        <v>46113</v>
      </c>
      <c r="C606" s="2" t="s">
        <v>95</v>
      </c>
      <c r="D606" s="2" t="s">
        <v>1540</v>
      </c>
      <c r="E606" s="2">
        <v>1767</v>
      </c>
      <c r="F606" s="2">
        <v>228</v>
      </c>
      <c r="G606" s="2">
        <v>221</v>
      </c>
      <c r="H606" s="2">
        <f t="shared" si="89"/>
        <v>7</v>
      </c>
      <c r="I606" s="2">
        <v>7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/>
      <c r="AJ606" s="2" t="s">
        <v>1566</v>
      </c>
      <c r="AK606" s="2">
        <f t="shared" si="82"/>
        <v>7</v>
      </c>
      <c r="AL606" s="2">
        <f t="shared" si="83"/>
        <v>0</v>
      </c>
      <c r="AM606" s="2">
        <f t="shared" si="84"/>
        <v>0</v>
      </c>
      <c r="AN606" s="2">
        <f t="shared" si="85"/>
        <v>0</v>
      </c>
      <c r="AO606" s="2">
        <f t="shared" si="86"/>
        <v>0</v>
      </c>
      <c r="AP606" s="2">
        <f t="shared" si="87"/>
        <v>0</v>
      </c>
      <c r="AQ606" s="25">
        <f t="shared" si="88"/>
        <v>0</v>
      </c>
    </row>
    <row r="607" spans="1:43">
      <c r="A607" s="24">
        <v>46129</v>
      </c>
      <c r="B607" s="23">
        <f t="shared" si="81"/>
        <v>46113</v>
      </c>
      <c r="C607" s="2" t="s">
        <v>95</v>
      </c>
      <c r="D607" s="2" t="s">
        <v>475</v>
      </c>
      <c r="E607" s="2">
        <v>2727</v>
      </c>
      <c r="F607" s="2">
        <v>67</v>
      </c>
      <c r="G607" s="2">
        <v>66</v>
      </c>
      <c r="H607" s="2">
        <f t="shared" si="89"/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/>
      <c r="AJ607" s="2" t="s">
        <v>1566</v>
      </c>
      <c r="AK607" s="2">
        <f t="shared" si="82"/>
        <v>1</v>
      </c>
      <c r="AL607" s="2">
        <f t="shared" si="83"/>
        <v>0</v>
      </c>
      <c r="AM607" s="2">
        <f t="shared" si="84"/>
        <v>0</v>
      </c>
      <c r="AN607" s="2">
        <f t="shared" si="85"/>
        <v>0</v>
      </c>
      <c r="AO607" s="2">
        <f t="shared" si="86"/>
        <v>0</v>
      </c>
      <c r="AP607" s="2">
        <f t="shared" si="87"/>
        <v>0</v>
      </c>
      <c r="AQ607" s="25">
        <f t="shared" si="88"/>
        <v>0</v>
      </c>
    </row>
    <row r="608" spans="1:43">
      <c r="A608" s="24">
        <v>46129</v>
      </c>
      <c r="B608" s="23">
        <f t="shared" si="81"/>
        <v>46113</v>
      </c>
      <c r="C608" s="2" t="s">
        <v>133</v>
      </c>
      <c r="D608" s="2" t="s">
        <v>1561</v>
      </c>
      <c r="E608" s="2">
        <v>2784</v>
      </c>
      <c r="F608" s="2">
        <v>540</v>
      </c>
      <c r="G608" s="2">
        <v>528</v>
      </c>
      <c r="H608" s="2">
        <f t="shared" si="89"/>
        <v>12</v>
      </c>
      <c r="I608" s="2">
        <v>12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/>
      <c r="AJ608" s="2" t="s">
        <v>1566</v>
      </c>
      <c r="AK608" s="2">
        <f t="shared" si="82"/>
        <v>12</v>
      </c>
      <c r="AL608" s="2">
        <f t="shared" si="83"/>
        <v>0</v>
      </c>
      <c r="AM608" s="2">
        <f t="shared" si="84"/>
        <v>0</v>
      </c>
      <c r="AN608" s="2">
        <f t="shared" si="85"/>
        <v>0</v>
      </c>
      <c r="AO608" s="2">
        <f t="shared" si="86"/>
        <v>0</v>
      </c>
      <c r="AP608" s="2">
        <f t="shared" si="87"/>
        <v>0</v>
      </c>
      <c r="AQ608" s="25">
        <f t="shared" si="88"/>
        <v>0</v>
      </c>
    </row>
    <row r="609" spans="1:43">
      <c r="A609" s="24">
        <v>46129</v>
      </c>
      <c r="B609" s="23">
        <f t="shared" si="81"/>
        <v>46113</v>
      </c>
      <c r="C609" s="2" t="s">
        <v>95</v>
      </c>
      <c r="D609" s="2" t="s">
        <v>1540</v>
      </c>
      <c r="E609" s="2">
        <v>1767</v>
      </c>
      <c r="F609" s="2">
        <v>1381</v>
      </c>
      <c r="G609" s="2">
        <v>1357</v>
      </c>
      <c r="H609" s="2">
        <f t="shared" si="89"/>
        <v>24</v>
      </c>
      <c r="I609" s="2">
        <v>24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/>
      <c r="AJ609" s="2" t="s">
        <v>77</v>
      </c>
      <c r="AK609" s="2">
        <f t="shared" si="82"/>
        <v>24</v>
      </c>
      <c r="AL609" s="2">
        <f t="shared" si="83"/>
        <v>0</v>
      </c>
      <c r="AM609" s="2">
        <f t="shared" si="84"/>
        <v>0</v>
      </c>
      <c r="AN609" s="2">
        <f t="shared" si="85"/>
        <v>0</v>
      </c>
      <c r="AO609" s="2">
        <f t="shared" si="86"/>
        <v>0</v>
      </c>
      <c r="AP609" s="2">
        <f t="shared" si="87"/>
        <v>0</v>
      </c>
      <c r="AQ609" s="25">
        <f t="shared" si="88"/>
        <v>0</v>
      </c>
    </row>
    <row r="610" spans="1:43">
      <c r="A610" s="24">
        <v>46130</v>
      </c>
      <c r="B610" s="23">
        <f t="shared" si="81"/>
        <v>46113</v>
      </c>
      <c r="C610" s="2" t="s">
        <v>63</v>
      </c>
      <c r="D610" s="2" t="s">
        <v>1540</v>
      </c>
      <c r="E610" s="2">
        <v>1767</v>
      </c>
      <c r="F610" s="2">
        <v>581</v>
      </c>
      <c r="G610" s="2">
        <v>562</v>
      </c>
      <c r="H610" s="2">
        <f t="shared" si="89"/>
        <v>19</v>
      </c>
      <c r="I610" s="2">
        <v>11</v>
      </c>
      <c r="J610" s="2">
        <v>0</v>
      </c>
      <c r="K610" s="2">
        <v>8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/>
      <c r="AJ610" s="2" t="s">
        <v>77</v>
      </c>
      <c r="AK610" s="2">
        <f t="shared" si="82"/>
        <v>11</v>
      </c>
      <c r="AL610" s="2">
        <f t="shared" si="83"/>
        <v>8</v>
      </c>
      <c r="AM610" s="2">
        <f t="shared" si="84"/>
        <v>0</v>
      </c>
      <c r="AN610" s="2">
        <f t="shared" si="85"/>
        <v>0</v>
      </c>
      <c r="AO610" s="2">
        <f t="shared" si="86"/>
        <v>0</v>
      </c>
      <c r="AP610" s="2">
        <f t="shared" si="87"/>
        <v>0</v>
      </c>
      <c r="AQ610" s="25">
        <f t="shared" si="88"/>
        <v>0</v>
      </c>
    </row>
    <row r="611" spans="1:43">
      <c r="A611" s="24">
        <v>46130</v>
      </c>
      <c r="B611" s="23">
        <f t="shared" si="81"/>
        <v>46113</v>
      </c>
      <c r="C611" s="2" t="s">
        <v>63</v>
      </c>
      <c r="D611" s="2" t="s">
        <v>434</v>
      </c>
      <c r="E611" s="2">
        <v>1767</v>
      </c>
      <c r="F611" s="2">
        <v>87</v>
      </c>
      <c r="G611" s="2">
        <v>82</v>
      </c>
      <c r="H611" s="2">
        <f t="shared" si="89"/>
        <v>5</v>
      </c>
      <c r="I611" s="2">
        <v>5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/>
      <c r="AJ611" s="2" t="s">
        <v>77</v>
      </c>
      <c r="AK611" s="2">
        <f t="shared" si="82"/>
        <v>5</v>
      </c>
      <c r="AL611" s="2">
        <f t="shared" si="83"/>
        <v>0</v>
      </c>
      <c r="AM611" s="2">
        <f t="shared" si="84"/>
        <v>0</v>
      </c>
      <c r="AN611" s="2">
        <f t="shared" si="85"/>
        <v>0</v>
      </c>
      <c r="AO611" s="2">
        <f t="shared" si="86"/>
        <v>0</v>
      </c>
      <c r="AP611" s="2">
        <f t="shared" si="87"/>
        <v>0</v>
      </c>
      <c r="AQ611" s="25">
        <f t="shared" si="88"/>
        <v>0</v>
      </c>
    </row>
    <row r="612" spans="1:43">
      <c r="A612" s="24">
        <v>46130</v>
      </c>
      <c r="B612" s="23">
        <f t="shared" si="81"/>
        <v>46113</v>
      </c>
      <c r="C612" s="2" t="s">
        <v>95</v>
      </c>
      <c r="D612" s="2" t="s">
        <v>1540</v>
      </c>
      <c r="E612" s="2">
        <v>1767</v>
      </c>
      <c r="F612" s="2">
        <v>168</v>
      </c>
      <c r="G612" s="2">
        <v>166</v>
      </c>
      <c r="H612" s="2">
        <f t="shared" si="89"/>
        <v>2</v>
      </c>
      <c r="I612" s="2">
        <v>2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/>
      <c r="AJ612" s="2" t="s">
        <v>77</v>
      </c>
      <c r="AK612" s="2">
        <f t="shared" si="82"/>
        <v>2</v>
      </c>
      <c r="AL612" s="2">
        <f t="shared" si="83"/>
        <v>0</v>
      </c>
      <c r="AM612" s="2">
        <f t="shared" si="84"/>
        <v>0</v>
      </c>
      <c r="AN612" s="2">
        <f t="shared" si="85"/>
        <v>0</v>
      </c>
      <c r="AO612" s="2">
        <f t="shared" si="86"/>
        <v>0</v>
      </c>
      <c r="AP612" s="2">
        <f t="shared" si="87"/>
        <v>0</v>
      </c>
      <c r="AQ612" s="25">
        <f t="shared" si="88"/>
        <v>0</v>
      </c>
    </row>
    <row r="613" spans="1:43">
      <c r="A613" s="24">
        <v>46130</v>
      </c>
      <c r="B613" s="23">
        <f t="shared" si="81"/>
        <v>46113</v>
      </c>
      <c r="C613" s="2" t="s">
        <v>46</v>
      </c>
      <c r="D613" s="2" t="s">
        <v>1540</v>
      </c>
      <c r="E613" s="2">
        <v>1767</v>
      </c>
      <c r="F613" s="2">
        <v>615</v>
      </c>
      <c r="G613" s="2">
        <v>600</v>
      </c>
      <c r="H613" s="2">
        <f t="shared" si="89"/>
        <v>15</v>
      </c>
      <c r="I613" s="2">
        <v>12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1</v>
      </c>
      <c r="P613" s="2">
        <v>0</v>
      </c>
      <c r="Q613" s="2">
        <v>0</v>
      </c>
      <c r="R613" s="2">
        <v>2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/>
      <c r="AJ613" s="2" t="s">
        <v>80</v>
      </c>
      <c r="AK613" s="2">
        <f t="shared" si="82"/>
        <v>12</v>
      </c>
      <c r="AL613" s="2">
        <f t="shared" si="83"/>
        <v>3</v>
      </c>
      <c r="AM613" s="2">
        <f t="shared" si="84"/>
        <v>0</v>
      </c>
      <c r="AN613" s="2">
        <f t="shared" si="85"/>
        <v>0</v>
      </c>
      <c r="AO613" s="2">
        <f t="shared" si="86"/>
        <v>0</v>
      </c>
      <c r="AP613" s="2">
        <f t="shared" si="87"/>
        <v>0</v>
      </c>
      <c r="AQ613" s="25">
        <f t="shared" si="88"/>
        <v>0</v>
      </c>
    </row>
    <row r="614" spans="1:43">
      <c r="A614" s="24">
        <v>46130</v>
      </c>
      <c r="B614" s="23">
        <f t="shared" si="81"/>
        <v>46113</v>
      </c>
      <c r="C614" s="2" t="s">
        <v>95</v>
      </c>
      <c r="D614" s="2" t="s">
        <v>1418</v>
      </c>
      <c r="E614" s="2">
        <v>1698</v>
      </c>
      <c r="F614" s="2">
        <v>53</v>
      </c>
      <c r="G614" s="2">
        <v>53</v>
      </c>
      <c r="H614" s="2">
        <f t="shared" si="89"/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/>
      <c r="AJ614" s="2" t="s">
        <v>80</v>
      </c>
      <c r="AK614" s="2">
        <f t="shared" si="82"/>
        <v>0</v>
      </c>
      <c r="AL614" s="2">
        <f t="shared" si="83"/>
        <v>0</v>
      </c>
      <c r="AM614" s="2">
        <f t="shared" si="84"/>
        <v>0</v>
      </c>
      <c r="AN614" s="2">
        <f t="shared" si="85"/>
        <v>0</v>
      </c>
      <c r="AO614" s="2">
        <f t="shared" si="86"/>
        <v>0</v>
      </c>
      <c r="AP614" s="2">
        <f t="shared" si="87"/>
        <v>0</v>
      </c>
      <c r="AQ614" s="25">
        <f t="shared" si="88"/>
        <v>0</v>
      </c>
    </row>
    <row r="615" spans="1:43">
      <c r="A615" s="24">
        <v>46130</v>
      </c>
      <c r="B615" s="23">
        <f t="shared" si="81"/>
        <v>46113</v>
      </c>
      <c r="C615" s="2" t="s">
        <v>46</v>
      </c>
      <c r="D615" s="2" t="s">
        <v>1294</v>
      </c>
      <c r="E615" s="2">
        <v>2649</v>
      </c>
      <c r="F615" s="2">
        <v>55</v>
      </c>
      <c r="G615" s="2">
        <v>54</v>
      </c>
      <c r="H615" s="2">
        <f t="shared" si="89"/>
        <v>1</v>
      </c>
      <c r="I615" s="2">
        <v>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/>
      <c r="AJ615" s="2" t="s">
        <v>80</v>
      </c>
      <c r="AK615" s="2">
        <f t="shared" si="82"/>
        <v>1</v>
      </c>
      <c r="AL615" s="2">
        <f t="shared" si="83"/>
        <v>0</v>
      </c>
      <c r="AM615" s="2">
        <f t="shared" si="84"/>
        <v>0</v>
      </c>
      <c r="AN615" s="2">
        <f t="shared" si="85"/>
        <v>0</v>
      </c>
      <c r="AO615" s="2">
        <f t="shared" si="86"/>
        <v>0</v>
      </c>
      <c r="AP615" s="2">
        <f t="shared" si="87"/>
        <v>0</v>
      </c>
      <c r="AQ615" s="25">
        <f t="shared" si="88"/>
        <v>0</v>
      </c>
    </row>
    <row r="616" spans="1:43">
      <c r="A616" s="24">
        <v>46130</v>
      </c>
      <c r="B616" s="23">
        <f t="shared" si="81"/>
        <v>46113</v>
      </c>
      <c r="C616" s="2" t="s">
        <v>46</v>
      </c>
      <c r="D616" s="2" t="s">
        <v>510</v>
      </c>
      <c r="E616" s="2">
        <v>2649</v>
      </c>
      <c r="F616" s="2">
        <v>38</v>
      </c>
      <c r="G616" s="2">
        <v>36</v>
      </c>
      <c r="H616" s="2">
        <f t="shared" si="89"/>
        <v>2</v>
      </c>
      <c r="I616" s="2">
        <v>2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/>
      <c r="AJ616" s="2" t="s">
        <v>80</v>
      </c>
      <c r="AK616" s="2">
        <f t="shared" si="82"/>
        <v>2</v>
      </c>
      <c r="AL616" s="2">
        <f t="shared" si="83"/>
        <v>0</v>
      </c>
      <c r="AM616" s="2">
        <f t="shared" si="84"/>
        <v>0</v>
      </c>
      <c r="AN616" s="2">
        <f t="shared" si="85"/>
        <v>0</v>
      </c>
      <c r="AO616" s="2">
        <f t="shared" si="86"/>
        <v>0</v>
      </c>
      <c r="AP616" s="2">
        <f t="shared" si="87"/>
        <v>0</v>
      </c>
      <c r="AQ616" s="25">
        <f t="shared" si="88"/>
        <v>0</v>
      </c>
    </row>
    <row r="617" spans="1:43">
      <c r="A617" s="24">
        <v>46130</v>
      </c>
      <c r="B617" s="23">
        <f t="shared" si="81"/>
        <v>46113</v>
      </c>
      <c r="C617" s="2" t="s">
        <v>66</v>
      </c>
      <c r="D617" s="2" t="s">
        <v>437</v>
      </c>
      <c r="E617" s="2">
        <v>2539</v>
      </c>
      <c r="F617" s="2">
        <v>201</v>
      </c>
      <c r="G617" s="2">
        <v>196</v>
      </c>
      <c r="H617" s="2">
        <f t="shared" si="89"/>
        <v>5</v>
      </c>
      <c r="I617" s="2">
        <v>2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3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/>
      <c r="AJ617" s="2" t="s">
        <v>80</v>
      </c>
      <c r="AK617" s="2">
        <f t="shared" si="82"/>
        <v>2</v>
      </c>
      <c r="AL617" s="2">
        <f t="shared" si="83"/>
        <v>3</v>
      </c>
      <c r="AM617" s="2">
        <f t="shared" si="84"/>
        <v>0</v>
      </c>
      <c r="AN617" s="2">
        <f t="shared" si="85"/>
        <v>0</v>
      </c>
      <c r="AO617" s="2">
        <f t="shared" si="86"/>
        <v>0</v>
      </c>
      <c r="AP617" s="2">
        <f t="shared" si="87"/>
        <v>0</v>
      </c>
      <c r="AQ617" s="25">
        <f t="shared" si="88"/>
        <v>0</v>
      </c>
    </row>
    <row r="618" spans="1:43">
      <c r="A618" s="24">
        <v>46130</v>
      </c>
      <c r="B618" s="23">
        <f t="shared" si="81"/>
        <v>46113</v>
      </c>
      <c r="C618" s="2" t="s">
        <v>114</v>
      </c>
      <c r="D618" s="2" t="s">
        <v>578</v>
      </c>
      <c r="E618" s="2">
        <v>1734</v>
      </c>
      <c r="F618" s="2">
        <v>112</v>
      </c>
      <c r="G618" s="2">
        <v>110</v>
      </c>
      <c r="H618" s="2">
        <f t="shared" si="89"/>
        <v>2</v>
      </c>
      <c r="I618" s="2">
        <v>2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/>
      <c r="AJ618" s="2" t="s">
        <v>103</v>
      </c>
      <c r="AK618" s="2">
        <f t="shared" si="82"/>
        <v>2</v>
      </c>
      <c r="AL618" s="2">
        <f t="shared" si="83"/>
        <v>0</v>
      </c>
      <c r="AM618" s="2">
        <f t="shared" si="84"/>
        <v>0</v>
      </c>
      <c r="AN618" s="2">
        <f t="shared" si="85"/>
        <v>0</v>
      </c>
      <c r="AO618" s="2">
        <f t="shared" si="86"/>
        <v>0</v>
      </c>
      <c r="AP618" s="2">
        <f t="shared" si="87"/>
        <v>0</v>
      </c>
      <c r="AQ618" s="25">
        <f t="shared" si="88"/>
        <v>0</v>
      </c>
    </row>
    <row r="619" spans="1:43">
      <c r="A619" s="24">
        <v>46130</v>
      </c>
      <c r="B619" s="23">
        <f t="shared" si="81"/>
        <v>46113</v>
      </c>
      <c r="C619" s="2" t="s">
        <v>114</v>
      </c>
      <c r="D619" s="2" t="s">
        <v>578</v>
      </c>
      <c r="E619" s="2">
        <v>1734</v>
      </c>
      <c r="F619" s="2">
        <v>20</v>
      </c>
      <c r="G619" s="2">
        <v>20</v>
      </c>
      <c r="H619" s="2">
        <f t="shared" si="89"/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/>
      <c r="AJ619" s="2" t="s">
        <v>103</v>
      </c>
      <c r="AK619" s="2">
        <f t="shared" si="82"/>
        <v>0</v>
      </c>
      <c r="AL619" s="2">
        <f t="shared" si="83"/>
        <v>0</v>
      </c>
      <c r="AM619" s="2">
        <f t="shared" si="84"/>
        <v>0</v>
      </c>
      <c r="AN619" s="2">
        <f t="shared" si="85"/>
        <v>0</v>
      </c>
      <c r="AO619" s="2">
        <f t="shared" si="86"/>
        <v>0</v>
      </c>
      <c r="AP619" s="2">
        <f t="shared" si="87"/>
        <v>0</v>
      </c>
      <c r="AQ619" s="25">
        <f t="shared" si="88"/>
        <v>0</v>
      </c>
    </row>
    <row r="620" spans="1:43">
      <c r="A620" s="24">
        <v>46130</v>
      </c>
      <c r="B620" s="23">
        <f t="shared" si="81"/>
        <v>46113</v>
      </c>
      <c r="C620" s="2" t="s">
        <v>114</v>
      </c>
      <c r="D620" s="2" t="s">
        <v>481</v>
      </c>
      <c r="E620" s="2">
        <v>1734</v>
      </c>
      <c r="F620" s="2">
        <v>125</v>
      </c>
      <c r="G620" s="2">
        <v>124</v>
      </c>
      <c r="H620" s="2">
        <f t="shared" si="89"/>
        <v>1</v>
      </c>
      <c r="I620" s="2">
        <v>1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/>
      <c r="AJ620" s="2" t="s">
        <v>103</v>
      </c>
      <c r="AK620" s="2">
        <f t="shared" si="82"/>
        <v>1</v>
      </c>
      <c r="AL620" s="2">
        <f t="shared" si="83"/>
        <v>0</v>
      </c>
      <c r="AM620" s="2">
        <f t="shared" si="84"/>
        <v>0</v>
      </c>
      <c r="AN620" s="2">
        <f t="shared" si="85"/>
        <v>0</v>
      </c>
      <c r="AO620" s="2">
        <f t="shared" si="86"/>
        <v>0</v>
      </c>
      <c r="AP620" s="2">
        <f t="shared" si="87"/>
        <v>0</v>
      </c>
      <c r="AQ620" s="25">
        <f t="shared" si="88"/>
        <v>0</v>
      </c>
    </row>
    <row r="621" spans="1:43">
      <c r="A621" s="24">
        <v>46130</v>
      </c>
      <c r="B621" s="23">
        <f t="shared" si="81"/>
        <v>46113</v>
      </c>
      <c r="C621" s="2" t="s">
        <v>82</v>
      </c>
      <c r="D621" s="2" t="s">
        <v>562</v>
      </c>
      <c r="E621" s="2">
        <v>2648</v>
      </c>
      <c r="F621" s="2">
        <v>13</v>
      </c>
      <c r="G621" s="2">
        <v>13</v>
      </c>
      <c r="H621" s="2">
        <f t="shared" si="89"/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/>
      <c r="AJ621" s="2" t="s">
        <v>93</v>
      </c>
      <c r="AK621" s="2">
        <f t="shared" si="82"/>
        <v>0</v>
      </c>
      <c r="AL621" s="2">
        <f t="shared" si="83"/>
        <v>0</v>
      </c>
      <c r="AM621" s="2">
        <f t="shared" si="84"/>
        <v>0</v>
      </c>
      <c r="AN621" s="2">
        <f t="shared" si="85"/>
        <v>0</v>
      </c>
      <c r="AO621" s="2">
        <f t="shared" si="86"/>
        <v>0</v>
      </c>
      <c r="AP621" s="2">
        <f t="shared" si="87"/>
        <v>0</v>
      </c>
      <c r="AQ621" s="25">
        <f t="shared" si="88"/>
        <v>0</v>
      </c>
    </row>
    <row r="622" spans="1:43">
      <c r="A622" s="24">
        <v>46130</v>
      </c>
      <c r="B622" s="23">
        <f t="shared" si="81"/>
        <v>46113</v>
      </c>
      <c r="C622" s="2" t="s">
        <v>82</v>
      </c>
      <c r="D622" s="2" t="s">
        <v>496</v>
      </c>
      <c r="E622" s="2">
        <v>2648</v>
      </c>
      <c r="F622" s="2">
        <v>30</v>
      </c>
      <c r="G622" s="2">
        <v>29</v>
      </c>
      <c r="H622" s="2">
        <f t="shared" si="89"/>
        <v>1</v>
      </c>
      <c r="I622" s="2">
        <v>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/>
      <c r="AJ622" s="2" t="s">
        <v>93</v>
      </c>
      <c r="AK622" s="2">
        <f t="shared" si="82"/>
        <v>1</v>
      </c>
      <c r="AL622" s="2">
        <f t="shared" si="83"/>
        <v>0</v>
      </c>
      <c r="AM622" s="2">
        <f t="shared" si="84"/>
        <v>0</v>
      </c>
      <c r="AN622" s="2">
        <f t="shared" si="85"/>
        <v>0</v>
      </c>
      <c r="AO622" s="2">
        <f t="shared" si="86"/>
        <v>0</v>
      </c>
      <c r="AP622" s="2">
        <f t="shared" si="87"/>
        <v>0</v>
      </c>
      <c r="AQ622" s="25">
        <f t="shared" si="88"/>
        <v>0</v>
      </c>
    </row>
    <row r="623" spans="1:43">
      <c r="A623" s="24">
        <v>46130</v>
      </c>
      <c r="B623" s="23">
        <f t="shared" si="81"/>
        <v>46113</v>
      </c>
      <c r="C623" s="2" t="s">
        <v>82</v>
      </c>
      <c r="D623" s="2" t="s">
        <v>447</v>
      </c>
      <c r="E623" s="2">
        <v>2606</v>
      </c>
      <c r="F623" s="2">
        <v>45</v>
      </c>
      <c r="G623" s="2">
        <v>45</v>
      </c>
      <c r="H623" s="2">
        <f t="shared" si="89"/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/>
      <c r="AJ623" s="2" t="s">
        <v>93</v>
      </c>
      <c r="AK623" s="2">
        <f t="shared" si="82"/>
        <v>0</v>
      </c>
      <c r="AL623" s="2">
        <f t="shared" si="83"/>
        <v>0</v>
      </c>
      <c r="AM623" s="2">
        <f t="shared" si="84"/>
        <v>0</v>
      </c>
      <c r="AN623" s="2">
        <f t="shared" si="85"/>
        <v>0</v>
      </c>
      <c r="AO623" s="2">
        <f t="shared" si="86"/>
        <v>0</v>
      </c>
      <c r="AP623" s="2">
        <f t="shared" si="87"/>
        <v>0</v>
      </c>
      <c r="AQ623" s="25">
        <f t="shared" si="88"/>
        <v>0</v>
      </c>
    </row>
    <row r="624" spans="1:43">
      <c r="A624" s="24">
        <v>46130</v>
      </c>
      <c r="B624" s="23">
        <f t="shared" si="81"/>
        <v>46113</v>
      </c>
      <c r="C624" s="2" t="s">
        <v>82</v>
      </c>
      <c r="D624" s="2" t="s">
        <v>467</v>
      </c>
      <c r="E624" s="2">
        <v>2603</v>
      </c>
      <c r="F624" s="2">
        <v>56</v>
      </c>
      <c r="G624" s="2">
        <v>56</v>
      </c>
      <c r="H624" s="2">
        <f t="shared" si="89"/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/>
      <c r="AJ624" s="2" t="s">
        <v>93</v>
      </c>
      <c r="AK624" s="2">
        <f t="shared" si="82"/>
        <v>0</v>
      </c>
      <c r="AL624" s="2">
        <f t="shared" si="83"/>
        <v>0</v>
      </c>
      <c r="AM624" s="2">
        <f t="shared" si="84"/>
        <v>0</v>
      </c>
      <c r="AN624" s="2">
        <f t="shared" si="85"/>
        <v>0</v>
      </c>
      <c r="AO624" s="2">
        <f t="shared" si="86"/>
        <v>0</v>
      </c>
      <c r="AP624" s="2">
        <f t="shared" si="87"/>
        <v>0</v>
      </c>
      <c r="AQ624" s="25">
        <f t="shared" si="88"/>
        <v>0</v>
      </c>
    </row>
    <row r="625" spans="1:43">
      <c r="A625" s="24">
        <v>46130</v>
      </c>
      <c r="B625" s="23">
        <f t="shared" si="81"/>
        <v>46113</v>
      </c>
      <c r="C625" s="2" t="s">
        <v>62</v>
      </c>
      <c r="D625" s="2" t="s">
        <v>563</v>
      </c>
      <c r="E625" s="2">
        <v>1824</v>
      </c>
      <c r="F625" s="2">
        <v>170</v>
      </c>
      <c r="G625" s="2">
        <v>165</v>
      </c>
      <c r="H625" s="2">
        <f t="shared" si="89"/>
        <v>5</v>
      </c>
      <c r="I625" s="2">
        <v>5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/>
      <c r="AJ625" s="2" t="s">
        <v>99</v>
      </c>
      <c r="AK625" s="2">
        <f t="shared" si="82"/>
        <v>5</v>
      </c>
      <c r="AL625" s="2">
        <f t="shared" si="83"/>
        <v>0</v>
      </c>
      <c r="AM625" s="2">
        <f t="shared" si="84"/>
        <v>0</v>
      </c>
      <c r="AN625" s="2">
        <f t="shared" si="85"/>
        <v>0</v>
      </c>
      <c r="AO625" s="2">
        <f t="shared" si="86"/>
        <v>0</v>
      </c>
      <c r="AP625" s="2">
        <f t="shared" si="87"/>
        <v>0</v>
      </c>
      <c r="AQ625" s="25">
        <f t="shared" si="88"/>
        <v>0</v>
      </c>
    </row>
    <row r="626" spans="1:43">
      <c r="A626" s="24">
        <v>46130</v>
      </c>
      <c r="B626" s="23">
        <f t="shared" si="81"/>
        <v>46113</v>
      </c>
      <c r="C626" s="2" t="s">
        <v>160</v>
      </c>
      <c r="D626" s="2" t="s">
        <v>503</v>
      </c>
      <c r="E626" s="2">
        <v>1805</v>
      </c>
      <c r="F626" s="2">
        <v>519</v>
      </c>
      <c r="G626" s="2">
        <v>500</v>
      </c>
      <c r="H626" s="2">
        <f t="shared" si="89"/>
        <v>19</v>
      </c>
      <c r="I626" s="2">
        <v>4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12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3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/>
      <c r="AJ626" s="2" t="s">
        <v>93</v>
      </c>
      <c r="AK626" s="2">
        <f t="shared" si="82"/>
        <v>4</v>
      </c>
      <c r="AL626" s="2">
        <f t="shared" si="83"/>
        <v>12</v>
      </c>
      <c r="AM626" s="2">
        <f t="shared" si="84"/>
        <v>0</v>
      </c>
      <c r="AN626" s="2">
        <f t="shared" si="85"/>
        <v>0</v>
      </c>
      <c r="AO626" s="2">
        <f t="shared" si="86"/>
        <v>3</v>
      </c>
      <c r="AP626" s="2">
        <f t="shared" si="87"/>
        <v>0</v>
      </c>
      <c r="AQ626" s="25">
        <f t="shared" si="88"/>
        <v>0</v>
      </c>
    </row>
    <row r="627" spans="1:43">
      <c r="A627" s="24">
        <v>46130</v>
      </c>
      <c r="B627" s="23">
        <f t="shared" si="81"/>
        <v>46113</v>
      </c>
      <c r="C627" s="2" t="s">
        <v>82</v>
      </c>
      <c r="D627" s="2" t="s">
        <v>1540</v>
      </c>
      <c r="E627" s="2">
        <v>1767</v>
      </c>
      <c r="F627" s="2">
        <v>516</v>
      </c>
      <c r="G627" s="2">
        <v>509</v>
      </c>
      <c r="H627" s="2">
        <f t="shared" si="89"/>
        <v>7</v>
      </c>
      <c r="I627" s="2">
        <v>4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2</v>
      </c>
      <c r="P627" s="2">
        <v>0</v>
      </c>
      <c r="Q627" s="2">
        <v>0</v>
      </c>
      <c r="R627" s="2">
        <v>1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/>
      <c r="AJ627" s="2" t="s">
        <v>93</v>
      </c>
      <c r="AK627" s="2">
        <f t="shared" si="82"/>
        <v>4</v>
      </c>
      <c r="AL627" s="2">
        <f t="shared" si="83"/>
        <v>3</v>
      </c>
      <c r="AM627" s="2">
        <f t="shared" si="84"/>
        <v>0</v>
      </c>
      <c r="AN627" s="2">
        <f t="shared" si="85"/>
        <v>0</v>
      </c>
      <c r="AO627" s="2">
        <f t="shared" si="86"/>
        <v>0</v>
      </c>
      <c r="AP627" s="2">
        <f t="shared" si="87"/>
        <v>0</v>
      </c>
      <c r="AQ627" s="25">
        <f t="shared" si="88"/>
        <v>0</v>
      </c>
    </row>
    <row r="628" spans="1:43">
      <c r="A628" s="24">
        <v>46130</v>
      </c>
      <c r="B628" s="23">
        <f t="shared" si="81"/>
        <v>46113</v>
      </c>
      <c r="C628" s="2" t="s">
        <v>66</v>
      </c>
      <c r="D628" s="2" t="s">
        <v>1540</v>
      </c>
      <c r="E628" s="2">
        <v>1767</v>
      </c>
      <c r="F628" s="2">
        <v>904</v>
      </c>
      <c r="G628" s="2">
        <v>840</v>
      </c>
      <c r="H628" s="2">
        <f t="shared" si="89"/>
        <v>64</v>
      </c>
      <c r="I628" s="2">
        <v>2</v>
      </c>
      <c r="J628" s="2">
        <v>0</v>
      </c>
      <c r="K628" s="2">
        <v>60</v>
      </c>
      <c r="L628" s="2">
        <v>0</v>
      </c>
      <c r="M628" s="2">
        <v>0</v>
      </c>
      <c r="N628" s="2">
        <v>0</v>
      </c>
      <c r="O628" s="2">
        <v>2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/>
      <c r="AJ628" s="2" t="s">
        <v>110</v>
      </c>
      <c r="AK628" s="2">
        <f t="shared" si="82"/>
        <v>2</v>
      </c>
      <c r="AL628" s="2">
        <f t="shared" si="83"/>
        <v>62</v>
      </c>
      <c r="AM628" s="2">
        <f t="shared" si="84"/>
        <v>0</v>
      </c>
      <c r="AN628" s="2">
        <f t="shared" si="85"/>
        <v>0</v>
      </c>
      <c r="AO628" s="2">
        <f t="shared" si="86"/>
        <v>0</v>
      </c>
      <c r="AP628" s="2">
        <f t="shared" si="87"/>
        <v>0</v>
      </c>
      <c r="AQ628" s="25">
        <f t="shared" si="88"/>
        <v>0</v>
      </c>
    </row>
    <row r="629" spans="1:43">
      <c r="A629" s="24">
        <v>46130</v>
      </c>
      <c r="B629" s="23">
        <f t="shared" si="81"/>
        <v>46113</v>
      </c>
      <c r="C629" s="2" t="s">
        <v>66</v>
      </c>
      <c r="D629" s="2" t="s">
        <v>1451</v>
      </c>
      <c r="E629" s="2">
        <v>1636</v>
      </c>
      <c r="F629" s="2">
        <v>32</v>
      </c>
      <c r="G629" s="2">
        <v>32</v>
      </c>
      <c r="H629" s="2">
        <f t="shared" si="89"/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/>
      <c r="AJ629" s="2" t="s">
        <v>110</v>
      </c>
      <c r="AK629" s="2">
        <f t="shared" si="82"/>
        <v>0</v>
      </c>
      <c r="AL629" s="2">
        <f t="shared" si="83"/>
        <v>0</v>
      </c>
      <c r="AM629" s="2">
        <f t="shared" si="84"/>
        <v>0</v>
      </c>
      <c r="AN629" s="2">
        <f t="shared" si="85"/>
        <v>0</v>
      </c>
      <c r="AO629" s="2">
        <f t="shared" si="86"/>
        <v>0</v>
      </c>
      <c r="AP629" s="2">
        <f t="shared" si="87"/>
        <v>0</v>
      </c>
      <c r="AQ629" s="25">
        <f t="shared" si="88"/>
        <v>0</v>
      </c>
    </row>
    <row r="630" spans="1:43">
      <c r="A630" s="24">
        <v>46130</v>
      </c>
      <c r="B630" s="23">
        <f t="shared" si="81"/>
        <v>46113</v>
      </c>
      <c r="C630" s="2" t="s">
        <v>55</v>
      </c>
      <c r="D630" s="2" t="s">
        <v>470</v>
      </c>
      <c r="E630" s="2">
        <v>95156</v>
      </c>
      <c r="F630" s="2">
        <v>86</v>
      </c>
      <c r="G630" s="2">
        <v>78</v>
      </c>
      <c r="H630" s="2">
        <f t="shared" si="89"/>
        <v>8</v>
      </c>
      <c r="I630" s="2">
        <v>8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/>
      <c r="AJ630" s="2" t="s">
        <v>1566</v>
      </c>
      <c r="AK630" s="2">
        <f t="shared" si="82"/>
        <v>8</v>
      </c>
      <c r="AL630" s="2">
        <f t="shared" si="83"/>
        <v>0</v>
      </c>
      <c r="AM630" s="2">
        <f t="shared" si="84"/>
        <v>0</v>
      </c>
      <c r="AN630" s="2">
        <f t="shared" si="85"/>
        <v>0</v>
      </c>
      <c r="AO630" s="2">
        <f t="shared" si="86"/>
        <v>0</v>
      </c>
      <c r="AP630" s="2">
        <f t="shared" si="87"/>
        <v>0</v>
      </c>
      <c r="AQ630" s="25">
        <f t="shared" si="88"/>
        <v>0</v>
      </c>
    </row>
    <row r="631" spans="1:43">
      <c r="A631" s="24">
        <v>46130</v>
      </c>
      <c r="B631" s="23">
        <f t="shared" si="81"/>
        <v>46113</v>
      </c>
      <c r="C631" s="2" t="s">
        <v>133</v>
      </c>
      <c r="D631" s="2" t="s">
        <v>1482</v>
      </c>
      <c r="E631" s="2">
        <v>95225</v>
      </c>
      <c r="F631" s="2">
        <v>60</v>
      </c>
      <c r="G631" s="2">
        <v>58</v>
      </c>
      <c r="H631" s="2">
        <f t="shared" si="89"/>
        <v>2</v>
      </c>
      <c r="I631" s="2">
        <v>2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/>
      <c r="AJ631" s="2" t="s">
        <v>1566</v>
      </c>
      <c r="AK631" s="2">
        <f t="shared" si="82"/>
        <v>2</v>
      </c>
      <c r="AL631" s="2">
        <f t="shared" si="83"/>
        <v>0</v>
      </c>
      <c r="AM631" s="2">
        <f t="shared" si="84"/>
        <v>0</v>
      </c>
      <c r="AN631" s="2">
        <f t="shared" si="85"/>
        <v>0</v>
      </c>
      <c r="AO631" s="2">
        <f t="shared" si="86"/>
        <v>0</v>
      </c>
      <c r="AP631" s="2">
        <f t="shared" si="87"/>
        <v>0</v>
      </c>
      <c r="AQ631" s="25">
        <f t="shared" si="88"/>
        <v>0</v>
      </c>
    </row>
    <row r="632" spans="1:43">
      <c r="A632" s="24">
        <v>46130</v>
      </c>
      <c r="B632" s="23">
        <f t="shared" si="81"/>
        <v>46113</v>
      </c>
      <c r="C632" s="2" t="s">
        <v>133</v>
      </c>
      <c r="D632" s="2" t="s">
        <v>470</v>
      </c>
      <c r="E632" s="2">
        <v>95156</v>
      </c>
      <c r="F632" s="2">
        <v>20</v>
      </c>
      <c r="G632" s="2">
        <v>18</v>
      </c>
      <c r="H632" s="2">
        <f t="shared" si="89"/>
        <v>2</v>
      </c>
      <c r="I632" s="2">
        <v>2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/>
      <c r="AJ632" s="2" t="s">
        <v>1566</v>
      </c>
      <c r="AK632" s="2">
        <f t="shared" si="82"/>
        <v>2</v>
      </c>
      <c r="AL632" s="2">
        <f t="shared" si="83"/>
        <v>0</v>
      </c>
      <c r="AM632" s="2">
        <f t="shared" si="84"/>
        <v>0</v>
      </c>
      <c r="AN632" s="2">
        <f t="shared" si="85"/>
        <v>0</v>
      </c>
      <c r="AO632" s="2">
        <f t="shared" si="86"/>
        <v>0</v>
      </c>
      <c r="AP632" s="2">
        <f t="shared" si="87"/>
        <v>0</v>
      </c>
      <c r="AQ632" s="25">
        <f t="shared" si="88"/>
        <v>0</v>
      </c>
    </row>
    <row r="633" spans="1:43">
      <c r="A633" s="24">
        <v>46130</v>
      </c>
      <c r="B633" s="23">
        <f t="shared" si="81"/>
        <v>46113</v>
      </c>
      <c r="C633" s="2" t="s">
        <v>133</v>
      </c>
      <c r="D633" s="2" t="s">
        <v>468</v>
      </c>
      <c r="E633" s="2">
        <v>2670</v>
      </c>
      <c r="F633" s="2">
        <v>59</v>
      </c>
      <c r="G633" s="2">
        <v>58</v>
      </c>
      <c r="H633" s="2">
        <f t="shared" si="89"/>
        <v>1</v>
      </c>
      <c r="I633" s="2">
        <v>0</v>
      </c>
      <c r="J633" s="2">
        <v>1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/>
      <c r="AJ633" s="2" t="s">
        <v>1566</v>
      </c>
      <c r="AK633" s="2">
        <f t="shared" si="82"/>
        <v>0</v>
      </c>
      <c r="AL633" s="2">
        <f t="shared" si="83"/>
        <v>1</v>
      </c>
      <c r="AM633" s="2">
        <f t="shared" si="84"/>
        <v>0</v>
      </c>
      <c r="AN633" s="2">
        <f t="shared" si="85"/>
        <v>0</v>
      </c>
      <c r="AO633" s="2">
        <f t="shared" si="86"/>
        <v>0</v>
      </c>
      <c r="AP633" s="2">
        <f t="shared" si="87"/>
        <v>0</v>
      </c>
      <c r="AQ633" s="25">
        <f t="shared" si="88"/>
        <v>0</v>
      </c>
    </row>
    <row r="634" spans="1:43">
      <c r="A634" s="24">
        <v>46130</v>
      </c>
      <c r="B634" s="23">
        <f t="shared" si="81"/>
        <v>46113</v>
      </c>
      <c r="C634" s="2" t="s">
        <v>133</v>
      </c>
      <c r="D634" s="2" t="s">
        <v>482</v>
      </c>
      <c r="E634" s="2">
        <v>2670</v>
      </c>
      <c r="F634" s="2">
        <v>107</v>
      </c>
      <c r="G634" s="2">
        <v>106</v>
      </c>
      <c r="H634" s="2">
        <f t="shared" si="89"/>
        <v>1</v>
      </c>
      <c r="I634" s="2">
        <v>0</v>
      </c>
      <c r="J634" s="2">
        <v>1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/>
      <c r="AJ634" s="2" t="s">
        <v>1566</v>
      </c>
      <c r="AK634" s="2">
        <f t="shared" si="82"/>
        <v>0</v>
      </c>
      <c r="AL634" s="2">
        <f t="shared" si="83"/>
        <v>1</v>
      </c>
      <c r="AM634" s="2">
        <f t="shared" si="84"/>
        <v>0</v>
      </c>
      <c r="AN634" s="2">
        <f t="shared" si="85"/>
        <v>0</v>
      </c>
      <c r="AO634" s="2">
        <f t="shared" si="86"/>
        <v>0</v>
      </c>
      <c r="AP634" s="2">
        <f t="shared" si="87"/>
        <v>0</v>
      </c>
      <c r="AQ634" s="25">
        <f t="shared" si="88"/>
        <v>0</v>
      </c>
    </row>
    <row r="635" spans="1:43">
      <c r="A635" s="24">
        <v>46130</v>
      </c>
      <c r="B635" s="23">
        <f t="shared" si="81"/>
        <v>46113</v>
      </c>
      <c r="C635" s="2" t="s">
        <v>63</v>
      </c>
      <c r="D635" s="2" t="s">
        <v>1538</v>
      </c>
      <c r="E635" s="2">
        <v>10059</v>
      </c>
      <c r="F635" s="2">
        <v>117</v>
      </c>
      <c r="G635" s="2">
        <v>117</v>
      </c>
      <c r="H635" s="2">
        <f t="shared" si="89"/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/>
      <c r="AJ635" s="2" t="s">
        <v>1568</v>
      </c>
      <c r="AK635" s="2">
        <f t="shared" si="82"/>
        <v>0</v>
      </c>
      <c r="AL635" s="2">
        <f t="shared" si="83"/>
        <v>0</v>
      </c>
      <c r="AM635" s="2">
        <f t="shared" si="84"/>
        <v>0</v>
      </c>
      <c r="AN635" s="2">
        <f t="shared" si="85"/>
        <v>0</v>
      </c>
      <c r="AO635" s="2">
        <f t="shared" si="86"/>
        <v>0</v>
      </c>
      <c r="AP635" s="2">
        <f t="shared" si="87"/>
        <v>0</v>
      </c>
      <c r="AQ635" s="25">
        <f t="shared" si="88"/>
        <v>0</v>
      </c>
    </row>
    <row r="636" spans="1:43">
      <c r="A636" s="24">
        <v>46130</v>
      </c>
      <c r="B636" s="23">
        <f t="shared" si="81"/>
        <v>46113</v>
      </c>
      <c r="C636" s="2" t="s">
        <v>63</v>
      </c>
      <c r="D636" s="2" t="s">
        <v>455</v>
      </c>
      <c r="E636" s="2">
        <v>2725</v>
      </c>
      <c r="F636" s="2">
        <v>38</v>
      </c>
      <c r="G636" s="2">
        <v>36</v>
      </c>
      <c r="H636" s="2">
        <f t="shared" si="89"/>
        <v>2</v>
      </c>
      <c r="I636" s="2">
        <v>0</v>
      </c>
      <c r="J636" s="2">
        <v>0</v>
      </c>
      <c r="K636" s="2">
        <v>1</v>
      </c>
      <c r="L636" s="2">
        <v>0</v>
      </c>
      <c r="M636" s="2">
        <v>0</v>
      </c>
      <c r="N636" s="2">
        <v>0</v>
      </c>
      <c r="O636" s="2">
        <v>1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/>
      <c r="AJ636" s="2" t="s">
        <v>1568</v>
      </c>
      <c r="AK636" s="2">
        <f t="shared" si="82"/>
        <v>0</v>
      </c>
      <c r="AL636" s="2">
        <f t="shared" si="83"/>
        <v>2</v>
      </c>
      <c r="AM636" s="2">
        <f t="shared" si="84"/>
        <v>0</v>
      </c>
      <c r="AN636" s="2">
        <f t="shared" si="85"/>
        <v>0</v>
      </c>
      <c r="AO636" s="2">
        <f t="shared" si="86"/>
        <v>0</v>
      </c>
      <c r="AP636" s="2">
        <f t="shared" si="87"/>
        <v>0</v>
      </c>
      <c r="AQ636" s="25">
        <f t="shared" si="88"/>
        <v>0</v>
      </c>
    </row>
    <row r="637" spans="1:43">
      <c r="A637" s="24">
        <v>46130</v>
      </c>
      <c r="B637" s="23">
        <f t="shared" si="81"/>
        <v>46113</v>
      </c>
      <c r="C637" s="2" t="s">
        <v>63</v>
      </c>
      <c r="D637" s="2" t="s">
        <v>1452</v>
      </c>
      <c r="E637" s="2">
        <v>2480</v>
      </c>
      <c r="F637" s="2">
        <v>62</v>
      </c>
      <c r="G637" s="2">
        <v>61</v>
      </c>
      <c r="H637" s="2">
        <f t="shared" si="89"/>
        <v>1</v>
      </c>
      <c r="I637" s="2">
        <v>1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/>
      <c r="AJ637" s="2" t="s">
        <v>1568</v>
      </c>
      <c r="AK637" s="2">
        <f t="shared" si="82"/>
        <v>1</v>
      </c>
      <c r="AL637" s="2">
        <f t="shared" si="83"/>
        <v>0</v>
      </c>
      <c r="AM637" s="2">
        <f t="shared" si="84"/>
        <v>0</v>
      </c>
      <c r="AN637" s="2">
        <f t="shared" si="85"/>
        <v>0</v>
      </c>
      <c r="AO637" s="2">
        <f t="shared" si="86"/>
        <v>0</v>
      </c>
      <c r="AP637" s="2">
        <f t="shared" si="87"/>
        <v>0</v>
      </c>
      <c r="AQ637" s="25">
        <f t="shared" si="88"/>
        <v>0</v>
      </c>
    </row>
    <row r="638" spans="1:43">
      <c r="A638" s="24">
        <v>46130</v>
      </c>
      <c r="B638" s="23">
        <f t="shared" si="81"/>
        <v>46113</v>
      </c>
      <c r="C638" s="2" t="s">
        <v>62</v>
      </c>
      <c r="D638" s="2" t="s">
        <v>1196</v>
      </c>
      <c r="E638" s="2">
        <v>2783</v>
      </c>
      <c r="F638" s="2">
        <v>73</v>
      </c>
      <c r="G638" s="2">
        <v>71</v>
      </c>
      <c r="H638" s="2">
        <f t="shared" si="89"/>
        <v>2</v>
      </c>
      <c r="I638" s="2">
        <v>2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/>
      <c r="AJ638" s="2" t="s">
        <v>1568</v>
      </c>
      <c r="AK638" s="2">
        <f t="shared" si="82"/>
        <v>2</v>
      </c>
      <c r="AL638" s="2">
        <f t="shared" si="83"/>
        <v>0</v>
      </c>
      <c r="AM638" s="2">
        <f t="shared" si="84"/>
        <v>0</v>
      </c>
      <c r="AN638" s="2">
        <f t="shared" si="85"/>
        <v>0</v>
      </c>
      <c r="AO638" s="2">
        <f t="shared" si="86"/>
        <v>0</v>
      </c>
      <c r="AP638" s="2">
        <f t="shared" si="87"/>
        <v>0</v>
      </c>
      <c r="AQ638" s="25">
        <f t="shared" si="88"/>
        <v>0</v>
      </c>
    </row>
    <row r="639" spans="1:43">
      <c r="A639" s="24">
        <v>46130</v>
      </c>
      <c r="B639" s="23">
        <f t="shared" si="81"/>
        <v>46113</v>
      </c>
      <c r="C639" s="2" t="s">
        <v>62</v>
      </c>
      <c r="D639" s="2" t="s">
        <v>1288</v>
      </c>
      <c r="E639" s="2">
        <v>1824</v>
      </c>
      <c r="F639" s="2">
        <v>126</v>
      </c>
      <c r="G639" s="2">
        <v>123</v>
      </c>
      <c r="H639" s="2">
        <f t="shared" si="89"/>
        <v>3</v>
      </c>
      <c r="I639" s="2">
        <v>2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1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/>
      <c r="AJ639" s="2" t="s">
        <v>1568</v>
      </c>
      <c r="AK639" s="2">
        <f t="shared" si="82"/>
        <v>2</v>
      </c>
      <c r="AL639" s="2">
        <f t="shared" si="83"/>
        <v>1</v>
      </c>
      <c r="AM639" s="2">
        <f t="shared" si="84"/>
        <v>0</v>
      </c>
      <c r="AN639" s="2">
        <f t="shared" si="85"/>
        <v>0</v>
      </c>
      <c r="AO639" s="2">
        <f t="shared" si="86"/>
        <v>0</v>
      </c>
      <c r="AP639" s="2">
        <f t="shared" si="87"/>
        <v>0</v>
      </c>
      <c r="AQ639" s="25">
        <f t="shared" si="88"/>
        <v>0</v>
      </c>
    </row>
    <row r="640" spans="1:43">
      <c r="A640" s="24">
        <v>46130</v>
      </c>
      <c r="B640" s="23">
        <f t="shared" si="81"/>
        <v>46113</v>
      </c>
      <c r="C640" s="2" t="s">
        <v>62</v>
      </c>
      <c r="D640" s="2" t="s">
        <v>450</v>
      </c>
      <c r="E640" s="2">
        <v>1823</v>
      </c>
      <c r="F640" s="2">
        <v>137</v>
      </c>
      <c r="G640" s="2">
        <v>132</v>
      </c>
      <c r="H640" s="2">
        <f t="shared" si="89"/>
        <v>5</v>
      </c>
      <c r="I640" s="2">
        <v>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/>
      <c r="AJ640" s="2" t="s">
        <v>1568</v>
      </c>
      <c r="AK640" s="2">
        <f t="shared" si="82"/>
        <v>5</v>
      </c>
      <c r="AL640" s="2">
        <f t="shared" si="83"/>
        <v>0</v>
      </c>
      <c r="AM640" s="2">
        <f t="shared" si="84"/>
        <v>0</v>
      </c>
      <c r="AN640" s="2">
        <f t="shared" si="85"/>
        <v>0</v>
      </c>
      <c r="AO640" s="2">
        <f t="shared" si="86"/>
        <v>0</v>
      </c>
      <c r="AP640" s="2">
        <f t="shared" si="87"/>
        <v>0</v>
      </c>
      <c r="AQ640" s="25">
        <f t="shared" si="88"/>
        <v>0</v>
      </c>
    </row>
    <row r="641" spans="1:43">
      <c r="A641" s="24">
        <v>46130</v>
      </c>
      <c r="B641" s="23">
        <f t="shared" si="81"/>
        <v>46113</v>
      </c>
      <c r="C641" s="2" t="s">
        <v>63</v>
      </c>
      <c r="D641" s="2" t="s">
        <v>1185</v>
      </c>
      <c r="E641" s="2">
        <v>2772</v>
      </c>
      <c r="F641" s="2">
        <v>280</v>
      </c>
      <c r="G641" s="2">
        <v>278</v>
      </c>
      <c r="H641" s="2">
        <f t="shared" si="89"/>
        <v>2</v>
      </c>
      <c r="I641" s="2">
        <v>2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/>
      <c r="AJ641" s="2" t="s">
        <v>1568</v>
      </c>
      <c r="AK641" s="2">
        <f t="shared" si="82"/>
        <v>2</v>
      </c>
      <c r="AL641" s="2">
        <f t="shared" si="83"/>
        <v>0</v>
      </c>
      <c r="AM641" s="2">
        <f t="shared" si="84"/>
        <v>0</v>
      </c>
      <c r="AN641" s="2">
        <f t="shared" si="85"/>
        <v>0</v>
      </c>
      <c r="AO641" s="2">
        <f t="shared" si="86"/>
        <v>0</v>
      </c>
      <c r="AP641" s="2">
        <f t="shared" si="87"/>
        <v>0</v>
      </c>
      <c r="AQ641" s="25">
        <f t="shared" si="88"/>
        <v>0</v>
      </c>
    </row>
    <row r="642" spans="1:43">
      <c r="A642" s="24">
        <v>46130</v>
      </c>
      <c r="B642" s="23">
        <f t="shared" ref="B642:B705" si="90">EOMONTH(A642,-1)+1</f>
        <v>46113</v>
      </c>
      <c r="C642" s="2" t="s">
        <v>63</v>
      </c>
      <c r="D642" s="2" t="s">
        <v>1452</v>
      </c>
      <c r="E642" s="2">
        <v>2480</v>
      </c>
      <c r="F642" s="2">
        <v>35</v>
      </c>
      <c r="G642" s="2">
        <v>35</v>
      </c>
      <c r="H642" s="2">
        <f t="shared" si="89"/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/>
      <c r="AJ642" s="2" t="s">
        <v>1568</v>
      </c>
      <c r="AK642" s="2">
        <f t="shared" ref="AK642:AK705" si="91">+I642+AF642</f>
        <v>0</v>
      </c>
      <c r="AL642" s="2">
        <f t="shared" ref="AL642:AL705" si="92">+J642+K642+O642+N642+P642+R642+S642+Q642+M642+L642</f>
        <v>0</v>
      </c>
      <c r="AM642" s="2">
        <f t="shared" ref="AM642:AM705" si="93">+AB642+AC642</f>
        <v>0</v>
      </c>
      <c r="AN642" s="2">
        <f t="shared" ref="AN642:AN705" si="94">+AH642+AG642+AA642+Z642</f>
        <v>0</v>
      </c>
      <c r="AO642" s="2">
        <f t="shared" ref="AO642:AO705" si="95">+X642+W642+V642+U642+T642+Y642</f>
        <v>0</v>
      </c>
      <c r="AP642" s="2">
        <f t="shared" ref="AP642:AP705" si="96">+AD642</f>
        <v>0</v>
      </c>
      <c r="AQ642" s="25">
        <f t="shared" ref="AQ642:AQ705" si="97">+AE642</f>
        <v>0</v>
      </c>
    </row>
    <row r="643" spans="1:43">
      <c r="A643" s="24">
        <v>46132</v>
      </c>
      <c r="B643" s="23">
        <f t="shared" si="90"/>
        <v>46113</v>
      </c>
      <c r="C643" s="2" t="s">
        <v>46</v>
      </c>
      <c r="D643" s="2" t="s">
        <v>510</v>
      </c>
      <c r="E643" s="2">
        <v>2649</v>
      </c>
      <c r="F643" s="2">
        <v>332</v>
      </c>
      <c r="G643" s="2">
        <v>317</v>
      </c>
      <c r="H643" s="2">
        <f t="shared" ref="H643:H706" si="98">F643-G643</f>
        <v>15</v>
      </c>
      <c r="I643" s="2">
        <v>5</v>
      </c>
      <c r="J643" s="2">
        <v>0</v>
      </c>
      <c r="K643" s="2">
        <v>0</v>
      </c>
      <c r="L643" s="2">
        <v>0</v>
      </c>
      <c r="M643" s="2">
        <v>10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/>
      <c r="AJ643" s="2" t="s">
        <v>80</v>
      </c>
      <c r="AK643" s="2">
        <f t="shared" si="91"/>
        <v>5</v>
      </c>
      <c r="AL643" s="2">
        <f t="shared" si="92"/>
        <v>10</v>
      </c>
      <c r="AM643" s="2">
        <f t="shared" si="93"/>
        <v>0</v>
      </c>
      <c r="AN643" s="2">
        <f t="shared" si="94"/>
        <v>0</v>
      </c>
      <c r="AO643" s="2">
        <f t="shared" si="95"/>
        <v>0</v>
      </c>
      <c r="AP643" s="2">
        <f t="shared" si="96"/>
        <v>0</v>
      </c>
      <c r="AQ643" s="25">
        <f t="shared" si="97"/>
        <v>0</v>
      </c>
    </row>
    <row r="644" spans="1:43">
      <c r="A644" s="24">
        <v>46132</v>
      </c>
      <c r="B644" s="23">
        <f t="shared" si="90"/>
        <v>46113</v>
      </c>
      <c r="C644" s="2" t="s">
        <v>46</v>
      </c>
      <c r="D644" s="2" t="s">
        <v>1509</v>
      </c>
      <c r="E644" s="2">
        <v>1163</v>
      </c>
      <c r="F644" s="2">
        <v>230</v>
      </c>
      <c r="G644" s="2">
        <v>223</v>
      </c>
      <c r="H644" s="2">
        <f t="shared" si="98"/>
        <v>7</v>
      </c>
      <c r="I644" s="2">
        <v>3</v>
      </c>
      <c r="J644" s="2">
        <v>0</v>
      </c>
      <c r="K644" s="2">
        <v>0</v>
      </c>
      <c r="L644" s="2">
        <v>0</v>
      </c>
      <c r="M644" s="2">
        <v>4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/>
      <c r="AJ644" s="2" t="s">
        <v>80</v>
      </c>
      <c r="AK644" s="2">
        <f t="shared" si="91"/>
        <v>3</v>
      </c>
      <c r="AL644" s="2">
        <f t="shared" si="92"/>
        <v>4</v>
      </c>
      <c r="AM644" s="2">
        <f t="shared" si="93"/>
        <v>0</v>
      </c>
      <c r="AN644" s="2">
        <f t="shared" si="94"/>
        <v>0</v>
      </c>
      <c r="AO644" s="2">
        <f t="shared" si="95"/>
        <v>0</v>
      </c>
      <c r="AP644" s="2">
        <f t="shared" si="96"/>
        <v>0</v>
      </c>
      <c r="AQ644" s="25">
        <f t="shared" si="97"/>
        <v>0</v>
      </c>
    </row>
    <row r="645" spans="1:43">
      <c r="A645" s="24">
        <v>46132</v>
      </c>
      <c r="B645" s="23">
        <f t="shared" si="90"/>
        <v>46113</v>
      </c>
      <c r="C645" s="2" t="s">
        <v>46</v>
      </c>
      <c r="D645" s="2" t="s">
        <v>447</v>
      </c>
      <c r="E645" s="2">
        <v>2606</v>
      </c>
      <c r="F645" s="2">
        <v>88</v>
      </c>
      <c r="G645" s="2">
        <v>88</v>
      </c>
      <c r="H645" s="2">
        <f t="shared" si="98"/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/>
      <c r="AJ645" s="2" t="s">
        <v>80</v>
      </c>
      <c r="AK645" s="2">
        <f t="shared" si="91"/>
        <v>0</v>
      </c>
      <c r="AL645" s="2">
        <f t="shared" si="92"/>
        <v>0</v>
      </c>
      <c r="AM645" s="2">
        <f t="shared" si="93"/>
        <v>0</v>
      </c>
      <c r="AN645" s="2">
        <f t="shared" si="94"/>
        <v>0</v>
      </c>
      <c r="AO645" s="2">
        <f t="shared" si="95"/>
        <v>0</v>
      </c>
      <c r="AP645" s="2">
        <f t="shared" si="96"/>
        <v>0</v>
      </c>
      <c r="AQ645" s="25">
        <f t="shared" si="97"/>
        <v>0</v>
      </c>
    </row>
    <row r="646" spans="1:43">
      <c r="A646" s="24">
        <v>46132</v>
      </c>
      <c r="B646" s="23">
        <f t="shared" si="90"/>
        <v>46113</v>
      </c>
      <c r="C646" s="2" t="s">
        <v>66</v>
      </c>
      <c r="D646" s="2" t="s">
        <v>437</v>
      </c>
      <c r="E646" s="2">
        <v>2539</v>
      </c>
      <c r="F646" s="2">
        <v>32</v>
      </c>
      <c r="G646" s="2">
        <v>31</v>
      </c>
      <c r="H646" s="2">
        <f t="shared" si="98"/>
        <v>1</v>
      </c>
      <c r="I646" s="2">
        <v>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/>
      <c r="AJ646" s="2" t="s">
        <v>80</v>
      </c>
      <c r="AK646" s="2">
        <f t="shared" si="91"/>
        <v>1</v>
      </c>
      <c r="AL646" s="2">
        <f t="shared" si="92"/>
        <v>0</v>
      </c>
      <c r="AM646" s="2">
        <f t="shared" si="93"/>
        <v>0</v>
      </c>
      <c r="AN646" s="2">
        <f t="shared" si="94"/>
        <v>0</v>
      </c>
      <c r="AO646" s="2">
        <f t="shared" si="95"/>
        <v>0</v>
      </c>
      <c r="AP646" s="2">
        <f t="shared" si="96"/>
        <v>0</v>
      </c>
      <c r="AQ646" s="25">
        <f t="shared" si="97"/>
        <v>0</v>
      </c>
    </row>
    <row r="647" spans="1:43">
      <c r="A647" s="24">
        <v>46132</v>
      </c>
      <c r="B647" s="23">
        <f t="shared" si="90"/>
        <v>46113</v>
      </c>
      <c r="C647" s="2" t="s">
        <v>72</v>
      </c>
      <c r="D647" s="2" t="s">
        <v>576</v>
      </c>
      <c r="E647" s="2">
        <v>2497</v>
      </c>
      <c r="F647" s="2">
        <v>96</v>
      </c>
      <c r="G647" s="2">
        <v>81</v>
      </c>
      <c r="H647" s="2">
        <f t="shared" si="98"/>
        <v>15</v>
      </c>
      <c r="I647" s="2">
        <v>1</v>
      </c>
      <c r="J647" s="2">
        <v>0</v>
      </c>
      <c r="K647" s="2">
        <v>0</v>
      </c>
      <c r="L647" s="2">
        <v>0</v>
      </c>
      <c r="M647" s="2">
        <v>5</v>
      </c>
      <c r="N647" s="2">
        <v>0</v>
      </c>
      <c r="O647" s="2">
        <v>0</v>
      </c>
      <c r="P647" s="2">
        <v>0</v>
      </c>
      <c r="Q647" s="2">
        <v>9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/>
      <c r="AJ647" s="2" t="s">
        <v>80</v>
      </c>
      <c r="AK647" s="2">
        <f t="shared" si="91"/>
        <v>1</v>
      </c>
      <c r="AL647" s="2">
        <f t="shared" si="92"/>
        <v>14</v>
      </c>
      <c r="AM647" s="2">
        <f t="shared" si="93"/>
        <v>0</v>
      </c>
      <c r="AN647" s="2">
        <f t="shared" si="94"/>
        <v>0</v>
      </c>
      <c r="AO647" s="2">
        <f t="shared" si="95"/>
        <v>0</v>
      </c>
      <c r="AP647" s="2">
        <f t="shared" si="96"/>
        <v>0</v>
      </c>
      <c r="AQ647" s="25">
        <f t="shared" si="97"/>
        <v>0</v>
      </c>
    </row>
    <row r="648" spans="1:43">
      <c r="A648" s="24">
        <v>46132</v>
      </c>
      <c r="B648" s="23">
        <f t="shared" si="90"/>
        <v>46113</v>
      </c>
      <c r="C648" s="2" t="s">
        <v>72</v>
      </c>
      <c r="D648" s="2" t="s">
        <v>571</v>
      </c>
      <c r="E648" s="2">
        <v>2576</v>
      </c>
      <c r="F648" s="2">
        <v>77</v>
      </c>
      <c r="G648" s="2">
        <v>77</v>
      </c>
      <c r="H648" s="2">
        <f t="shared" si="98"/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/>
      <c r="AJ648" s="2" t="s">
        <v>80</v>
      </c>
      <c r="AK648" s="2">
        <f t="shared" si="91"/>
        <v>0</v>
      </c>
      <c r="AL648" s="2">
        <f t="shared" si="92"/>
        <v>0</v>
      </c>
      <c r="AM648" s="2">
        <f t="shared" si="93"/>
        <v>0</v>
      </c>
      <c r="AN648" s="2">
        <f t="shared" si="94"/>
        <v>0</v>
      </c>
      <c r="AO648" s="2">
        <f t="shared" si="95"/>
        <v>0</v>
      </c>
      <c r="AP648" s="2">
        <f t="shared" si="96"/>
        <v>0</v>
      </c>
      <c r="AQ648" s="25">
        <f t="shared" si="97"/>
        <v>0</v>
      </c>
    </row>
    <row r="649" spans="1:43">
      <c r="A649" s="24">
        <v>46132</v>
      </c>
      <c r="B649" s="23">
        <f t="shared" si="90"/>
        <v>46113</v>
      </c>
      <c r="C649" s="2" t="s">
        <v>114</v>
      </c>
      <c r="D649" s="2" t="s">
        <v>1535</v>
      </c>
      <c r="E649" s="2">
        <v>2575</v>
      </c>
      <c r="F649" s="2">
        <v>75</v>
      </c>
      <c r="G649" s="2">
        <v>74</v>
      </c>
      <c r="H649" s="2">
        <f t="shared" si="98"/>
        <v>1</v>
      </c>
      <c r="I649" s="2">
        <v>1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/>
      <c r="AJ649" s="2" t="s">
        <v>80</v>
      </c>
      <c r="AK649" s="2">
        <f t="shared" si="91"/>
        <v>1</v>
      </c>
      <c r="AL649" s="2">
        <f t="shared" si="92"/>
        <v>0</v>
      </c>
      <c r="AM649" s="2">
        <f t="shared" si="93"/>
        <v>0</v>
      </c>
      <c r="AN649" s="2">
        <f t="shared" si="94"/>
        <v>0</v>
      </c>
      <c r="AO649" s="2">
        <f t="shared" si="95"/>
        <v>0</v>
      </c>
      <c r="AP649" s="2">
        <f t="shared" si="96"/>
        <v>0</v>
      </c>
      <c r="AQ649" s="25">
        <f t="shared" si="97"/>
        <v>0</v>
      </c>
    </row>
    <row r="650" spans="1:43">
      <c r="A650" s="24">
        <v>46132</v>
      </c>
      <c r="B650" s="23">
        <f t="shared" si="90"/>
        <v>46113</v>
      </c>
      <c r="C650" s="2" t="s">
        <v>72</v>
      </c>
      <c r="D650" s="2" t="s">
        <v>445</v>
      </c>
      <c r="E650" s="2">
        <v>2540</v>
      </c>
      <c r="F650" s="2">
        <v>224</v>
      </c>
      <c r="G650" s="2">
        <v>217</v>
      </c>
      <c r="H650" s="2">
        <f t="shared" si="98"/>
        <v>7</v>
      </c>
      <c r="I650" s="2">
        <v>0</v>
      </c>
      <c r="J650" s="2">
        <v>0</v>
      </c>
      <c r="K650" s="2">
        <v>0</v>
      </c>
      <c r="L650" s="2">
        <v>0</v>
      </c>
      <c r="M650" s="2">
        <v>5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2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/>
      <c r="AJ650" s="2" t="s">
        <v>80</v>
      </c>
      <c r="AK650" s="2">
        <f t="shared" si="91"/>
        <v>0</v>
      </c>
      <c r="AL650" s="2">
        <f t="shared" si="92"/>
        <v>5</v>
      </c>
      <c r="AM650" s="2">
        <f t="shared" si="93"/>
        <v>0</v>
      </c>
      <c r="AN650" s="2">
        <f t="shared" si="94"/>
        <v>2</v>
      </c>
      <c r="AO650" s="2">
        <f t="shared" si="95"/>
        <v>0</v>
      </c>
      <c r="AP650" s="2">
        <f t="shared" si="96"/>
        <v>0</v>
      </c>
      <c r="AQ650" s="25">
        <f t="shared" si="97"/>
        <v>0</v>
      </c>
    </row>
    <row r="651" spans="1:43">
      <c r="A651" s="24">
        <v>46132</v>
      </c>
      <c r="B651" s="23">
        <f t="shared" si="90"/>
        <v>46113</v>
      </c>
      <c r="C651" s="2" t="s">
        <v>114</v>
      </c>
      <c r="D651" s="2" t="s">
        <v>1202</v>
      </c>
      <c r="E651" s="2">
        <v>311</v>
      </c>
      <c r="F651" s="2">
        <v>149</v>
      </c>
      <c r="G651" s="2">
        <v>145</v>
      </c>
      <c r="H651" s="2">
        <f t="shared" si="98"/>
        <v>4</v>
      </c>
      <c r="I651" s="2">
        <v>1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3</v>
      </c>
      <c r="AE651" s="2">
        <v>0</v>
      </c>
      <c r="AF651" s="2">
        <v>0</v>
      </c>
      <c r="AG651" s="2">
        <v>0</v>
      </c>
      <c r="AH651" s="2">
        <v>0</v>
      </c>
      <c r="AI651" s="2"/>
      <c r="AJ651" s="2" t="s">
        <v>80</v>
      </c>
      <c r="AK651" s="2">
        <f t="shared" si="91"/>
        <v>1</v>
      </c>
      <c r="AL651" s="2">
        <f t="shared" si="92"/>
        <v>0</v>
      </c>
      <c r="AM651" s="2">
        <f t="shared" si="93"/>
        <v>0</v>
      </c>
      <c r="AN651" s="2">
        <f t="shared" si="94"/>
        <v>0</v>
      </c>
      <c r="AO651" s="2">
        <f t="shared" si="95"/>
        <v>0</v>
      </c>
      <c r="AP651" s="2">
        <f t="shared" si="96"/>
        <v>3</v>
      </c>
      <c r="AQ651" s="25">
        <f t="shared" si="97"/>
        <v>0</v>
      </c>
    </row>
    <row r="652" spans="1:43">
      <c r="A652" s="24">
        <v>46132</v>
      </c>
      <c r="B652" s="23">
        <f t="shared" si="90"/>
        <v>46113</v>
      </c>
      <c r="C652" s="2" t="s">
        <v>72</v>
      </c>
      <c r="D652" s="2" t="s">
        <v>553</v>
      </c>
      <c r="E652" s="2">
        <v>10038</v>
      </c>
      <c r="F652" s="2">
        <v>408</v>
      </c>
      <c r="G652" s="2">
        <v>408</v>
      </c>
      <c r="H652" s="2">
        <f t="shared" si="98"/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/>
      <c r="AJ652" s="2" t="s">
        <v>99</v>
      </c>
      <c r="AK652" s="2">
        <f t="shared" si="91"/>
        <v>0</v>
      </c>
      <c r="AL652" s="2">
        <f t="shared" si="92"/>
        <v>0</v>
      </c>
      <c r="AM652" s="2">
        <f t="shared" si="93"/>
        <v>0</v>
      </c>
      <c r="AN652" s="2">
        <f t="shared" si="94"/>
        <v>0</v>
      </c>
      <c r="AO652" s="2">
        <f t="shared" si="95"/>
        <v>0</v>
      </c>
      <c r="AP652" s="2">
        <f t="shared" si="96"/>
        <v>0</v>
      </c>
      <c r="AQ652" s="25">
        <f t="shared" si="97"/>
        <v>0</v>
      </c>
    </row>
    <row r="653" spans="1:43">
      <c r="A653" s="24">
        <v>46132</v>
      </c>
      <c r="B653" s="23">
        <f t="shared" si="90"/>
        <v>46113</v>
      </c>
      <c r="C653" s="2" t="s">
        <v>62</v>
      </c>
      <c r="D653" s="2" t="s">
        <v>440</v>
      </c>
      <c r="E653" s="2">
        <v>1823</v>
      </c>
      <c r="F653" s="2">
        <v>390</v>
      </c>
      <c r="G653" s="2">
        <v>389</v>
      </c>
      <c r="H653" s="2">
        <f t="shared" si="98"/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1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/>
      <c r="AJ653" s="2" t="s">
        <v>99</v>
      </c>
      <c r="AK653" s="2">
        <f t="shared" si="91"/>
        <v>0</v>
      </c>
      <c r="AL653" s="2">
        <f t="shared" si="92"/>
        <v>0</v>
      </c>
      <c r="AM653" s="2">
        <f t="shared" si="93"/>
        <v>0</v>
      </c>
      <c r="AN653" s="2">
        <f t="shared" si="94"/>
        <v>1</v>
      </c>
      <c r="AO653" s="2">
        <f t="shared" si="95"/>
        <v>0</v>
      </c>
      <c r="AP653" s="2">
        <f t="shared" si="96"/>
        <v>0</v>
      </c>
      <c r="AQ653" s="25">
        <f t="shared" si="97"/>
        <v>0</v>
      </c>
    </row>
    <row r="654" spans="1:43">
      <c r="A654" s="24">
        <v>46132</v>
      </c>
      <c r="B654" s="23">
        <f t="shared" si="90"/>
        <v>46113</v>
      </c>
      <c r="C654" s="2" t="s">
        <v>114</v>
      </c>
      <c r="D654" s="2" t="s">
        <v>512</v>
      </c>
      <c r="E654" s="2">
        <v>1845</v>
      </c>
      <c r="F654" s="2">
        <v>211</v>
      </c>
      <c r="G654" s="2">
        <v>204</v>
      </c>
      <c r="H654" s="2">
        <f t="shared" si="98"/>
        <v>7</v>
      </c>
      <c r="I654" s="2">
        <v>5</v>
      </c>
      <c r="J654" s="2">
        <v>2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/>
      <c r="AJ654" s="2" t="s">
        <v>99</v>
      </c>
      <c r="AK654" s="2">
        <f t="shared" si="91"/>
        <v>5</v>
      </c>
      <c r="AL654" s="2">
        <f t="shared" si="92"/>
        <v>2</v>
      </c>
      <c r="AM654" s="2">
        <f t="shared" si="93"/>
        <v>0</v>
      </c>
      <c r="AN654" s="2">
        <f t="shared" si="94"/>
        <v>0</v>
      </c>
      <c r="AO654" s="2">
        <f t="shared" si="95"/>
        <v>0</v>
      </c>
      <c r="AP654" s="2">
        <f t="shared" si="96"/>
        <v>0</v>
      </c>
      <c r="AQ654" s="25">
        <f t="shared" si="97"/>
        <v>0</v>
      </c>
    </row>
    <row r="655" spans="1:43">
      <c r="A655" s="24">
        <v>46132</v>
      </c>
      <c r="B655" s="23">
        <f t="shared" si="90"/>
        <v>46113</v>
      </c>
      <c r="C655" s="2" t="s">
        <v>63</v>
      </c>
      <c r="D655" s="2" t="s">
        <v>1200</v>
      </c>
      <c r="E655" s="2">
        <v>1806</v>
      </c>
      <c r="F655" s="2">
        <v>230</v>
      </c>
      <c r="G655" s="2">
        <v>230</v>
      </c>
      <c r="H655" s="2">
        <f t="shared" si="98"/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/>
      <c r="AJ655" s="2" t="s">
        <v>99</v>
      </c>
      <c r="AK655" s="2">
        <f t="shared" si="91"/>
        <v>0</v>
      </c>
      <c r="AL655" s="2">
        <f t="shared" si="92"/>
        <v>0</v>
      </c>
      <c r="AM655" s="2">
        <f t="shared" si="93"/>
        <v>0</v>
      </c>
      <c r="AN655" s="2">
        <f t="shared" si="94"/>
        <v>0</v>
      </c>
      <c r="AO655" s="2">
        <f t="shared" si="95"/>
        <v>0</v>
      </c>
      <c r="AP655" s="2">
        <f t="shared" si="96"/>
        <v>0</v>
      </c>
      <c r="AQ655" s="25">
        <f t="shared" si="97"/>
        <v>0</v>
      </c>
    </row>
    <row r="656" spans="1:43">
      <c r="A656" s="24">
        <v>46132</v>
      </c>
      <c r="B656" s="23">
        <f t="shared" si="90"/>
        <v>46113</v>
      </c>
      <c r="C656" s="2" t="s">
        <v>82</v>
      </c>
      <c r="D656" s="2" t="s">
        <v>1540</v>
      </c>
      <c r="E656" s="2">
        <v>1767</v>
      </c>
      <c r="F656" s="2">
        <v>483</v>
      </c>
      <c r="G656" s="2">
        <v>470</v>
      </c>
      <c r="H656" s="2">
        <f t="shared" si="98"/>
        <v>13</v>
      </c>
      <c r="I656" s="2">
        <v>12</v>
      </c>
      <c r="J656" s="2">
        <v>0</v>
      </c>
      <c r="K656" s="2">
        <v>1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/>
      <c r="AJ656" s="2" t="s">
        <v>93</v>
      </c>
      <c r="AK656" s="2">
        <f t="shared" si="91"/>
        <v>12</v>
      </c>
      <c r="AL656" s="2">
        <f t="shared" si="92"/>
        <v>1</v>
      </c>
      <c r="AM656" s="2">
        <f t="shared" si="93"/>
        <v>0</v>
      </c>
      <c r="AN656" s="2">
        <f t="shared" si="94"/>
        <v>0</v>
      </c>
      <c r="AO656" s="2">
        <f t="shared" si="95"/>
        <v>0</v>
      </c>
      <c r="AP656" s="2">
        <f t="shared" si="96"/>
        <v>0</v>
      </c>
      <c r="AQ656" s="25">
        <f t="shared" si="97"/>
        <v>0</v>
      </c>
    </row>
    <row r="657" spans="1:43">
      <c r="A657" s="24">
        <v>46132</v>
      </c>
      <c r="B657" s="23">
        <f t="shared" si="90"/>
        <v>46113</v>
      </c>
      <c r="C657" s="2" t="s">
        <v>160</v>
      </c>
      <c r="D657" s="2" t="s">
        <v>487</v>
      </c>
      <c r="E657" s="2">
        <v>2651</v>
      </c>
      <c r="F657" s="2">
        <v>72</v>
      </c>
      <c r="G657" s="2">
        <v>64</v>
      </c>
      <c r="H657" s="2">
        <f t="shared" si="98"/>
        <v>8</v>
      </c>
      <c r="I657" s="2">
        <v>2</v>
      </c>
      <c r="J657" s="2">
        <v>0</v>
      </c>
      <c r="K657" s="2">
        <v>0</v>
      </c>
      <c r="L657" s="2">
        <v>0</v>
      </c>
      <c r="M657" s="2">
        <v>3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1</v>
      </c>
      <c r="V657" s="2">
        <v>2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/>
      <c r="AJ657" s="2" t="s">
        <v>93</v>
      </c>
      <c r="AK657" s="2">
        <f t="shared" si="91"/>
        <v>2</v>
      </c>
      <c r="AL657" s="2">
        <f t="shared" si="92"/>
        <v>3</v>
      </c>
      <c r="AM657" s="2">
        <f t="shared" si="93"/>
        <v>0</v>
      </c>
      <c r="AN657" s="2">
        <f t="shared" si="94"/>
        <v>0</v>
      </c>
      <c r="AO657" s="2">
        <f t="shared" si="95"/>
        <v>3</v>
      </c>
      <c r="AP657" s="2">
        <f t="shared" si="96"/>
        <v>0</v>
      </c>
      <c r="AQ657" s="25">
        <f t="shared" si="97"/>
        <v>0</v>
      </c>
    </row>
    <row r="658" spans="1:43">
      <c r="A658" s="24">
        <v>46132</v>
      </c>
      <c r="B658" s="23">
        <f t="shared" si="90"/>
        <v>46113</v>
      </c>
      <c r="C658" s="2" t="s">
        <v>160</v>
      </c>
      <c r="D658" s="2" t="s">
        <v>476</v>
      </c>
      <c r="E658" s="2">
        <v>1885</v>
      </c>
      <c r="F658" s="2">
        <v>85</v>
      </c>
      <c r="G658" s="2">
        <v>70</v>
      </c>
      <c r="H658" s="2">
        <f t="shared" si="98"/>
        <v>15</v>
      </c>
      <c r="I658" s="2">
        <v>1</v>
      </c>
      <c r="J658" s="2">
        <v>0</v>
      </c>
      <c r="K658" s="2">
        <v>3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10</v>
      </c>
      <c r="U658" s="2">
        <v>0</v>
      </c>
      <c r="V658" s="2">
        <v>1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/>
      <c r="AJ658" s="2" t="s">
        <v>93</v>
      </c>
      <c r="AK658" s="2">
        <f t="shared" si="91"/>
        <v>1</v>
      </c>
      <c r="AL658" s="2">
        <f t="shared" si="92"/>
        <v>3</v>
      </c>
      <c r="AM658" s="2">
        <f t="shared" si="93"/>
        <v>0</v>
      </c>
      <c r="AN658" s="2">
        <f t="shared" si="94"/>
        <v>0</v>
      </c>
      <c r="AO658" s="2">
        <f t="shared" si="95"/>
        <v>11</v>
      </c>
      <c r="AP658" s="2">
        <f t="shared" si="96"/>
        <v>0</v>
      </c>
      <c r="AQ658" s="25">
        <f t="shared" si="97"/>
        <v>0</v>
      </c>
    </row>
    <row r="659" spans="1:43">
      <c r="A659" s="24">
        <v>46132</v>
      </c>
      <c r="B659" s="23">
        <f t="shared" si="90"/>
        <v>46113</v>
      </c>
      <c r="C659" s="2" t="s">
        <v>160</v>
      </c>
      <c r="D659" s="2" t="s">
        <v>503</v>
      </c>
      <c r="E659" s="2">
        <v>1805</v>
      </c>
      <c r="F659" s="2">
        <v>381</v>
      </c>
      <c r="G659" s="2">
        <v>366</v>
      </c>
      <c r="H659" s="2">
        <f t="shared" si="98"/>
        <v>15</v>
      </c>
      <c r="I659" s="2">
        <v>7</v>
      </c>
      <c r="J659" s="2">
        <v>0</v>
      </c>
      <c r="K659" s="2">
        <v>2</v>
      </c>
      <c r="L659" s="2">
        <v>0</v>
      </c>
      <c r="M659" s="2">
        <v>0</v>
      </c>
      <c r="N659" s="2">
        <v>0</v>
      </c>
      <c r="O659" s="2">
        <v>5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1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/>
      <c r="AJ659" s="2" t="s">
        <v>93</v>
      </c>
      <c r="AK659" s="2">
        <f t="shared" si="91"/>
        <v>7</v>
      </c>
      <c r="AL659" s="2">
        <f t="shared" si="92"/>
        <v>7</v>
      </c>
      <c r="AM659" s="2">
        <f t="shared" si="93"/>
        <v>0</v>
      </c>
      <c r="AN659" s="2">
        <f t="shared" si="94"/>
        <v>0</v>
      </c>
      <c r="AO659" s="2">
        <f t="shared" si="95"/>
        <v>1</v>
      </c>
      <c r="AP659" s="2">
        <f t="shared" si="96"/>
        <v>0</v>
      </c>
      <c r="AQ659" s="25">
        <f t="shared" si="97"/>
        <v>0</v>
      </c>
    </row>
    <row r="660" spans="1:43">
      <c r="A660" s="24">
        <v>46132</v>
      </c>
      <c r="B660" s="23">
        <f t="shared" si="90"/>
        <v>46113</v>
      </c>
      <c r="C660" s="2" t="s">
        <v>160</v>
      </c>
      <c r="D660" s="2" t="s">
        <v>1506</v>
      </c>
      <c r="E660" s="2">
        <v>1805</v>
      </c>
      <c r="F660" s="2">
        <v>46</v>
      </c>
      <c r="G660" s="2">
        <v>44</v>
      </c>
      <c r="H660" s="2">
        <f t="shared" si="98"/>
        <v>2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2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/>
      <c r="AJ660" s="2" t="s">
        <v>93</v>
      </c>
      <c r="AK660" s="2">
        <f t="shared" si="91"/>
        <v>0</v>
      </c>
      <c r="AL660" s="2">
        <f t="shared" si="92"/>
        <v>2</v>
      </c>
      <c r="AM660" s="2">
        <f t="shared" si="93"/>
        <v>0</v>
      </c>
      <c r="AN660" s="2">
        <f t="shared" si="94"/>
        <v>0</v>
      </c>
      <c r="AO660" s="2">
        <f t="shared" si="95"/>
        <v>0</v>
      </c>
      <c r="AP660" s="2">
        <f t="shared" si="96"/>
        <v>0</v>
      </c>
      <c r="AQ660" s="25">
        <f t="shared" si="97"/>
        <v>0</v>
      </c>
    </row>
    <row r="661" spans="1:43">
      <c r="A661" s="24">
        <v>46132</v>
      </c>
      <c r="B661" s="23">
        <f t="shared" si="90"/>
        <v>46113</v>
      </c>
      <c r="C661" s="2" t="s">
        <v>97</v>
      </c>
      <c r="D661" s="2" t="s">
        <v>543</v>
      </c>
      <c r="E661" s="2">
        <v>1884</v>
      </c>
      <c r="F661" s="2">
        <v>24</v>
      </c>
      <c r="G661" s="2">
        <v>22</v>
      </c>
      <c r="H661" s="2">
        <f t="shared" si="98"/>
        <v>2</v>
      </c>
      <c r="I661" s="2">
        <v>2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/>
      <c r="AJ661" s="2" t="s">
        <v>110</v>
      </c>
      <c r="AK661" s="2">
        <f t="shared" si="91"/>
        <v>2</v>
      </c>
      <c r="AL661" s="2">
        <f t="shared" si="92"/>
        <v>0</v>
      </c>
      <c r="AM661" s="2">
        <f t="shared" si="93"/>
        <v>0</v>
      </c>
      <c r="AN661" s="2">
        <f t="shared" si="94"/>
        <v>0</v>
      </c>
      <c r="AO661" s="2">
        <f t="shared" si="95"/>
        <v>0</v>
      </c>
      <c r="AP661" s="2">
        <f t="shared" si="96"/>
        <v>0</v>
      </c>
      <c r="AQ661" s="25">
        <f t="shared" si="97"/>
        <v>0</v>
      </c>
    </row>
    <row r="662" spans="1:43">
      <c r="A662" s="24">
        <v>46132</v>
      </c>
      <c r="B662" s="23">
        <f t="shared" si="90"/>
        <v>46113</v>
      </c>
      <c r="C662" s="2" t="s">
        <v>66</v>
      </c>
      <c r="D662" s="2" t="s">
        <v>1540</v>
      </c>
      <c r="E662" s="2">
        <v>1767</v>
      </c>
      <c r="F662" s="2">
        <v>360</v>
      </c>
      <c r="G662" s="2">
        <v>334</v>
      </c>
      <c r="H662" s="2">
        <f t="shared" si="98"/>
        <v>26</v>
      </c>
      <c r="I662" s="2">
        <v>6</v>
      </c>
      <c r="J662" s="2">
        <v>1</v>
      </c>
      <c r="K662" s="2">
        <v>18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1</v>
      </c>
      <c r="AI662" s="2"/>
      <c r="AJ662" s="2" t="s">
        <v>110</v>
      </c>
      <c r="AK662" s="2">
        <f t="shared" si="91"/>
        <v>6</v>
      </c>
      <c r="AL662" s="2">
        <f t="shared" si="92"/>
        <v>19</v>
      </c>
      <c r="AM662" s="2">
        <f t="shared" si="93"/>
        <v>0</v>
      </c>
      <c r="AN662" s="2">
        <f t="shared" si="94"/>
        <v>1</v>
      </c>
      <c r="AO662" s="2">
        <f t="shared" si="95"/>
        <v>0</v>
      </c>
      <c r="AP662" s="2">
        <f t="shared" si="96"/>
        <v>0</v>
      </c>
      <c r="AQ662" s="25">
        <f t="shared" si="97"/>
        <v>0</v>
      </c>
    </row>
    <row r="663" spans="1:43">
      <c r="A663" s="24">
        <v>46132</v>
      </c>
      <c r="B663" s="23">
        <f t="shared" si="90"/>
        <v>46113</v>
      </c>
      <c r="C663" s="2" t="s">
        <v>66</v>
      </c>
      <c r="D663" s="2" t="s">
        <v>562</v>
      </c>
      <c r="E663" s="2">
        <v>2648</v>
      </c>
      <c r="F663" s="2">
        <v>86</v>
      </c>
      <c r="G663" s="2">
        <v>86</v>
      </c>
      <c r="H663" s="2">
        <f t="shared" si="98"/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/>
      <c r="AJ663" s="2" t="s">
        <v>110</v>
      </c>
      <c r="AK663" s="2">
        <f t="shared" si="91"/>
        <v>0</v>
      </c>
      <c r="AL663" s="2">
        <f t="shared" si="92"/>
        <v>0</v>
      </c>
      <c r="AM663" s="2">
        <f t="shared" si="93"/>
        <v>0</v>
      </c>
      <c r="AN663" s="2">
        <f t="shared" si="94"/>
        <v>0</v>
      </c>
      <c r="AO663" s="2">
        <f t="shared" si="95"/>
        <v>0</v>
      </c>
      <c r="AP663" s="2">
        <f t="shared" si="96"/>
        <v>0</v>
      </c>
      <c r="AQ663" s="25">
        <f t="shared" si="97"/>
        <v>0</v>
      </c>
    </row>
    <row r="664" spans="1:43">
      <c r="A664" s="24">
        <v>46132</v>
      </c>
      <c r="B664" s="23">
        <f t="shared" si="90"/>
        <v>46113</v>
      </c>
      <c r="C664" s="2" t="s">
        <v>66</v>
      </c>
      <c r="D664" s="2" t="s">
        <v>562</v>
      </c>
      <c r="E664" s="2">
        <v>2648</v>
      </c>
      <c r="F664" s="2">
        <v>20</v>
      </c>
      <c r="G664" s="2">
        <v>20</v>
      </c>
      <c r="H664" s="2">
        <f t="shared" si="98"/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/>
      <c r="AJ664" s="2" t="s">
        <v>110</v>
      </c>
      <c r="AK664" s="2">
        <f t="shared" si="91"/>
        <v>0</v>
      </c>
      <c r="AL664" s="2">
        <f t="shared" si="92"/>
        <v>0</v>
      </c>
      <c r="AM664" s="2">
        <f t="shared" si="93"/>
        <v>0</v>
      </c>
      <c r="AN664" s="2">
        <f t="shared" si="94"/>
        <v>0</v>
      </c>
      <c r="AO664" s="2">
        <f t="shared" si="95"/>
        <v>0</v>
      </c>
      <c r="AP664" s="2">
        <f t="shared" si="96"/>
        <v>0</v>
      </c>
      <c r="AQ664" s="25">
        <f t="shared" si="97"/>
        <v>0</v>
      </c>
    </row>
    <row r="665" spans="1:43">
      <c r="A665" s="24">
        <v>46132</v>
      </c>
      <c r="B665" s="23">
        <f t="shared" si="90"/>
        <v>46113</v>
      </c>
      <c r="C665" s="2" t="s">
        <v>66</v>
      </c>
      <c r="D665" s="2" t="s">
        <v>523</v>
      </c>
      <c r="E665" s="2">
        <v>2648</v>
      </c>
      <c r="F665" s="2">
        <v>105</v>
      </c>
      <c r="G665" s="2">
        <v>103</v>
      </c>
      <c r="H665" s="2">
        <f t="shared" si="98"/>
        <v>2</v>
      </c>
      <c r="I665" s="2">
        <v>2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/>
      <c r="AJ665" s="2" t="s">
        <v>110</v>
      </c>
      <c r="AK665" s="2">
        <f t="shared" si="91"/>
        <v>2</v>
      </c>
      <c r="AL665" s="2">
        <f t="shared" si="92"/>
        <v>0</v>
      </c>
      <c r="AM665" s="2">
        <f t="shared" si="93"/>
        <v>0</v>
      </c>
      <c r="AN665" s="2">
        <f t="shared" si="94"/>
        <v>0</v>
      </c>
      <c r="AO665" s="2">
        <f t="shared" si="95"/>
        <v>0</v>
      </c>
      <c r="AP665" s="2">
        <f t="shared" si="96"/>
        <v>0</v>
      </c>
      <c r="AQ665" s="25">
        <f t="shared" si="97"/>
        <v>0</v>
      </c>
    </row>
    <row r="666" spans="1:43">
      <c r="A666" s="24">
        <v>46132</v>
      </c>
      <c r="B666" s="23">
        <f t="shared" si="90"/>
        <v>46113</v>
      </c>
      <c r="C666" s="2" t="s">
        <v>66</v>
      </c>
      <c r="D666" s="2" t="s">
        <v>523</v>
      </c>
      <c r="E666" s="2">
        <v>2648</v>
      </c>
      <c r="F666" s="2">
        <v>20</v>
      </c>
      <c r="G666" s="2">
        <v>20</v>
      </c>
      <c r="H666" s="2">
        <f t="shared" si="98"/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/>
      <c r="AJ666" s="2" t="s">
        <v>110</v>
      </c>
      <c r="AK666" s="2">
        <f t="shared" si="91"/>
        <v>0</v>
      </c>
      <c r="AL666" s="2">
        <f t="shared" si="92"/>
        <v>0</v>
      </c>
      <c r="AM666" s="2">
        <f t="shared" si="93"/>
        <v>0</v>
      </c>
      <c r="AN666" s="2">
        <f t="shared" si="94"/>
        <v>0</v>
      </c>
      <c r="AO666" s="2">
        <f t="shared" si="95"/>
        <v>0</v>
      </c>
      <c r="AP666" s="2">
        <f t="shared" si="96"/>
        <v>0</v>
      </c>
      <c r="AQ666" s="25">
        <f t="shared" si="97"/>
        <v>0</v>
      </c>
    </row>
    <row r="667" spans="1:43">
      <c r="A667" s="24">
        <v>46132</v>
      </c>
      <c r="B667" s="23">
        <f t="shared" si="90"/>
        <v>46113</v>
      </c>
      <c r="C667" s="2" t="s">
        <v>66</v>
      </c>
      <c r="D667" s="2" t="s">
        <v>434</v>
      </c>
      <c r="E667" s="2">
        <v>1767</v>
      </c>
      <c r="F667" s="2">
        <v>13</v>
      </c>
      <c r="G667" s="2">
        <v>13</v>
      </c>
      <c r="H667" s="2">
        <f t="shared" si="98"/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/>
      <c r="AJ667" s="2" t="s">
        <v>110</v>
      </c>
      <c r="AK667" s="2">
        <f t="shared" si="91"/>
        <v>0</v>
      </c>
      <c r="AL667" s="2">
        <f t="shared" si="92"/>
        <v>0</v>
      </c>
      <c r="AM667" s="2">
        <f t="shared" si="93"/>
        <v>0</v>
      </c>
      <c r="AN667" s="2">
        <f t="shared" si="94"/>
        <v>0</v>
      </c>
      <c r="AO667" s="2">
        <f t="shared" si="95"/>
        <v>0</v>
      </c>
      <c r="AP667" s="2">
        <f t="shared" si="96"/>
        <v>0</v>
      </c>
      <c r="AQ667" s="25">
        <f t="shared" si="97"/>
        <v>0</v>
      </c>
    </row>
    <row r="668" spans="1:43">
      <c r="A668" s="24">
        <v>46132</v>
      </c>
      <c r="B668" s="23">
        <f t="shared" si="90"/>
        <v>46113</v>
      </c>
      <c r="C668" s="2" t="s">
        <v>55</v>
      </c>
      <c r="D668" s="2" t="s">
        <v>534</v>
      </c>
      <c r="E668" s="2">
        <v>2617</v>
      </c>
      <c r="F668" s="2">
        <v>37</v>
      </c>
      <c r="G668" s="2">
        <v>34</v>
      </c>
      <c r="H668" s="2">
        <f t="shared" si="98"/>
        <v>3</v>
      </c>
      <c r="I668" s="2">
        <v>3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/>
      <c r="AJ668" s="2" t="s">
        <v>1566</v>
      </c>
      <c r="AK668" s="2">
        <f t="shared" si="91"/>
        <v>3</v>
      </c>
      <c r="AL668" s="2">
        <f t="shared" si="92"/>
        <v>0</v>
      </c>
      <c r="AM668" s="2">
        <f t="shared" si="93"/>
        <v>0</v>
      </c>
      <c r="AN668" s="2">
        <f t="shared" si="94"/>
        <v>0</v>
      </c>
      <c r="AO668" s="2">
        <f t="shared" si="95"/>
        <v>0</v>
      </c>
      <c r="AP668" s="2">
        <f t="shared" si="96"/>
        <v>0</v>
      </c>
      <c r="AQ668" s="25">
        <f t="shared" si="97"/>
        <v>0</v>
      </c>
    </row>
    <row r="669" spans="1:43">
      <c r="A669" s="24">
        <v>46132</v>
      </c>
      <c r="B669" s="23">
        <f t="shared" si="90"/>
        <v>46113</v>
      </c>
      <c r="C669" s="2" t="s">
        <v>133</v>
      </c>
      <c r="D669" s="2" t="s">
        <v>482</v>
      </c>
      <c r="E669" s="2">
        <v>2670</v>
      </c>
      <c r="F669" s="2">
        <v>74</v>
      </c>
      <c r="G669" s="2">
        <v>39</v>
      </c>
      <c r="H669" s="2">
        <f t="shared" si="98"/>
        <v>35</v>
      </c>
      <c r="I669" s="2">
        <v>0</v>
      </c>
      <c r="J669" s="2">
        <v>5</v>
      </c>
      <c r="K669" s="2">
        <v>30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/>
      <c r="AJ669" s="2" t="s">
        <v>1566</v>
      </c>
      <c r="AK669" s="2">
        <f t="shared" si="91"/>
        <v>0</v>
      </c>
      <c r="AL669" s="2">
        <f t="shared" si="92"/>
        <v>35</v>
      </c>
      <c r="AM669" s="2">
        <f t="shared" si="93"/>
        <v>0</v>
      </c>
      <c r="AN669" s="2">
        <f t="shared" si="94"/>
        <v>0</v>
      </c>
      <c r="AO669" s="2">
        <f t="shared" si="95"/>
        <v>0</v>
      </c>
      <c r="AP669" s="2">
        <f t="shared" si="96"/>
        <v>0</v>
      </c>
      <c r="AQ669" s="25">
        <f t="shared" si="97"/>
        <v>0</v>
      </c>
    </row>
    <row r="670" spans="1:43">
      <c r="A670" s="24">
        <v>46132</v>
      </c>
      <c r="B670" s="23">
        <f t="shared" si="90"/>
        <v>46113</v>
      </c>
      <c r="C670" s="2" t="s">
        <v>55</v>
      </c>
      <c r="D670" s="2" t="s">
        <v>1540</v>
      </c>
      <c r="E670" s="2">
        <v>1767</v>
      </c>
      <c r="F670" s="2">
        <v>640</v>
      </c>
      <c r="G670" s="2">
        <v>636</v>
      </c>
      <c r="H670" s="2">
        <f t="shared" si="98"/>
        <v>4</v>
      </c>
      <c r="I670" s="2">
        <v>2</v>
      </c>
      <c r="J670" s="2">
        <v>0</v>
      </c>
      <c r="K670" s="2">
        <v>0</v>
      </c>
      <c r="L670" s="2">
        <v>0</v>
      </c>
      <c r="M670" s="2">
        <v>1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1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/>
      <c r="AJ670" s="2" t="s">
        <v>1566</v>
      </c>
      <c r="AK670" s="2">
        <f t="shared" si="91"/>
        <v>2</v>
      </c>
      <c r="AL670" s="2">
        <f t="shared" si="92"/>
        <v>1</v>
      </c>
      <c r="AM670" s="2">
        <f t="shared" si="93"/>
        <v>1</v>
      </c>
      <c r="AN670" s="2">
        <f t="shared" si="94"/>
        <v>0</v>
      </c>
      <c r="AO670" s="2">
        <f t="shared" si="95"/>
        <v>0</v>
      </c>
      <c r="AP670" s="2">
        <f t="shared" si="96"/>
        <v>0</v>
      </c>
      <c r="AQ670" s="25">
        <f t="shared" si="97"/>
        <v>0</v>
      </c>
    </row>
    <row r="671" spans="1:43">
      <c r="A671" s="24">
        <v>46132</v>
      </c>
      <c r="B671" s="23">
        <f t="shared" si="90"/>
        <v>46113</v>
      </c>
      <c r="C671" s="2" t="s">
        <v>133</v>
      </c>
      <c r="D671" s="2" t="s">
        <v>468</v>
      </c>
      <c r="E671" s="2">
        <v>2670</v>
      </c>
      <c r="F671" s="2">
        <v>53</v>
      </c>
      <c r="G671" s="2">
        <v>52</v>
      </c>
      <c r="H671" s="2">
        <f t="shared" si="98"/>
        <v>1</v>
      </c>
      <c r="I671" s="2">
        <v>0</v>
      </c>
      <c r="J671" s="2">
        <v>0</v>
      </c>
      <c r="K671" s="2">
        <v>1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/>
      <c r="AJ671" s="2" t="s">
        <v>1566</v>
      </c>
      <c r="AK671" s="2">
        <f t="shared" si="91"/>
        <v>0</v>
      </c>
      <c r="AL671" s="2">
        <f t="shared" si="92"/>
        <v>1</v>
      </c>
      <c r="AM671" s="2">
        <f t="shared" si="93"/>
        <v>0</v>
      </c>
      <c r="AN671" s="2">
        <f t="shared" si="94"/>
        <v>0</v>
      </c>
      <c r="AO671" s="2">
        <f t="shared" si="95"/>
        <v>0</v>
      </c>
      <c r="AP671" s="2">
        <f t="shared" si="96"/>
        <v>0</v>
      </c>
      <c r="AQ671" s="25">
        <f t="shared" si="97"/>
        <v>0</v>
      </c>
    </row>
    <row r="672" spans="1:43">
      <c r="A672" s="24">
        <v>46132</v>
      </c>
      <c r="B672" s="23">
        <f t="shared" si="90"/>
        <v>46113</v>
      </c>
      <c r="C672" s="2" t="s">
        <v>133</v>
      </c>
      <c r="D672" s="2" t="s">
        <v>1561</v>
      </c>
      <c r="E672" s="2">
        <v>2784</v>
      </c>
      <c r="F672" s="2">
        <v>20</v>
      </c>
      <c r="G672" s="2">
        <v>20</v>
      </c>
      <c r="H672" s="2">
        <f t="shared" si="98"/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/>
      <c r="AJ672" s="2" t="s">
        <v>1566</v>
      </c>
      <c r="AK672" s="2">
        <f t="shared" si="91"/>
        <v>0</v>
      </c>
      <c r="AL672" s="2">
        <f t="shared" si="92"/>
        <v>0</v>
      </c>
      <c r="AM672" s="2">
        <f t="shared" si="93"/>
        <v>0</v>
      </c>
      <c r="AN672" s="2">
        <f t="shared" si="94"/>
        <v>0</v>
      </c>
      <c r="AO672" s="2">
        <f t="shared" si="95"/>
        <v>0</v>
      </c>
      <c r="AP672" s="2">
        <f t="shared" si="96"/>
        <v>0</v>
      </c>
      <c r="AQ672" s="25">
        <f t="shared" si="97"/>
        <v>0</v>
      </c>
    </row>
    <row r="673" spans="1:43">
      <c r="A673" s="24">
        <v>46132</v>
      </c>
      <c r="B673" s="23">
        <f t="shared" si="90"/>
        <v>46113</v>
      </c>
      <c r="C673" s="2" t="s">
        <v>133</v>
      </c>
      <c r="D673" s="2" t="s">
        <v>1561</v>
      </c>
      <c r="E673" s="2">
        <v>2784</v>
      </c>
      <c r="F673" s="2">
        <v>111</v>
      </c>
      <c r="G673" s="2">
        <v>110</v>
      </c>
      <c r="H673" s="2">
        <f t="shared" si="98"/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/>
      <c r="AJ673" s="2" t="s">
        <v>1566</v>
      </c>
      <c r="AK673" s="2">
        <f t="shared" si="91"/>
        <v>1</v>
      </c>
      <c r="AL673" s="2">
        <f t="shared" si="92"/>
        <v>0</v>
      </c>
      <c r="AM673" s="2">
        <f t="shared" si="93"/>
        <v>0</v>
      </c>
      <c r="AN673" s="2">
        <f t="shared" si="94"/>
        <v>0</v>
      </c>
      <c r="AO673" s="2">
        <f t="shared" si="95"/>
        <v>0</v>
      </c>
      <c r="AP673" s="2">
        <f t="shared" si="96"/>
        <v>0</v>
      </c>
      <c r="AQ673" s="25">
        <f t="shared" si="97"/>
        <v>0</v>
      </c>
    </row>
    <row r="674" spans="1:43">
      <c r="A674" s="24">
        <v>46132</v>
      </c>
      <c r="B674" s="23">
        <f t="shared" si="90"/>
        <v>46113</v>
      </c>
      <c r="C674" s="2" t="s">
        <v>55</v>
      </c>
      <c r="D674" s="2" t="s">
        <v>442</v>
      </c>
      <c r="E674" s="2">
        <v>2642</v>
      </c>
      <c r="F674" s="2">
        <v>14</v>
      </c>
      <c r="G674" s="2">
        <v>13</v>
      </c>
      <c r="H674" s="2">
        <f t="shared" si="98"/>
        <v>1</v>
      </c>
      <c r="I674" s="2">
        <v>1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/>
      <c r="AJ674" s="2" t="s">
        <v>1566</v>
      </c>
      <c r="AK674" s="2">
        <f t="shared" si="91"/>
        <v>1</v>
      </c>
      <c r="AL674" s="2">
        <f t="shared" si="92"/>
        <v>0</v>
      </c>
      <c r="AM674" s="2">
        <f t="shared" si="93"/>
        <v>0</v>
      </c>
      <c r="AN674" s="2">
        <f t="shared" si="94"/>
        <v>0</v>
      </c>
      <c r="AO674" s="2">
        <f t="shared" si="95"/>
        <v>0</v>
      </c>
      <c r="AP674" s="2">
        <f t="shared" si="96"/>
        <v>0</v>
      </c>
      <c r="AQ674" s="25">
        <f t="shared" si="97"/>
        <v>0</v>
      </c>
    </row>
    <row r="675" spans="1:43">
      <c r="A675" s="24">
        <v>46132</v>
      </c>
      <c r="B675" s="23">
        <f t="shared" si="90"/>
        <v>46113</v>
      </c>
      <c r="C675" s="2" t="s">
        <v>55</v>
      </c>
      <c r="D675" s="2" t="s">
        <v>430</v>
      </c>
      <c r="E675" s="2">
        <v>2617</v>
      </c>
      <c r="F675" s="2">
        <v>181</v>
      </c>
      <c r="G675" s="2">
        <v>180</v>
      </c>
      <c r="H675" s="2">
        <f t="shared" si="98"/>
        <v>1</v>
      </c>
      <c r="I675" s="2">
        <v>1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/>
      <c r="AJ675" s="2" t="s">
        <v>1566</v>
      </c>
      <c r="AK675" s="2">
        <f t="shared" si="91"/>
        <v>1</v>
      </c>
      <c r="AL675" s="2">
        <f t="shared" si="92"/>
        <v>0</v>
      </c>
      <c r="AM675" s="2">
        <f t="shared" si="93"/>
        <v>0</v>
      </c>
      <c r="AN675" s="2">
        <f t="shared" si="94"/>
        <v>0</v>
      </c>
      <c r="AO675" s="2">
        <f t="shared" si="95"/>
        <v>0</v>
      </c>
      <c r="AP675" s="2">
        <f t="shared" si="96"/>
        <v>0</v>
      </c>
      <c r="AQ675" s="25">
        <f t="shared" si="97"/>
        <v>0</v>
      </c>
    </row>
    <row r="676" spans="1:43">
      <c r="A676" s="24">
        <v>46132</v>
      </c>
      <c r="B676" s="23">
        <f t="shared" si="90"/>
        <v>46113</v>
      </c>
      <c r="C676" s="2" t="s">
        <v>133</v>
      </c>
      <c r="D676" s="2" t="s">
        <v>482</v>
      </c>
      <c r="E676" s="2">
        <v>2670</v>
      </c>
      <c r="F676" s="2">
        <v>18</v>
      </c>
      <c r="G676" s="2">
        <v>14</v>
      </c>
      <c r="H676" s="2">
        <f t="shared" si="98"/>
        <v>4</v>
      </c>
      <c r="I676" s="2">
        <v>1</v>
      </c>
      <c r="J676" s="2">
        <v>3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/>
      <c r="AJ676" s="2" t="s">
        <v>1566</v>
      </c>
      <c r="AK676" s="2">
        <f t="shared" si="91"/>
        <v>1</v>
      </c>
      <c r="AL676" s="2">
        <f t="shared" si="92"/>
        <v>3</v>
      </c>
      <c r="AM676" s="2">
        <f t="shared" si="93"/>
        <v>0</v>
      </c>
      <c r="AN676" s="2">
        <f t="shared" si="94"/>
        <v>0</v>
      </c>
      <c r="AO676" s="2">
        <f t="shared" si="95"/>
        <v>0</v>
      </c>
      <c r="AP676" s="2">
        <f t="shared" si="96"/>
        <v>0</v>
      </c>
      <c r="AQ676" s="25">
        <f t="shared" si="97"/>
        <v>0</v>
      </c>
    </row>
    <row r="677" spans="1:43">
      <c r="A677" s="24">
        <v>46132</v>
      </c>
      <c r="B677" s="23">
        <f t="shared" si="90"/>
        <v>46113</v>
      </c>
      <c r="C677" s="2" t="s">
        <v>55</v>
      </c>
      <c r="D677" s="2" t="s">
        <v>1191</v>
      </c>
      <c r="E677" s="2">
        <v>2590</v>
      </c>
      <c r="F677" s="2">
        <v>45</v>
      </c>
      <c r="G677" s="2">
        <v>42</v>
      </c>
      <c r="H677" s="2">
        <f t="shared" si="98"/>
        <v>3</v>
      </c>
      <c r="I677" s="2">
        <v>2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1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/>
      <c r="AJ677" s="2" t="s">
        <v>1566</v>
      </c>
      <c r="AK677" s="2">
        <f t="shared" si="91"/>
        <v>2</v>
      </c>
      <c r="AL677" s="2">
        <f t="shared" si="92"/>
        <v>1</v>
      </c>
      <c r="AM677" s="2">
        <f t="shared" si="93"/>
        <v>0</v>
      </c>
      <c r="AN677" s="2">
        <f t="shared" si="94"/>
        <v>0</v>
      </c>
      <c r="AO677" s="2">
        <f t="shared" si="95"/>
        <v>0</v>
      </c>
      <c r="AP677" s="2">
        <f t="shared" si="96"/>
        <v>0</v>
      </c>
      <c r="AQ677" s="25">
        <f t="shared" si="97"/>
        <v>0</v>
      </c>
    </row>
    <row r="678" spans="1:43">
      <c r="A678" s="24">
        <v>46132</v>
      </c>
      <c r="B678" s="23">
        <f t="shared" si="90"/>
        <v>46113</v>
      </c>
      <c r="C678" s="2" t="s">
        <v>62</v>
      </c>
      <c r="D678" s="2" t="s">
        <v>559</v>
      </c>
      <c r="E678" s="2">
        <v>1824</v>
      </c>
      <c r="F678" s="2">
        <v>93</v>
      </c>
      <c r="G678" s="2">
        <v>92</v>
      </c>
      <c r="H678" s="2">
        <f t="shared" si="98"/>
        <v>1</v>
      </c>
      <c r="I678" s="2">
        <v>1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/>
      <c r="AJ678" s="2" t="s">
        <v>1568</v>
      </c>
      <c r="AK678" s="2">
        <f t="shared" si="91"/>
        <v>1</v>
      </c>
      <c r="AL678" s="2">
        <f t="shared" si="92"/>
        <v>0</v>
      </c>
      <c r="AM678" s="2">
        <f t="shared" si="93"/>
        <v>0</v>
      </c>
      <c r="AN678" s="2">
        <f t="shared" si="94"/>
        <v>0</v>
      </c>
      <c r="AO678" s="2">
        <f t="shared" si="95"/>
        <v>0</v>
      </c>
      <c r="AP678" s="2">
        <f t="shared" si="96"/>
        <v>0</v>
      </c>
      <c r="AQ678" s="25">
        <f t="shared" si="97"/>
        <v>0</v>
      </c>
    </row>
    <row r="679" spans="1:43">
      <c r="A679" s="24">
        <v>46132</v>
      </c>
      <c r="B679" s="23">
        <f t="shared" si="90"/>
        <v>46113</v>
      </c>
      <c r="C679" s="2" t="s">
        <v>63</v>
      </c>
      <c r="D679" s="2" t="s">
        <v>1185</v>
      </c>
      <c r="E679" s="2">
        <v>2772</v>
      </c>
      <c r="F679" s="2">
        <v>32</v>
      </c>
      <c r="G679" s="2">
        <v>32</v>
      </c>
      <c r="H679" s="2">
        <f t="shared" si="98"/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/>
      <c r="AJ679" s="2" t="s">
        <v>1568</v>
      </c>
      <c r="AK679" s="2">
        <f t="shared" si="91"/>
        <v>0</v>
      </c>
      <c r="AL679" s="2">
        <f t="shared" si="92"/>
        <v>0</v>
      </c>
      <c r="AM679" s="2">
        <f t="shared" si="93"/>
        <v>0</v>
      </c>
      <c r="AN679" s="2">
        <f t="shared" si="94"/>
        <v>0</v>
      </c>
      <c r="AO679" s="2">
        <f t="shared" si="95"/>
        <v>0</v>
      </c>
      <c r="AP679" s="2">
        <f t="shared" si="96"/>
        <v>0</v>
      </c>
      <c r="AQ679" s="25">
        <f t="shared" si="97"/>
        <v>0</v>
      </c>
    </row>
    <row r="680" spans="1:43">
      <c r="A680" s="24">
        <v>46132</v>
      </c>
      <c r="B680" s="23">
        <f t="shared" si="90"/>
        <v>46113</v>
      </c>
      <c r="C680" s="2" t="s">
        <v>62</v>
      </c>
      <c r="D680" s="2" t="s">
        <v>425</v>
      </c>
      <c r="E680" s="2">
        <v>1806</v>
      </c>
      <c r="F680" s="2">
        <v>97</v>
      </c>
      <c r="G680" s="2">
        <v>88</v>
      </c>
      <c r="H680" s="2">
        <f t="shared" si="98"/>
        <v>9</v>
      </c>
      <c r="I680" s="2">
        <v>7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2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/>
      <c r="AJ680" s="2" t="s">
        <v>1568</v>
      </c>
      <c r="AK680" s="2">
        <f t="shared" si="91"/>
        <v>7</v>
      </c>
      <c r="AL680" s="2">
        <f t="shared" si="92"/>
        <v>2</v>
      </c>
      <c r="AM680" s="2">
        <f t="shared" si="93"/>
        <v>0</v>
      </c>
      <c r="AN680" s="2">
        <f t="shared" si="94"/>
        <v>0</v>
      </c>
      <c r="AO680" s="2">
        <f t="shared" si="95"/>
        <v>0</v>
      </c>
      <c r="AP680" s="2">
        <f t="shared" si="96"/>
        <v>0</v>
      </c>
      <c r="AQ680" s="25">
        <f t="shared" si="97"/>
        <v>0</v>
      </c>
    </row>
    <row r="681" spans="1:43">
      <c r="A681" s="24">
        <v>46132</v>
      </c>
      <c r="B681" s="23">
        <f t="shared" si="90"/>
        <v>46113</v>
      </c>
      <c r="C681" s="2" t="s">
        <v>63</v>
      </c>
      <c r="D681" s="2" t="s">
        <v>469</v>
      </c>
      <c r="E681" s="2">
        <v>2606</v>
      </c>
      <c r="F681" s="2">
        <v>738</v>
      </c>
      <c r="G681" s="2">
        <v>720</v>
      </c>
      <c r="H681" s="2">
        <f t="shared" si="98"/>
        <v>18</v>
      </c>
      <c r="I681" s="2">
        <v>10</v>
      </c>
      <c r="J681" s="2">
        <v>8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/>
      <c r="AJ681" s="2" t="s">
        <v>1568</v>
      </c>
      <c r="AK681" s="2">
        <f t="shared" si="91"/>
        <v>10</v>
      </c>
      <c r="AL681" s="2">
        <f t="shared" si="92"/>
        <v>8</v>
      </c>
      <c r="AM681" s="2">
        <f t="shared" si="93"/>
        <v>0</v>
      </c>
      <c r="AN681" s="2">
        <f t="shared" si="94"/>
        <v>0</v>
      </c>
      <c r="AO681" s="2">
        <f t="shared" si="95"/>
        <v>0</v>
      </c>
      <c r="AP681" s="2">
        <f t="shared" si="96"/>
        <v>0</v>
      </c>
      <c r="AQ681" s="25">
        <f t="shared" si="97"/>
        <v>0</v>
      </c>
    </row>
    <row r="682" spans="1:43">
      <c r="A682" s="24">
        <v>46133</v>
      </c>
      <c r="B682" s="23">
        <f t="shared" si="90"/>
        <v>46113</v>
      </c>
      <c r="C682" s="2" t="s">
        <v>62</v>
      </c>
      <c r="D682" s="2" t="s">
        <v>527</v>
      </c>
      <c r="E682" s="2">
        <v>2622</v>
      </c>
      <c r="F682" s="2">
        <v>60</v>
      </c>
      <c r="G682" s="2">
        <v>60</v>
      </c>
      <c r="H682" s="2">
        <f t="shared" si="98"/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/>
      <c r="AJ682" s="2" t="s">
        <v>1568</v>
      </c>
      <c r="AK682" s="2">
        <f t="shared" si="91"/>
        <v>0</v>
      </c>
      <c r="AL682" s="2">
        <f t="shared" si="92"/>
        <v>0</v>
      </c>
      <c r="AM682" s="2">
        <f t="shared" si="93"/>
        <v>0</v>
      </c>
      <c r="AN682" s="2">
        <f t="shared" si="94"/>
        <v>0</v>
      </c>
      <c r="AO682" s="2">
        <f t="shared" si="95"/>
        <v>0</v>
      </c>
      <c r="AP682" s="2">
        <f t="shared" si="96"/>
        <v>0</v>
      </c>
      <c r="AQ682" s="25">
        <f t="shared" si="97"/>
        <v>0</v>
      </c>
    </row>
    <row r="683" spans="1:43">
      <c r="A683" s="24">
        <v>46133</v>
      </c>
      <c r="B683" s="23">
        <f t="shared" si="90"/>
        <v>46113</v>
      </c>
      <c r="C683" s="2" t="s">
        <v>62</v>
      </c>
      <c r="D683" s="2" t="s">
        <v>563</v>
      </c>
      <c r="E683" s="2">
        <v>1824</v>
      </c>
      <c r="F683" s="2">
        <v>63</v>
      </c>
      <c r="G683" s="2">
        <v>62</v>
      </c>
      <c r="H683" s="2">
        <f t="shared" si="98"/>
        <v>1</v>
      </c>
      <c r="I683" s="2">
        <v>1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/>
      <c r="AJ683" s="2" t="s">
        <v>1568</v>
      </c>
      <c r="AK683" s="2">
        <f t="shared" si="91"/>
        <v>1</v>
      </c>
      <c r="AL683" s="2">
        <f t="shared" si="92"/>
        <v>0</v>
      </c>
      <c r="AM683" s="2">
        <f t="shared" si="93"/>
        <v>0</v>
      </c>
      <c r="AN683" s="2">
        <f t="shared" si="94"/>
        <v>0</v>
      </c>
      <c r="AO683" s="2">
        <f t="shared" si="95"/>
        <v>0</v>
      </c>
      <c r="AP683" s="2">
        <f t="shared" si="96"/>
        <v>0</v>
      </c>
      <c r="AQ683" s="25">
        <f t="shared" si="97"/>
        <v>0</v>
      </c>
    </row>
    <row r="684" spans="1:43">
      <c r="A684" s="24">
        <v>46133</v>
      </c>
      <c r="B684" s="23">
        <f t="shared" si="90"/>
        <v>46113</v>
      </c>
      <c r="C684" s="2" t="s">
        <v>63</v>
      </c>
      <c r="D684" s="2" t="s">
        <v>1538</v>
      </c>
      <c r="E684" s="2">
        <v>10059</v>
      </c>
      <c r="F684" s="2">
        <v>35</v>
      </c>
      <c r="G684" s="2">
        <v>32</v>
      </c>
      <c r="H684" s="2">
        <f t="shared" si="98"/>
        <v>3</v>
      </c>
      <c r="I684" s="2">
        <v>2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1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/>
      <c r="AJ684" s="2" t="s">
        <v>1568</v>
      </c>
      <c r="AK684" s="2">
        <f t="shared" si="91"/>
        <v>2</v>
      </c>
      <c r="AL684" s="2">
        <f t="shared" si="92"/>
        <v>0</v>
      </c>
      <c r="AM684" s="2">
        <f t="shared" si="93"/>
        <v>0</v>
      </c>
      <c r="AN684" s="2">
        <f t="shared" si="94"/>
        <v>1</v>
      </c>
      <c r="AO684" s="2">
        <f t="shared" si="95"/>
        <v>0</v>
      </c>
      <c r="AP684" s="2">
        <f t="shared" si="96"/>
        <v>0</v>
      </c>
      <c r="AQ684" s="25">
        <f t="shared" si="97"/>
        <v>0</v>
      </c>
    </row>
    <row r="685" spans="1:43">
      <c r="A685" s="24">
        <v>46133</v>
      </c>
      <c r="B685" s="23">
        <f t="shared" si="90"/>
        <v>46113</v>
      </c>
      <c r="C685" s="2" t="s">
        <v>62</v>
      </c>
      <c r="D685" s="2" t="s">
        <v>460</v>
      </c>
      <c r="E685" s="2">
        <v>1806</v>
      </c>
      <c r="F685" s="2">
        <v>100</v>
      </c>
      <c r="G685" s="2">
        <v>99</v>
      </c>
      <c r="H685" s="2">
        <f t="shared" si="98"/>
        <v>1</v>
      </c>
      <c r="I685" s="2">
        <v>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/>
      <c r="AJ685" s="2" t="s">
        <v>1568</v>
      </c>
      <c r="AK685" s="2">
        <f t="shared" si="91"/>
        <v>1</v>
      </c>
      <c r="AL685" s="2">
        <f t="shared" si="92"/>
        <v>0</v>
      </c>
      <c r="AM685" s="2">
        <f t="shared" si="93"/>
        <v>0</v>
      </c>
      <c r="AN685" s="2">
        <f t="shared" si="94"/>
        <v>0</v>
      </c>
      <c r="AO685" s="2">
        <f t="shared" si="95"/>
        <v>0</v>
      </c>
      <c r="AP685" s="2">
        <f t="shared" si="96"/>
        <v>0</v>
      </c>
      <c r="AQ685" s="25">
        <f t="shared" si="97"/>
        <v>0</v>
      </c>
    </row>
    <row r="686" spans="1:43">
      <c r="A686" s="24">
        <v>46133</v>
      </c>
      <c r="B686" s="23">
        <f t="shared" si="90"/>
        <v>46113</v>
      </c>
      <c r="C686" s="2" t="s">
        <v>63</v>
      </c>
      <c r="D686" s="2" t="s">
        <v>495</v>
      </c>
      <c r="E686" s="2">
        <v>2480</v>
      </c>
      <c r="F686" s="2">
        <v>94</v>
      </c>
      <c r="G686" s="2">
        <v>88</v>
      </c>
      <c r="H686" s="2">
        <f t="shared" si="98"/>
        <v>6</v>
      </c>
      <c r="I686" s="2">
        <v>6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/>
      <c r="AJ686" s="2" t="s">
        <v>1568</v>
      </c>
      <c r="AK686" s="2">
        <f t="shared" si="91"/>
        <v>6</v>
      </c>
      <c r="AL686" s="2">
        <f t="shared" si="92"/>
        <v>0</v>
      </c>
      <c r="AM686" s="2">
        <f t="shared" si="93"/>
        <v>0</v>
      </c>
      <c r="AN686" s="2">
        <f t="shared" si="94"/>
        <v>0</v>
      </c>
      <c r="AO686" s="2">
        <f t="shared" si="95"/>
        <v>0</v>
      </c>
      <c r="AP686" s="2">
        <f t="shared" si="96"/>
        <v>0</v>
      </c>
      <c r="AQ686" s="25">
        <f t="shared" si="97"/>
        <v>0</v>
      </c>
    </row>
    <row r="687" spans="1:43">
      <c r="A687" s="24">
        <v>46133</v>
      </c>
      <c r="B687" s="23">
        <f t="shared" si="90"/>
        <v>46113</v>
      </c>
      <c r="C687" s="2" t="s">
        <v>62</v>
      </c>
      <c r="D687" s="2" t="s">
        <v>518</v>
      </c>
      <c r="E687" s="2">
        <v>1806</v>
      </c>
      <c r="F687" s="2">
        <v>48</v>
      </c>
      <c r="G687" s="2">
        <v>47</v>
      </c>
      <c r="H687" s="2">
        <f t="shared" si="98"/>
        <v>1</v>
      </c>
      <c r="I687" s="2">
        <v>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/>
      <c r="AJ687" s="2" t="s">
        <v>1568</v>
      </c>
      <c r="AK687" s="2">
        <f t="shared" si="91"/>
        <v>1</v>
      </c>
      <c r="AL687" s="2">
        <f t="shared" si="92"/>
        <v>0</v>
      </c>
      <c r="AM687" s="2">
        <f t="shared" si="93"/>
        <v>0</v>
      </c>
      <c r="AN687" s="2">
        <f t="shared" si="94"/>
        <v>0</v>
      </c>
      <c r="AO687" s="2">
        <f t="shared" si="95"/>
        <v>0</v>
      </c>
      <c r="AP687" s="2">
        <f t="shared" si="96"/>
        <v>0</v>
      </c>
      <c r="AQ687" s="25">
        <f t="shared" si="97"/>
        <v>0</v>
      </c>
    </row>
    <row r="688" spans="1:43">
      <c r="A688" s="24">
        <v>46133</v>
      </c>
      <c r="B688" s="23">
        <f t="shared" si="90"/>
        <v>46113</v>
      </c>
      <c r="C688" s="2" t="s">
        <v>62</v>
      </c>
      <c r="D688" s="2" t="s">
        <v>431</v>
      </c>
      <c r="E688" s="2">
        <v>1806</v>
      </c>
      <c r="F688" s="2">
        <v>41</v>
      </c>
      <c r="G688" s="2">
        <v>40</v>
      </c>
      <c r="H688" s="2">
        <f t="shared" si="98"/>
        <v>1</v>
      </c>
      <c r="I688" s="2">
        <v>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/>
      <c r="AJ688" s="2" t="s">
        <v>1568</v>
      </c>
      <c r="AK688" s="2">
        <f t="shared" si="91"/>
        <v>1</v>
      </c>
      <c r="AL688" s="2">
        <f t="shared" si="92"/>
        <v>0</v>
      </c>
      <c r="AM688" s="2">
        <f t="shared" si="93"/>
        <v>0</v>
      </c>
      <c r="AN688" s="2">
        <f t="shared" si="94"/>
        <v>0</v>
      </c>
      <c r="AO688" s="2">
        <f t="shared" si="95"/>
        <v>0</v>
      </c>
      <c r="AP688" s="2">
        <f t="shared" si="96"/>
        <v>0</v>
      </c>
      <c r="AQ688" s="25">
        <f t="shared" si="97"/>
        <v>0</v>
      </c>
    </row>
    <row r="689" spans="1:43">
      <c r="A689" s="24">
        <v>46133</v>
      </c>
      <c r="B689" s="23">
        <f t="shared" si="90"/>
        <v>46113</v>
      </c>
      <c r="C689" s="2" t="s">
        <v>62</v>
      </c>
      <c r="D689" s="2" t="s">
        <v>580</v>
      </c>
      <c r="E689" s="2">
        <v>1824</v>
      </c>
      <c r="F689" s="2">
        <v>41</v>
      </c>
      <c r="G689" s="2">
        <v>41</v>
      </c>
      <c r="H689" s="2">
        <f t="shared" si="98"/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/>
      <c r="AJ689" s="2" t="s">
        <v>1568</v>
      </c>
      <c r="AK689" s="2">
        <f t="shared" si="91"/>
        <v>0</v>
      </c>
      <c r="AL689" s="2">
        <f t="shared" si="92"/>
        <v>0</v>
      </c>
      <c r="AM689" s="2">
        <f t="shared" si="93"/>
        <v>0</v>
      </c>
      <c r="AN689" s="2">
        <f t="shared" si="94"/>
        <v>0</v>
      </c>
      <c r="AO689" s="2">
        <f t="shared" si="95"/>
        <v>0</v>
      </c>
      <c r="AP689" s="2">
        <f t="shared" si="96"/>
        <v>0</v>
      </c>
      <c r="AQ689" s="25">
        <f t="shared" si="97"/>
        <v>0</v>
      </c>
    </row>
    <row r="690" spans="1:43">
      <c r="A690" s="24">
        <v>46133</v>
      </c>
      <c r="B690" s="23">
        <f t="shared" si="90"/>
        <v>46113</v>
      </c>
      <c r="C690" s="2" t="s">
        <v>62</v>
      </c>
      <c r="D690" s="2" t="s">
        <v>535</v>
      </c>
      <c r="E690" s="2">
        <v>1823</v>
      </c>
      <c r="F690" s="2">
        <v>126</v>
      </c>
      <c r="G690" s="2">
        <v>124</v>
      </c>
      <c r="H690" s="2">
        <f t="shared" si="98"/>
        <v>2</v>
      </c>
      <c r="I690" s="2">
        <v>2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/>
      <c r="AJ690" s="2" t="s">
        <v>99</v>
      </c>
      <c r="AK690" s="2">
        <f t="shared" si="91"/>
        <v>2</v>
      </c>
      <c r="AL690" s="2">
        <f t="shared" si="92"/>
        <v>0</v>
      </c>
      <c r="AM690" s="2">
        <f t="shared" si="93"/>
        <v>0</v>
      </c>
      <c r="AN690" s="2">
        <f t="shared" si="94"/>
        <v>0</v>
      </c>
      <c r="AO690" s="2">
        <f t="shared" si="95"/>
        <v>0</v>
      </c>
      <c r="AP690" s="2">
        <f t="shared" si="96"/>
        <v>0</v>
      </c>
      <c r="AQ690" s="25">
        <f t="shared" si="97"/>
        <v>0</v>
      </c>
    </row>
    <row r="691" spans="1:43">
      <c r="A691" s="24">
        <v>46133</v>
      </c>
      <c r="B691" s="23">
        <f t="shared" si="90"/>
        <v>46113</v>
      </c>
      <c r="C691" s="2" t="s">
        <v>62</v>
      </c>
      <c r="D691" s="2" t="s">
        <v>458</v>
      </c>
      <c r="E691" s="2">
        <v>1824</v>
      </c>
      <c r="F691" s="2">
        <v>336</v>
      </c>
      <c r="G691" s="2">
        <v>333</v>
      </c>
      <c r="H691" s="2">
        <f t="shared" si="98"/>
        <v>3</v>
      </c>
      <c r="I691" s="2">
        <v>0</v>
      </c>
      <c r="J691" s="2">
        <v>0</v>
      </c>
      <c r="K691" s="2">
        <v>0</v>
      </c>
      <c r="L691" s="2">
        <v>0</v>
      </c>
      <c r="M691" s="2">
        <v>3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/>
      <c r="AJ691" s="2" t="s">
        <v>99</v>
      </c>
      <c r="AK691" s="2">
        <f t="shared" si="91"/>
        <v>0</v>
      </c>
      <c r="AL691" s="2">
        <f t="shared" si="92"/>
        <v>3</v>
      </c>
      <c r="AM691" s="2">
        <f t="shared" si="93"/>
        <v>0</v>
      </c>
      <c r="AN691" s="2">
        <f t="shared" si="94"/>
        <v>0</v>
      </c>
      <c r="AO691" s="2">
        <f t="shared" si="95"/>
        <v>0</v>
      </c>
      <c r="AP691" s="2">
        <f t="shared" si="96"/>
        <v>0</v>
      </c>
      <c r="AQ691" s="25">
        <f t="shared" si="97"/>
        <v>0</v>
      </c>
    </row>
    <row r="692" spans="1:43">
      <c r="A692" s="24">
        <v>46133</v>
      </c>
      <c r="B692" s="23">
        <f t="shared" si="90"/>
        <v>46113</v>
      </c>
      <c r="C692" s="2" t="s">
        <v>62</v>
      </c>
      <c r="D692" s="2" t="s">
        <v>440</v>
      </c>
      <c r="E692" s="2">
        <v>1823</v>
      </c>
      <c r="F692" s="2">
        <v>680</v>
      </c>
      <c r="G692" s="2">
        <v>679</v>
      </c>
      <c r="H692" s="2">
        <f t="shared" si="98"/>
        <v>1</v>
      </c>
      <c r="I692" s="2">
        <v>1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/>
      <c r="AJ692" s="2" t="s">
        <v>99</v>
      </c>
      <c r="AK692" s="2">
        <f t="shared" si="91"/>
        <v>1</v>
      </c>
      <c r="AL692" s="2">
        <f t="shared" si="92"/>
        <v>0</v>
      </c>
      <c r="AM692" s="2">
        <f t="shared" si="93"/>
        <v>0</v>
      </c>
      <c r="AN692" s="2">
        <f t="shared" si="94"/>
        <v>0</v>
      </c>
      <c r="AO692" s="2">
        <f t="shared" si="95"/>
        <v>0</v>
      </c>
      <c r="AP692" s="2">
        <f t="shared" si="96"/>
        <v>0</v>
      </c>
      <c r="AQ692" s="25">
        <f t="shared" si="97"/>
        <v>0</v>
      </c>
    </row>
    <row r="693" spans="1:43">
      <c r="A693" s="24">
        <v>46133</v>
      </c>
      <c r="B693" s="23">
        <f t="shared" si="90"/>
        <v>46113</v>
      </c>
      <c r="C693" s="2" t="s">
        <v>62</v>
      </c>
      <c r="D693" s="2" t="s">
        <v>535</v>
      </c>
      <c r="E693" s="2">
        <v>1823</v>
      </c>
      <c r="F693" s="2">
        <v>276</v>
      </c>
      <c r="G693" s="2">
        <v>274</v>
      </c>
      <c r="H693" s="2">
        <f t="shared" si="98"/>
        <v>2</v>
      </c>
      <c r="I693" s="2">
        <v>2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/>
      <c r="AJ693" s="2" t="s">
        <v>99</v>
      </c>
      <c r="AK693" s="2">
        <f t="shared" si="91"/>
        <v>2</v>
      </c>
      <c r="AL693" s="2">
        <f t="shared" si="92"/>
        <v>0</v>
      </c>
      <c r="AM693" s="2">
        <f t="shared" si="93"/>
        <v>0</v>
      </c>
      <c r="AN693" s="2">
        <f t="shared" si="94"/>
        <v>0</v>
      </c>
      <c r="AO693" s="2">
        <f t="shared" si="95"/>
        <v>0</v>
      </c>
      <c r="AP693" s="2">
        <f t="shared" si="96"/>
        <v>0</v>
      </c>
      <c r="AQ693" s="25">
        <f t="shared" si="97"/>
        <v>0</v>
      </c>
    </row>
    <row r="694" spans="1:43">
      <c r="A694" s="24">
        <v>46133</v>
      </c>
      <c r="B694" s="23">
        <f t="shared" si="90"/>
        <v>46113</v>
      </c>
      <c r="C694" s="2" t="s">
        <v>63</v>
      </c>
      <c r="D694" s="2" t="s">
        <v>1382</v>
      </c>
      <c r="E694" s="2">
        <v>2480</v>
      </c>
      <c r="F694" s="2">
        <v>78</v>
      </c>
      <c r="G694" s="2">
        <v>78</v>
      </c>
      <c r="H694" s="2">
        <f t="shared" si="98"/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/>
      <c r="AJ694" s="2" t="s">
        <v>1568</v>
      </c>
      <c r="AK694" s="2">
        <f t="shared" si="91"/>
        <v>0</v>
      </c>
      <c r="AL694" s="2">
        <f t="shared" si="92"/>
        <v>0</v>
      </c>
      <c r="AM694" s="2">
        <f t="shared" si="93"/>
        <v>0</v>
      </c>
      <c r="AN694" s="2">
        <f t="shared" si="94"/>
        <v>0</v>
      </c>
      <c r="AO694" s="2">
        <f t="shared" si="95"/>
        <v>0</v>
      </c>
      <c r="AP694" s="2">
        <f t="shared" si="96"/>
        <v>0</v>
      </c>
      <c r="AQ694" s="25">
        <f t="shared" si="97"/>
        <v>0</v>
      </c>
    </row>
    <row r="695" spans="1:43">
      <c r="A695" s="24">
        <v>46133</v>
      </c>
      <c r="B695" s="23">
        <f t="shared" si="90"/>
        <v>46113</v>
      </c>
      <c r="C695" s="2" t="s">
        <v>63</v>
      </c>
      <c r="D695" s="2" t="s">
        <v>574</v>
      </c>
      <c r="E695" s="2">
        <v>1627</v>
      </c>
      <c r="F695" s="2">
        <v>34</v>
      </c>
      <c r="G695" s="2">
        <v>33</v>
      </c>
      <c r="H695" s="2">
        <f t="shared" si="98"/>
        <v>1</v>
      </c>
      <c r="I695" s="2">
        <v>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/>
      <c r="AJ695" s="2" t="s">
        <v>1568</v>
      </c>
      <c r="AK695" s="2">
        <f t="shared" si="91"/>
        <v>1</v>
      </c>
      <c r="AL695" s="2">
        <f t="shared" si="92"/>
        <v>0</v>
      </c>
      <c r="AM695" s="2">
        <f t="shared" si="93"/>
        <v>0</v>
      </c>
      <c r="AN695" s="2">
        <f t="shared" si="94"/>
        <v>0</v>
      </c>
      <c r="AO695" s="2">
        <f t="shared" si="95"/>
        <v>0</v>
      </c>
      <c r="AP695" s="2">
        <f t="shared" si="96"/>
        <v>0</v>
      </c>
      <c r="AQ695" s="25">
        <f t="shared" si="97"/>
        <v>0</v>
      </c>
    </row>
    <row r="696" spans="1:43">
      <c r="A696" s="24">
        <v>46133</v>
      </c>
      <c r="B696" s="23">
        <f t="shared" si="90"/>
        <v>46113</v>
      </c>
      <c r="C696" s="2" t="s">
        <v>62</v>
      </c>
      <c r="D696" s="2" t="s">
        <v>527</v>
      </c>
      <c r="E696" s="2">
        <v>2622</v>
      </c>
      <c r="F696" s="2">
        <v>57</v>
      </c>
      <c r="G696" s="2">
        <v>57</v>
      </c>
      <c r="H696" s="2">
        <f t="shared" si="98"/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/>
      <c r="AJ696" s="2" t="s">
        <v>1568</v>
      </c>
      <c r="AK696" s="2">
        <f t="shared" si="91"/>
        <v>0</v>
      </c>
      <c r="AL696" s="2">
        <f t="shared" si="92"/>
        <v>0</v>
      </c>
      <c r="AM696" s="2">
        <f t="shared" si="93"/>
        <v>0</v>
      </c>
      <c r="AN696" s="2">
        <f t="shared" si="94"/>
        <v>0</v>
      </c>
      <c r="AO696" s="2">
        <f t="shared" si="95"/>
        <v>0</v>
      </c>
      <c r="AP696" s="2">
        <f t="shared" si="96"/>
        <v>0</v>
      </c>
      <c r="AQ696" s="25">
        <f t="shared" si="97"/>
        <v>0</v>
      </c>
    </row>
    <row r="697" spans="1:43">
      <c r="A697" s="24">
        <v>46133</v>
      </c>
      <c r="B697" s="23">
        <f t="shared" si="90"/>
        <v>46113</v>
      </c>
      <c r="C697" s="2" t="s">
        <v>114</v>
      </c>
      <c r="D697" s="2" t="s">
        <v>554</v>
      </c>
      <c r="E697" s="2">
        <v>1733</v>
      </c>
      <c r="F697" s="2">
        <v>243</v>
      </c>
      <c r="G697" s="2">
        <v>166</v>
      </c>
      <c r="H697" s="2">
        <f t="shared" si="98"/>
        <v>77</v>
      </c>
      <c r="I697" s="2">
        <v>23</v>
      </c>
      <c r="J697" s="2">
        <v>42</v>
      </c>
      <c r="K697" s="2">
        <v>3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9</v>
      </c>
      <c r="AE697" s="2">
        <v>0</v>
      </c>
      <c r="AF697" s="2">
        <v>0</v>
      </c>
      <c r="AG697" s="2">
        <v>0</v>
      </c>
      <c r="AH697" s="2">
        <v>0</v>
      </c>
      <c r="AI697" s="2"/>
      <c r="AJ697" s="2" t="s">
        <v>349</v>
      </c>
      <c r="AK697" s="2">
        <f t="shared" si="91"/>
        <v>23</v>
      </c>
      <c r="AL697" s="2">
        <f t="shared" si="92"/>
        <v>45</v>
      </c>
      <c r="AM697" s="2">
        <f t="shared" si="93"/>
        <v>0</v>
      </c>
      <c r="AN697" s="2">
        <f t="shared" si="94"/>
        <v>0</v>
      </c>
      <c r="AO697" s="2">
        <f t="shared" si="95"/>
        <v>0</v>
      </c>
      <c r="AP697" s="2">
        <f t="shared" si="96"/>
        <v>9</v>
      </c>
      <c r="AQ697" s="25">
        <f t="shared" si="97"/>
        <v>0</v>
      </c>
    </row>
    <row r="698" spans="1:43">
      <c r="A698" s="24">
        <v>46133</v>
      </c>
      <c r="B698" s="23">
        <f t="shared" si="90"/>
        <v>46113</v>
      </c>
      <c r="C698" s="2" t="s">
        <v>160</v>
      </c>
      <c r="D698" s="2" t="s">
        <v>503</v>
      </c>
      <c r="E698" s="2">
        <v>1805</v>
      </c>
      <c r="F698" s="2">
        <v>216</v>
      </c>
      <c r="G698" s="2">
        <v>182</v>
      </c>
      <c r="H698" s="2">
        <f t="shared" si="98"/>
        <v>34</v>
      </c>
      <c r="I698" s="2">
        <v>8</v>
      </c>
      <c r="J698" s="2">
        <v>0</v>
      </c>
      <c r="K698" s="2">
        <v>2</v>
      </c>
      <c r="L698" s="2">
        <v>0</v>
      </c>
      <c r="M698" s="2">
        <v>0</v>
      </c>
      <c r="N698" s="2">
        <v>17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1</v>
      </c>
      <c r="Y698" s="2">
        <v>0</v>
      </c>
      <c r="Z698" s="2">
        <v>0</v>
      </c>
      <c r="AA698" s="2">
        <v>0</v>
      </c>
      <c r="AB698" s="2">
        <v>2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4</v>
      </c>
      <c r="AI698" s="2"/>
      <c r="AJ698" s="2" t="s">
        <v>349</v>
      </c>
      <c r="AK698" s="2">
        <f t="shared" si="91"/>
        <v>8</v>
      </c>
      <c r="AL698" s="2">
        <f t="shared" si="92"/>
        <v>19</v>
      </c>
      <c r="AM698" s="2">
        <f t="shared" si="93"/>
        <v>2</v>
      </c>
      <c r="AN698" s="2">
        <f t="shared" si="94"/>
        <v>4</v>
      </c>
      <c r="AO698" s="2">
        <f t="shared" si="95"/>
        <v>1</v>
      </c>
      <c r="AP698" s="2">
        <f t="shared" si="96"/>
        <v>0</v>
      </c>
      <c r="AQ698" s="25">
        <f t="shared" si="97"/>
        <v>0</v>
      </c>
    </row>
    <row r="699" spans="1:43">
      <c r="A699" s="24">
        <v>46133</v>
      </c>
      <c r="B699" s="23">
        <f t="shared" si="90"/>
        <v>46113</v>
      </c>
      <c r="C699" s="2" t="s">
        <v>114</v>
      </c>
      <c r="D699" s="2" t="s">
        <v>526</v>
      </c>
      <c r="E699" s="2">
        <v>1733</v>
      </c>
      <c r="F699" s="2">
        <v>177</v>
      </c>
      <c r="G699" s="2">
        <v>160</v>
      </c>
      <c r="H699" s="2">
        <f t="shared" si="98"/>
        <v>17</v>
      </c>
      <c r="I699" s="2">
        <v>1</v>
      </c>
      <c r="J699" s="2">
        <v>0</v>
      </c>
      <c r="K699" s="2">
        <v>8</v>
      </c>
      <c r="L699" s="2">
        <v>0</v>
      </c>
      <c r="M699" s="2">
        <v>0</v>
      </c>
      <c r="N699" s="2">
        <v>0</v>
      </c>
      <c r="O699" s="2">
        <v>1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1</v>
      </c>
      <c r="V699" s="2">
        <v>0</v>
      </c>
      <c r="W699" s="2">
        <v>0</v>
      </c>
      <c r="X699" s="2">
        <v>1</v>
      </c>
      <c r="Y699" s="2">
        <v>0</v>
      </c>
      <c r="Z699" s="2">
        <v>0</v>
      </c>
      <c r="AA699" s="2">
        <v>0</v>
      </c>
      <c r="AB699" s="2">
        <v>2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3</v>
      </c>
      <c r="AI699" s="2"/>
      <c r="AJ699" s="2" t="s">
        <v>349</v>
      </c>
      <c r="AK699" s="2">
        <f t="shared" si="91"/>
        <v>1</v>
      </c>
      <c r="AL699" s="2">
        <f t="shared" si="92"/>
        <v>9</v>
      </c>
      <c r="AM699" s="2">
        <f t="shared" si="93"/>
        <v>2</v>
      </c>
      <c r="AN699" s="2">
        <f t="shared" si="94"/>
        <v>3</v>
      </c>
      <c r="AO699" s="2">
        <f t="shared" si="95"/>
        <v>2</v>
      </c>
      <c r="AP699" s="2">
        <f t="shared" si="96"/>
        <v>0</v>
      </c>
      <c r="AQ699" s="25">
        <f t="shared" si="97"/>
        <v>0</v>
      </c>
    </row>
    <row r="700" spans="1:43">
      <c r="A700" s="24">
        <v>46133</v>
      </c>
      <c r="B700" s="23">
        <f t="shared" si="90"/>
        <v>46113</v>
      </c>
      <c r="C700" s="2" t="s">
        <v>95</v>
      </c>
      <c r="D700" s="2" t="s">
        <v>1540</v>
      </c>
      <c r="E700" s="2">
        <v>1767</v>
      </c>
      <c r="F700" s="2">
        <v>1387</v>
      </c>
      <c r="G700" s="2">
        <v>1358</v>
      </c>
      <c r="H700" s="2">
        <f t="shared" si="98"/>
        <v>29</v>
      </c>
      <c r="I700" s="2">
        <v>23</v>
      </c>
      <c r="J700" s="2">
        <v>2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3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1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/>
      <c r="AJ700" s="2" t="s">
        <v>77</v>
      </c>
      <c r="AK700" s="2">
        <f t="shared" si="91"/>
        <v>23</v>
      </c>
      <c r="AL700" s="2">
        <f t="shared" si="92"/>
        <v>5</v>
      </c>
      <c r="AM700" s="2">
        <f t="shared" si="93"/>
        <v>0</v>
      </c>
      <c r="AN700" s="2">
        <f t="shared" si="94"/>
        <v>1</v>
      </c>
      <c r="AO700" s="2">
        <f t="shared" si="95"/>
        <v>0</v>
      </c>
      <c r="AP700" s="2">
        <f t="shared" si="96"/>
        <v>0</v>
      </c>
      <c r="AQ700" s="25">
        <f t="shared" si="97"/>
        <v>0</v>
      </c>
    </row>
    <row r="701" spans="1:43">
      <c r="A701" s="24">
        <v>46133</v>
      </c>
      <c r="B701" s="23">
        <f t="shared" si="90"/>
        <v>46113</v>
      </c>
      <c r="C701" s="2" t="s">
        <v>95</v>
      </c>
      <c r="D701" s="2" t="s">
        <v>1540</v>
      </c>
      <c r="E701" s="2">
        <v>1767</v>
      </c>
      <c r="F701" s="2">
        <v>180</v>
      </c>
      <c r="G701" s="2">
        <v>174</v>
      </c>
      <c r="H701" s="2">
        <f t="shared" si="98"/>
        <v>6</v>
      </c>
      <c r="I701" s="2">
        <v>6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/>
      <c r="AJ701" s="2" t="s">
        <v>77</v>
      </c>
      <c r="AK701" s="2">
        <f t="shared" si="91"/>
        <v>6</v>
      </c>
      <c r="AL701" s="2">
        <f t="shared" si="92"/>
        <v>0</v>
      </c>
      <c r="AM701" s="2">
        <f t="shared" si="93"/>
        <v>0</v>
      </c>
      <c r="AN701" s="2">
        <f t="shared" si="94"/>
        <v>0</v>
      </c>
      <c r="AO701" s="2">
        <f t="shared" si="95"/>
        <v>0</v>
      </c>
      <c r="AP701" s="2">
        <f t="shared" si="96"/>
        <v>0</v>
      </c>
      <c r="AQ701" s="25">
        <f t="shared" si="97"/>
        <v>0</v>
      </c>
    </row>
    <row r="702" spans="1:43">
      <c r="A702" s="24">
        <v>46133</v>
      </c>
      <c r="B702" s="23">
        <f t="shared" si="90"/>
        <v>46113</v>
      </c>
      <c r="C702" s="2" t="s">
        <v>46</v>
      </c>
      <c r="D702" s="2" t="s">
        <v>1533</v>
      </c>
      <c r="E702" s="2">
        <v>2659</v>
      </c>
      <c r="F702" s="2">
        <v>33</v>
      </c>
      <c r="G702" s="2">
        <v>32</v>
      </c>
      <c r="H702" s="2">
        <f t="shared" si="98"/>
        <v>1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1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/>
      <c r="AJ702" s="2" t="s">
        <v>80</v>
      </c>
      <c r="AK702" s="2">
        <f t="shared" si="91"/>
        <v>0</v>
      </c>
      <c r="AL702" s="2">
        <f t="shared" si="92"/>
        <v>1</v>
      </c>
      <c r="AM702" s="2">
        <f t="shared" si="93"/>
        <v>0</v>
      </c>
      <c r="AN702" s="2">
        <f t="shared" si="94"/>
        <v>0</v>
      </c>
      <c r="AO702" s="2">
        <f t="shared" si="95"/>
        <v>0</v>
      </c>
      <c r="AP702" s="2">
        <f t="shared" si="96"/>
        <v>0</v>
      </c>
      <c r="AQ702" s="25">
        <f t="shared" si="97"/>
        <v>0</v>
      </c>
    </row>
    <row r="703" spans="1:43">
      <c r="A703" s="24">
        <v>46133</v>
      </c>
      <c r="B703" s="23">
        <f t="shared" si="90"/>
        <v>46113</v>
      </c>
      <c r="C703" s="2" t="s">
        <v>72</v>
      </c>
      <c r="D703" s="2" t="s">
        <v>456</v>
      </c>
      <c r="E703" s="2">
        <v>2648</v>
      </c>
      <c r="F703" s="2">
        <v>69</v>
      </c>
      <c r="G703" s="2">
        <v>69</v>
      </c>
      <c r="H703" s="2">
        <f t="shared" si="98"/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/>
      <c r="AJ703" s="2" t="s">
        <v>80</v>
      </c>
      <c r="AK703" s="2">
        <f t="shared" si="91"/>
        <v>0</v>
      </c>
      <c r="AL703" s="2">
        <f t="shared" si="92"/>
        <v>0</v>
      </c>
      <c r="AM703" s="2">
        <f t="shared" si="93"/>
        <v>0</v>
      </c>
      <c r="AN703" s="2">
        <f t="shared" si="94"/>
        <v>0</v>
      </c>
      <c r="AO703" s="2">
        <f t="shared" si="95"/>
        <v>0</v>
      </c>
      <c r="AP703" s="2">
        <f t="shared" si="96"/>
        <v>0</v>
      </c>
      <c r="AQ703" s="25">
        <f t="shared" si="97"/>
        <v>0</v>
      </c>
    </row>
    <row r="704" spans="1:43">
      <c r="A704" s="24">
        <v>46133</v>
      </c>
      <c r="B704" s="23">
        <f t="shared" si="90"/>
        <v>46113</v>
      </c>
      <c r="C704" s="2" t="s">
        <v>63</v>
      </c>
      <c r="D704" s="2" t="s">
        <v>469</v>
      </c>
      <c r="E704" s="2">
        <v>2606</v>
      </c>
      <c r="F704" s="2">
        <v>478</v>
      </c>
      <c r="G704" s="2">
        <v>451</v>
      </c>
      <c r="H704" s="2">
        <f t="shared" si="98"/>
        <v>27</v>
      </c>
      <c r="I704" s="2">
        <v>3</v>
      </c>
      <c r="J704" s="2">
        <v>13</v>
      </c>
      <c r="K704" s="2">
        <v>0</v>
      </c>
      <c r="L704" s="2">
        <v>0</v>
      </c>
      <c r="M704" s="2">
        <v>10</v>
      </c>
      <c r="N704" s="2">
        <v>0</v>
      </c>
      <c r="O704" s="2">
        <v>0</v>
      </c>
      <c r="P704" s="2">
        <v>0</v>
      </c>
      <c r="Q704" s="2">
        <v>1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/>
      <c r="AJ704" s="2" t="s">
        <v>80</v>
      </c>
      <c r="AK704" s="2">
        <f t="shared" si="91"/>
        <v>3</v>
      </c>
      <c r="AL704" s="2">
        <f t="shared" si="92"/>
        <v>24</v>
      </c>
      <c r="AM704" s="2">
        <f t="shared" si="93"/>
        <v>0</v>
      </c>
      <c r="AN704" s="2">
        <f t="shared" si="94"/>
        <v>0</v>
      </c>
      <c r="AO704" s="2">
        <f t="shared" si="95"/>
        <v>0</v>
      </c>
      <c r="AP704" s="2">
        <f t="shared" si="96"/>
        <v>0</v>
      </c>
      <c r="AQ704" s="25">
        <f t="shared" si="97"/>
        <v>0</v>
      </c>
    </row>
    <row r="705" spans="1:43">
      <c r="A705" s="24">
        <v>46133</v>
      </c>
      <c r="B705" s="23">
        <f t="shared" si="90"/>
        <v>46113</v>
      </c>
      <c r="C705" s="2" t="s">
        <v>82</v>
      </c>
      <c r="D705" s="2" t="s">
        <v>515</v>
      </c>
      <c r="E705" s="2">
        <v>2608</v>
      </c>
      <c r="F705" s="2">
        <v>400</v>
      </c>
      <c r="G705" s="2">
        <v>396</v>
      </c>
      <c r="H705" s="2">
        <f t="shared" si="98"/>
        <v>4</v>
      </c>
      <c r="I705" s="2">
        <v>2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2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/>
      <c r="AJ705" s="2" t="s">
        <v>80</v>
      </c>
      <c r="AK705" s="2">
        <f t="shared" si="91"/>
        <v>2</v>
      </c>
      <c r="AL705" s="2">
        <f t="shared" si="92"/>
        <v>2</v>
      </c>
      <c r="AM705" s="2">
        <f t="shared" si="93"/>
        <v>0</v>
      </c>
      <c r="AN705" s="2">
        <f t="shared" si="94"/>
        <v>0</v>
      </c>
      <c r="AO705" s="2">
        <f t="shared" si="95"/>
        <v>0</v>
      </c>
      <c r="AP705" s="2">
        <f t="shared" si="96"/>
        <v>0</v>
      </c>
      <c r="AQ705" s="25">
        <f t="shared" si="97"/>
        <v>0</v>
      </c>
    </row>
    <row r="706" spans="1:43">
      <c r="A706" s="24">
        <v>46133</v>
      </c>
      <c r="B706" s="23">
        <f t="shared" ref="B706:B769" si="99">EOMONTH(A706,-1)+1</f>
        <v>46113</v>
      </c>
      <c r="C706" s="2" t="s">
        <v>72</v>
      </c>
      <c r="D706" s="2" t="s">
        <v>573</v>
      </c>
      <c r="E706" s="2">
        <v>2455</v>
      </c>
      <c r="F706" s="2">
        <v>144</v>
      </c>
      <c r="G706" s="2">
        <v>129</v>
      </c>
      <c r="H706" s="2">
        <f t="shared" si="98"/>
        <v>15</v>
      </c>
      <c r="I706" s="2">
        <v>3</v>
      </c>
      <c r="J706" s="2">
        <v>0</v>
      </c>
      <c r="K706" s="2">
        <v>0</v>
      </c>
      <c r="L706" s="2">
        <v>0</v>
      </c>
      <c r="M706" s="2">
        <v>5</v>
      </c>
      <c r="N706" s="2">
        <v>0</v>
      </c>
      <c r="O706" s="2">
        <v>0</v>
      </c>
      <c r="P706" s="2">
        <v>0</v>
      </c>
      <c r="Q706" s="2">
        <v>7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/>
      <c r="AJ706" s="2" t="s">
        <v>80</v>
      </c>
      <c r="AK706" s="2">
        <f t="shared" ref="AK706:AK769" si="100">+I706+AF706</f>
        <v>3</v>
      </c>
      <c r="AL706" s="2">
        <f t="shared" ref="AL706:AL769" si="101">+J706+K706+O706+N706+P706+R706+S706+Q706+M706+L706</f>
        <v>12</v>
      </c>
      <c r="AM706" s="2">
        <f t="shared" ref="AM706:AM769" si="102">+AB706+AC706</f>
        <v>0</v>
      </c>
      <c r="AN706" s="2">
        <f t="shared" ref="AN706:AN769" si="103">+AH706+AG706+AA706+Z706</f>
        <v>0</v>
      </c>
      <c r="AO706" s="2">
        <f t="shared" ref="AO706:AO769" si="104">+X706+W706+V706+U706+T706+Y706</f>
        <v>0</v>
      </c>
      <c r="AP706" s="2">
        <f t="shared" ref="AP706:AP769" si="105">+AD706</f>
        <v>0</v>
      </c>
      <c r="AQ706" s="25">
        <f t="shared" ref="AQ706:AQ769" si="106">+AE706</f>
        <v>0</v>
      </c>
    </row>
    <row r="707" spans="1:43">
      <c r="A707" s="24">
        <v>46133</v>
      </c>
      <c r="B707" s="23">
        <f t="shared" si="99"/>
        <v>46113</v>
      </c>
      <c r="C707" s="2" t="s">
        <v>95</v>
      </c>
      <c r="D707" s="2" t="s">
        <v>567</v>
      </c>
      <c r="E707" s="2">
        <v>2579</v>
      </c>
      <c r="F707" s="2">
        <v>90</v>
      </c>
      <c r="G707" s="2">
        <v>88</v>
      </c>
      <c r="H707" s="2">
        <f t="shared" ref="H707:H770" si="107">F707-G707</f>
        <v>2</v>
      </c>
      <c r="I707" s="2">
        <v>2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/>
      <c r="AJ707" s="2" t="s">
        <v>80</v>
      </c>
      <c r="AK707" s="2">
        <f t="shared" si="100"/>
        <v>2</v>
      </c>
      <c r="AL707" s="2">
        <f t="shared" si="101"/>
        <v>0</v>
      </c>
      <c r="AM707" s="2">
        <f t="shared" si="102"/>
        <v>0</v>
      </c>
      <c r="AN707" s="2">
        <f t="shared" si="103"/>
        <v>0</v>
      </c>
      <c r="AO707" s="2">
        <f t="shared" si="104"/>
        <v>0</v>
      </c>
      <c r="AP707" s="2">
        <f t="shared" si="105"/>
        <v>0</v>
      </c>
      <c r="AQ707" s="25">
        <f t="shared" si="106"/>
        <v>0</v>
      </c>
    </row>
    <row r="708" spans="1:43">
      <c r="A708" s="24">
        <v>46133</v>
      </c>
      <c r="B708" s="23">
        <f t="shared" si="99"/>
        <v>46113</v>
      </c>
      <c r="C708" s="2" t="s">
        <v>95</v>
      </c>
      <c r="D708" s="2" t="s">
        <v>540</v>
      </c>
      <c r="E708" s="2">
        <v>2579</v>
      </c>
      <c r="F708" s="2">
        <v>135</v>
      </c>
      <c r="G708" s="2">
        <v>133</v>
      </c>
      <c r="H708" s="2">
        <f t="shared" si="107"/>
        <v>2</v>
      </c>
      <c r="I708" s="2">
        <v>2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/>
      <c r="AJ708" s="2" t="s">
        <v>80</v>
      </c>
      <c r="AK708" s="2">
        <f t="shared" si="100"/>
        <v>2</v>
      </c>
      <c r="AL708" s="2">
        <f t="shared" si="101"/>
        <v>0</v>
      </c>
      <c r="AM708" s="2">
        <f t="shared" si="102"/>
        <v>0</v>
      </c>
      <c r="AN708" s="2">
        <f t="shared" si="103"/>
        <v>0</v>
      </c>
      <c r="AO708" s="2">
        <f t="shared" si="104"/>
        <v>0</v>
      </c>
      <c r="AP708" s="2">
        <f t="shared" si="105"/>
        <v>0</v>
      </c>
      <c r="AQ708" s="25">
        <f t="shared" si="106"/>
        <v>0</v>
      </c>
    </row>
    <row r="709" spans="1:43">
      <c r="A709" s="24">
        <v>46133</v>
      </c>
      <c r="B709" s="23">
        <f t="shared" si="99"/>
        <v>46113</v>
      </c>
      <c r="C709" s="2" t="s">
        <v>72</v>
      </c>
      <c r="D709" s="2" t="s">
        <v>523</v>
      </c>
      <c r="E709" s="2">
        <v>2648</v>
      </c>
      <c r="F709" s="2">
        <v>315</v>
      </c>
      <c r="G709" s="2">
        <v>315</v>
      </c>
      <c r="H709" s="2">
        <f t="shared" si="107"/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/>
      <c r="AJ709" s="2" t="s">
        <v>80</v>
      </c>
      <c r="AK709" s="2">
        <f t="shared" si="100"/>
        <v>0</v>
      </c>
      <c r="AL709" s="2">
        <f t="shared" si="101"/>
        <v>0</v>
      </c>
      <c r="AM709" s="2">
        <f t="shared" si="102"/>
        <v>0</v>
      </c>
      <c r="AN709" s="2">
        <f t="shared" si="103"/>
        <v>0</v>
      </c>
      <c r="AO709" s="2">
        <f t="shared" si="104"/>
        <v>0</v>
      </c>
      <c r="AP709" s="2">
        <f t="shared" si="105"/>
        <v>0</v>
      </c>
      <c r="AQ709" s="25">
        <f t="shared" si="106"/>
        <v>0</v>
      </c>
    </row>
    <row r="710" spans="1:43">
      <c r="A710" s="24">
        <v>46133</v>
      </c>
      <c r="B710" s="23">
        <f t="shared" si="99"/>
        <v>46113</v>
      </c>
      <c r="C710" s="2" t="s">
        <v>82</v>
      </c>
      <c r="D710" s="2" t="s">
        <v>1565</v>
      </c>
      <c r="E710" s="2">
        <v>2606</v>
      </c>
      <c r="F710" s="2">
        <v>160</v>
      </c>
      <c r="G710" s="2">
        <v>158</v>
      </c>
      <c r="H710" s="2">
        <f t="shared" si="107"/>
        <v>2</v>
      </c>
      <c r="I710" s="2">
        <v>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1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/>
      <c r="AJ710" s="2" t="s">
        <v>80</v>
      </c>
      <c r="AK710" s="2">
        <f t="shared" si="100"/>
        <v>1</v>
      </c>
      <c r="AL710" s="2">
        <f t="shared" si="101"/>
        <v>1</v>
      </c>
      <c r="AM710" s="2">
        <f t="shared" si="102"/>
        <v>0</v>
      </c>
      <c r="AN710" s="2">
        <f t="shared" si="103"/>
        <v>0</v>
      </c>
      <c r="AO710" s="2">
        <f t="shared" si="104"/>
        <v>0</v>
      </c>
      <c r="AP710" s="2">
        <f t="shared" si="105"/>
        <v>0</v>
      </c>
      <c r="AQ710" s="25">
        <f t="shared" si="106"/>
        <v>0</v>
      </c>
    </row>
    <row r="711" spans="1:43">
      <c r="A711" s="24">
        <v>46133</v>
      </c>
      <c r="B711" s="23">
        <f t="shared" si="99"/>
        <v>46113</v>
      </c>
      <c r="C711" s="2" t="s">
        <v>55</v>
      </c>
      <c r="D711" s="2" t="s">
        <v>436</v>
      </c>
      <c r="E711" s="2">
        <v>2648</v>
      </c>
      <c r="F711" s="2">
        <v>229</v>
      </c>
      <c r="G711" s="2">
        <v>212</v>
      </c>
      <c r="H711" s="2">
        <f t="shared" si="107"/>
        <v>17</v>
      </c>
      <c r="I711" s="2">
        <v>11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6</v>
      </c>
      <c r="AE711" s="2">
        <v>0</v>
      </c>
      <c r="AF711" s="2">
        <v>0</v>
      </c>
      <c r="AG711" s="2">
        <v>0</v>
      </c>
      <c r="AH711" s="2">
        <v>0</v>
      </c>
      <c r="AI711" s="2"/>
      <c r="AJ711" s="2" t="s">
        <v>80</v>
      </c>
      <c r="AK711" s="2">
        <f t="shared" si="100"/>
        <v>11</v>
      </c>
      <c r="AL711" s="2">
        <f t="shared" si="101"/>
        <v>0</v>
      </c>
      <c r="AM711" s="2">
        <f t="shared" si="102"/>
        <v>0</v>
      </c>
      <c r="AN711" s="2">
        <f t="shared" si="103"/>
        <v>0</v>
      </c>
      <c r="AO711" s="2">
        <f t="shared" si="104"/>
        <v>0</v>
      </c>
      <c r="AP711" s="2">
        <f t="shared" si="105"/>
        <v>6</v>
      </c>
      <c r="AQ711" s="25">
        <f t="shared" si="106"/>
        <v>0</v>
      </c>
    </row>
    <row r="712" spans="1:43">
      <c r="A712" s="24">
        <v>46133</v>
      </c>
      <c r="B712" s="23">
        <f t="shared" si="99"/>
        <v>46113</v>
      </c>
      <c r="C712" s="2" t="s">
        <v>114</v>
      </c>
      <c r="D712" s="2" t="s">
        <v>575</v>
      </c>
      <c r="E712" s="2">
        <v>2607</v>
      </c>
      <c r="F712" s="2">
        <v>52</v>
      </c>
      <c r="G712" s="2">
        <v>51</v>
      </c>
      <c r="H712" s="2">
        <f t="shared" si="107"/>
        <v>1</v>
      </c>
      <c r="I712" s="2">
        <v>1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/>
      <c r="AJ712" s="2" t="s">
        <v>103</v>
      </c>
      <c r="AK712" s="2">
        <f t="shared" si="100"/>
        <v>1</v>
      </c>
      <c r="AL712" s="2">
        <f t="shared" si="101"/>
        <v>0</v>
      </c>
      <c r="AM712" s="2">
        <f t="shared" si="102"/>
        <v>0</v>
      </c>
      <c r="AN712" s="2">
        <f t="shared" si="103"/>
        <v>0</v>
      </c>
      <c r="AO712" s="2">
        <f t="shared" si="104"/>
        <v>0</v>
      </c>
      <c r="AP712" s="2">
        <f t="shared" si="105"/>
        <v>0</v>
      </c>
      <c r="AQ712" s="25">
        <f t="shared" si="106"/>
        <v>0</v>
      </c>
    </row>
    <row r="713" spans="1:43">
      <c r="A713" s="24">
        <v>46133</v>
      </c>
      <c r="B713" s="23">
        <f t="shared" si="99"/>
        <v>46113</v>
      </c>
      <c r="C713" s="2" t="s">
        <v>114</v>
      </c>
      <c r="D713" s="2" t="s">
        <v>554</v>
      </c>
      <c r="E713" s="2">
        <v>1733</v>
      </c>
      <c r="F713" s="2">
        <v>32</v>
      </c>
      <c r="G713" s="2">
        <v>31</v>
      </c>
      <c r="H713" s="2">
        <f t="shared" si="107"/>
        <v>1</v>
      </c>
      <c r="I713" s="2">
        <v>1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/>
      <c r="AJ713" s="2" t="s">
        <v>103</v>
      </c>
      <c r="AK713" s="2">
        <f t="shared" si="100"/>
        <v>1</v>
      </c>
      <c r="AL713" s="2">
        <f t="shared" si="101"/>
        <v>0</v>
      </c>
      <c r="AM713" s="2">
        <f t="shared" si="102"/>
        <v>0</v>
      </c>
      <c r="AN713" s="2">
        <f t="shared" si="103"/>
        <v>0</v>
      </c>
      <c r="AO713" s="2">
        <f t="shared" si="104"/>
        <v>0</v>
      </c>
      <c r="AP713" s="2">
        <f t="shared" si="105"/>
        <v>0</v>
      </c>
      <c r="AQ713" s="25">
        <f t="shared" si="106"/>
        <v>0</v>
      </c>
    </row>
    <row r="714" spans="1:43">
      <c r="A714" s="24">
        <v>46133</v>
      </c>
      <c r="B714" s="23">
        <f t="shared" si="99"/>
        <v>46113</v>
      </c>
      <c r="C714" s="2" t="s">
        <v>72</v>
      </c>
      <c r="D714" s="2" t="s">
        <v>446</v>
      </c>
      <c r="E714" s="2">
        <v>2540</v>
      </c>
      <c r="F714" s="2">
        <v>37</v>
      </c>
      <c r="G714" s="2">
        <v>37</v>
      </c>
      <c r="H714" s="2">
        <f t="shared" si="107"/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/>
      <c r="AJ714" s="2" t="s">
        <v>103</v>
      </c>
      <c r="AK714" s="2">
        <f t="shared" si="100"/>
        <v>0</v>
      </c>
      <c r="AL714" s="2">
        <f t="shared" si="101"/>
        <v>0</v>
      </c>
      <c r="AM714" s="2">
        <f t="shared" si="102"/>
        <v>0</v>
      </c>
      <c r="AN714" s="2">
        <f t="shared" si="103"/>
        <v>0</v>
      </c>
      <c r="AO714" s="2">
        <f t="shared" si="104"/>
        <v>0</v>
      </c>
      <c r="AP714" s="2">
        <f t="shared" si="105"/>
        <v>0</v>
      </c>
      <c r="AQ714" s="25">
        <f t="shared" si="106"/>
        <v>0</v>
      </c>
    </row>
    <row r="715" spans="1:43">
      <c r="A715" s="24">
        <v>46133</v>
      </c>
      <c r="B715" s="23">
        <f t="shared" si="99"/>
        <v>46113</v>
      </c>
      <c r="C715" s="2" t="s">
        <v>72</v>
      </c>
      <c r="D715" s="2" t="s">
        <v>489</v>
      </c>
      <c r="E715" s="2">
        <v>10038</v>
      </c>
      <c r="F715" s="2">
        <v>280</v>
      </c>
      <c r="G715" s="2">
        <v>276</v>
      </c>
      <c r="H715" s="2">
        <f t="shared" si="107"/>
        <v>4</v>
      </c>
      <c r="I715" s="2">
        <v>4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/>
      <c r="AJ715" s="2" t="s">
        <v>103</v>
      </c>
      <c r="AK715" s="2">
        <f t="shared" si="100"/>
        <v>4</v>
      </c>
      <c r="AL715" s="2">
        <f t="shared" si="101"/>
        <v>0</v>
      </c>
      <c r="AM715" s="2">
        <f t="shared" si="102"/>
        <v>0</v>
      </c>
      <c r="AN715" s="2">
        <f t="shared" si="103"/>
        <v>0</v>
      </c>
      <c r="AO715" s="2">
        <f t="shared" si="104"/>
        <v>0</v>
      </c>
      <c r="AP715" s="2">
        <f t="shared" si="105"/>
        <v>0</v>
      </c>
      <c r="AQ715" s="25">
        <f t="shared" si="106"/>
        <v>0</v>
      </c>
    </row>
    <row r="716" spans="1:43">
      <c r="A716" s="24">
        <v>46133</v>
      </c>
      <c r="B716" s="23">
        <f t="shared" si="99"/>
        <v>46113</v>
      </c>
      <c r="C716" s="2" t="s">
        <v>72</v>
      </c>
      <c r="D716" s="2" t="s">
        <v>1494</v>
      </c>
      <c r="E716" s="2">
        <v>10063</v>
      </c>
      <c r="F716" s="2">
        <v>98</v>
      </c>
      <c r="G716" s="2">
        <v>96</v>
      </c>
      <c r="H716" s="2">
        <f t="shared" si="107"/>
        <v>2</v>
      </c>
      <c r="I716" s="2">
        <v>1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1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/>
      <c r="AJ716" s="2" t="s">
        <v>103</v>
      </c>
      <c r="AK716" s="2">
        <f t="shared" si="100"/>
        <v>1</v>
      </c>
      <c r="AL716" s="2">
        <f t="shared" si="101"/>
        <v>1</v>
      </c>
      <c r="AM716" s="2">
        <f t="shared" si="102"/>
        <v>0</v>
      </c>
      <c r="AN716" s="2">
        <f t="shared" si="103"/>
        <v>0</v>
      </c>
      <c r="AO716" s="2">
        <f t="shared" si="104"/>
        <v>0</v>
      </c>
      <c r="AP716" s="2">
        <f t="shared" si="105"/>
        <v>0</v>
      </c>
      <c r="AQ716" s="25">
        <f t="shared" si="106"/>
        <v>0</v>
      </c>
    </row>
    <row r="717" spans="1:43">
      <c r="A717" s="24">
        <v>46133</v>
      </c>
      <c r="B717" s="23">
        <f t="shared" si="99"/>
        <v>46113</v>
      </c>
      <c r="C717" s="2" t="s">
        <v>72</v>
      </c>
      <c r="D717" s="2" t="s">
        <v>554</v>
      </c>
      <c r="E717" s="2">
        <v>1733</v>
      </c>
      <c r="F717" s="2">
        <v>36</v>
      </c>
      <c r="G717" s="2">
        <v>24</v>
      </c>
      <c r="H717" s="2">
        <f t="shared" si="107"/>
        <v>12</v>
      </c>
      <c r="I717" s="2">
        <v>0</v>
      </c>
      <c r="J717" s="2">
        <v>12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/>
      <c r="AJ717" s="2" t="s">
        <v>103</v>
      </c>
      <c r="AK717" s="2">
        <f t="shared" si="100"/>
        <v>0</v>
      </c>
      <c r="AL717" s="2">
        <f t="shared" si="101"/>
        <v>12</v>
      </c>
      <c r="AM717" s="2">
        <f t="shared" si="102"/>
        <v>0</v>
      </c>
      <c r="AN717" s="2">
        <f t="shared" si="103"/>
        <v>0</v>
      </c>
      <c r="AO717" s="2">
        <f t="shared" si="104"/>
        <v>0</v>
      </c>
      <c r="AP717" s="2">
        <f t="shared" si="105"/>
        <v>0</v>
      </c>
      <c r="AQ717" s="25">
        <f t="shared" si="106"/>
        <v>0</v>
      </c>
    </row>
    <row r="718" spans="1:43">
      <c r="A718" s="24">
        <v>46133</v>
      </c>
      <c r="B718" s="23">
        <f t="shared" si="99"/>
        <v>46113</v>
      </c>
      <c r="C718" s="2" t="s">
        <v>72</v>
      </c>
      <c r="D718" s="2" t="s">
        <v>1496</v>
      </c>
      <c r="E718" s="2">
        <v>10063</v>
      </c>
      <c r="F718" s="2">
        <v>18</v>
      </c>
      <c r="G718" s="2">
        <v>17</v>
      </c>
      <c r="H718" s="2">
        <f t="shared" si="107"/>
        <v>1</v>
      </c>
      <c r="I718" s="2">
        <v>1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/>
      <c r="AJ718" s="2" t="s">
        <v>103</v>
      </c>
      <c r="AK718" s="2">
        <f t="shared" si="100"/>
        <v>1</v>
      </c>
      <c r="AL718" s="2">
        <f t="shared" si="101"/>
        <v>0</v>
      </c>
      <c r="AM718" s="2">
        <f t="shared" si="102"/>
        <v>0</v>
      </c>
      <c r="AN718" s="2">
        <f t="shared" si="103"/>
        <v>0</v>
      </c>
      <c r="AO718" s="2">
        <f t="shared" si="104"/>
        <v>0</v>
      </c>
      <c r="AP718" s="2">
        <f t="shared" si="105"/>
        <v>0</v>
      </c>
      <c r="AQ718" s="25">
        <f t="shared" si="106"/>
        <v>0</v>
      </c>
    </row>
    <row r="719" spans="1:43">
      <c r="A719" s="24">
        <v>46133</v>
      </c>
      <c r="B719" s="23">
        <f t="shared" si="99"/>
        <v>46113</v>
      </c>
      <c r="C719" s="2" t="s">
        <v>82</v>
      </c>
      <c r="D719" s="2" t="s">
        <v>445</v>
      </c>
      <c r="E719" s="2">
        <v>2540</v>
      </c>
      <c r="F719" s="2">
        <v>178</v>
      </c>
      <c r="G719" s="2">
        <v>178</v>
      </c>
      <c r="H719" s="2">
        <f t="shared" si="107"/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/>
      <c r="AJ719" s="2" t="s">
        <v>93</v>
      </c>
      <c r="AK719" s="2">
        <f t="shared" si="100"/>
        <v>0</v>
      </c>
      <c r="AL719" s="2">
        <f t="shared" si="101"/>
        <v>0</v>
      </c>
      <c r="AM719" s="2">
        <f t="shared" si="102"/>
        <v>0</v>
      </c>
      <c r="AN719" s="2">
        <f t="shared" si="103"/>
        <v>0</v>
      </c>
      <c r="AO719" s="2">
        <f t="shared" si="104"/>
        <v>0</v>
      </c>
      <c r="AP719" s="2">
        <f t="shared" si="105"/>
        <v>0</v>
      </c>
      <c r="AQ719" s="25">
        <f t="shared" si="106"/>
        <v>0</v>
      </c>
    </row>
    <row r="720" spans="1:43">
      <c r="A720" s="24">
        <v>46133</v>
      </c>
      <c r="B720" s="23">
        <f t="shared" si="99"/>
        <v>46113</v>
      </c>
      <c r="C720" s="2" t="s">
        <v>160</v>
      </c>
      <c r="D720" s="2" t="s">
        <v>487</v>
      </c>
      <c r="E720" s="2">
        <v>2651</v>
      </c>
      <c r="F720" s="2">
        <v>83</v>
      </c>
      <c r="G720" s="2">
        <v>79</v>
      </c>
      <c r="H720" s="2">
        <f t="shared" si="107"/>
        <v>4</v>
      </c>
      <c r="I720" s="2">
        <v>2</v>
      </c>
      <c r="J720" s="2">
        <v>0</v>
      </c>
      <c r="K720" s="2">
        <v>2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/>
      <c r="AJ720" s="2" t="s">
        <v>93</v>
      </c>
      <c r="AK720" s="2">
        <f t="shared" si="100"/>
        <v>2</v>
      </c>
      <c r="AL720" s="2">
        <f t="shared" si="101"/>
        <v>2</v>
      </c>
      <c r="AM720" s="2">
        <f t="shared" si="102"/>
        <v>0</v>
      </c>
      <c r="AN720" s="2">
        <f t="shared" si="103"/>
        <v>0</v>
      </c>
      <c r="AO720" s="2">
        <f t="shared" si="104"/>
        <v>0</v>
      </c>
      <c r="AP720" s="2">
        <f t="shared" si="105"/>
        <v>0</v>
      </c>
      <c r="AQ720" s="25">
        <f t="shared" si="106"/>
        <v>0</v>
      </c>
    </row>
    <row r="721" spans="1:43">
      <c r="A721" s="24">
        <v>46133</v>
      </c>
      <c r="B721" s="23">
        <f t="shared" si="99"/>
        <v>46113</v>
      </c>
      <c r="C721" s="2" t="s">
        <v>82</v>
      </c>
      <c r="D721" s="2" t="s">
        <v>1497</v>
      </c>
      <c r="E721" s="2">
        <v>2664</v>
      </c>
      <c r="F721" s="2">
        <v>32</v>
      </c>
      <c r="G721" s="2">
        <v>32</v>
      </c>
      <c r="H721" s="2">
        <f t="shared" si="107"/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/>
      <c r="AJ721" s="2" t="s">
        <v>93</v>
      </c>
      <c r="AK721" s="2">
        <f t="shared" si="100"/>
        <v>0</v>
      </c>
      <c r="AL721" s="2">
        <f t="shared" si="101"/>
        <v>0</v>
      </c>
      <c r="AM721" s="2">
        <f t="shared" si="102"/>
        <v>0</v>
      </c>
      <c r="AN721" s="2">
        <f t="shared" si="103"/>
        <v>0</v>
      </c>
      <c r="AO721" s="2">
        <f t="shared" si="104"/>
        <v>0</v>
      </c>
      <c r="AP721" s="2">
        <f t="shared" si="105"/>
        <v>0</v>
      </c>
      <c r="AQ721" s="25">
        <f t="shared" si="106"/>
        <v>0</v>
      </c>
    </row>
    <row r="722" spans="1:43">
      <c r="A722" s="24">
        <v>46133</v>
      </c>
      <c r="B722" s="23">
        <f t="shared" si="99"/>
        <v>46113</v>
      </c>
      <c r="C722" s="2" t="s">
        <v>160</v>
      </c>
      <c r="D722" s="2" t="s">
        <v>506</v>
      </c>
      <c r="E722" s="2">
        <v>1805</v>
      </c>
      <c r="F722" s="2">
        <v>60</v>
      </c>
      <c r="G722" s="2">
        <v>57</v>
      </c>
      <c r="H722" s="2">
        <f t="shared" si="107"/>
        <v>3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1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1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/>
      <c r="AJ722" s="2" t="s">
        <v>93</v>
      </c>
      <c r="AK722" s="2">
        <f t="shared" si="100"/>
        <v>1</v>
      </c>
      <c r="AL722" s="2">
        <f t="shared" si="101"/>
        <v>1</v>
      </c>
      <c r="AM722" s="2">
        <f t="shared" si="102"/>
        <v>0</v>
      </c>
      <c r="AN722" s="2">
        <f t="shared" si="103"/>
        <v>0</v>
      </c>
      <c r="AO722" s="2">
        <f t="shared" si="104"/>
        <v>1</v>
      </c>
      <c r="AP722" s="2">
        <f t="shared" si="105"/>
        <v>0</v>
      </c>
      <c r="AQ722" s="25">
        <f t="shared" si="106"/>
        <v>0</v>
      </c>
    </row>
    <row r="723" spans="1:43">
      <c r="A723" s="24">
        <v>46133</v>
      </c>
      <c r="B723" s="23">
        <f t="shared" si="99"/>
        <v>46113</v>
      </c>
      <c r="C723" s="2" t="s">
        <v>82</v>
      </c>
      <c r="D723" s="2" t="s">
        <v>1497</v>
      </c>
      <c r="E723" s="2">
        <v>2664</v>
      </c>
      <c r="F723" s="2">
        <v>175</v>
      </c>
      <c r="G723" s="2">
        <v>170</v>
      </c>
      <c r="H723" s="2">
        <f t="shared" si="107"/>
        <v>5</v>
      </c>
      <c r="I723" s="2">
        <v>2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1</v>
      </c>
      <c r="R723" s="2">
        <v>2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/>
      <c r="AJ723" s="2" t="s">
        <v>93</v>
      </c>
      <c r="AK723" s="2">
        <f t="shared" si="100"/>
        <v>2</v>
      </c>
      <c r="AL723" s="2">
        <f t="shared" si="101"/>
        <v>3</v>
      </c>
      <c r="AM723" s="2">
        <f t="shared" si="102"/>
        <v>0</v>
      </c>
      <c r="AN723" s="2">
        <f t="shared" si="103"/>
        <v>0</v>
      </c>
      <c r="AO723" s="2">
        <f t="shared" si="104"/>
        <v>0</v>
      </c>
      <c r="AP723" s="2">
        <f t="shared" si="105"/>
        <v>0</v>
      </c>
      <c r="AQ723" s="25">
        <f t="shared" si="106"/>
        <v>0</v>
      </c>
    </row>
    <row r="724" spans="1:43">
      <c r="A724" s="24">
        <v>46133</v>
      </c>
      <c r="B724" s="23">
        <f t="shared" si="99"/>
        <v>46113</v>
      </c>
      <c r="C724" s="2" t="s">
        <v>82</v>
      </c>
      <c r="D724" s="2" t="s">
        <v>525</v>
      </c>
      <c r="E724" s="2">
        <v>2608</v>
      </c>
      <c r="F724" s="2">
        <v>479</v>
      </c>
      <c r="G724" s="2">
        <v>477</v>
      </c>
      <c r="H724" s="2">
        <f t="shared" si="107"/>
        <v>2</v>
      </c>
      <c r="I724" s="2">
        <v>2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/>
      <c r="AJ724" s="2" t="s">
        <v>93</v>
      </c>
      <c r="AK724" s="2">
        <f t="shared" si="100"/>
        <v>2</v>
      </c>
      <c r="AL724" s="2">
        <f t="shared" si="101"/>
        <v>0</v>
      </c>
      <c r="AM724" s="2">
        <f t="shared" si="102"/>
        <v>0</v>
      </c>
      <c r="AN724" s="2">
        <f t="shared" si="103"/>
        <v>0</v>
      </c>
      <c r="AO724" s="2">
        <f t="shared" si="104"/>
        <v>0</v>
      </c>
      <c r="AP724" s="2">
        <f t="shared" si="105"/>
        <v>0</v>
      </c>
      <c r="AQ724" s="25">
        <f t="shared" si="106"/>
        <v>0</v>
      </c>
    </row>
    <row r="725" spans="1:43">
      <c r="A725" s="24">
        <v>46133</v>
      </c>
      <c r="B725" s="23">
        <f t="shared" si="99"/>
        <v>46113</v>
      </c>
      <c r="C725" s="2" t="s">
        <v>82</v>
      </c>
      <c r="D725" s="2" t="s">
        <v>1497</v>
      </c>
      <c r="E725" s="2">
        <v>2664</v>
      </c>
      <c r="F725" s="2">
        <v>12</v>
      </c>
      <c r="G725" s="2">
        <v>12</v>
      </c>
      <c r="H725" s="2">
        <f t="shared" si="107"/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/>
      <c r="AJ725" s="2" t="s">
        <v>93</v>
      </c>
      <c r="AK725" s="2">
        <f t="shared" si="100"/>
        <v>0</v>
      </c>
      <c r="AL725" s="2">
        <f t="shared" si="101"/>
        <v>0</v>
      </c>
      <c r="AM725" s="2">
        <f t="shared" si="102"/>
        <v>0</v>
      </c>
      <c r="AN725" s="2">
        <f t="shared" si="103"/>
        <v>0</v>
      </c>
      <c r="AO725" s="2">
        <f t="shared" si="104"/>
        <v>0</v>
      </c>
      <c r="AP725" s="2">
        <f t="shared" si="105"/>
        <v>0</v>
      </c>
      <c r="AQ725" s="25">
        <f t="shared" si="106"/>
        <v>0</v>
      </c>
    </row>
    <row r="726" spans="1:43">
      <c r="A726" s="24">
        <v>46133</v>
      </c>
      <c r="B726" s="23">
        <f t="shared" si="99"/>
        <v>46113</v>
      </c>
      <c r="C726" s="2" t="s">
        <v>82</v>
      </c>
      <c r="D726" s="2" t="s">
        <v>1497</v>
      </c>
      <c r="E726" s="2">
        <v>2664</v>
      </c>
      <c r="F726" s="2">
        <v>32</v>
      </c>
      <c r="G726" s="2">
        <v>32</v>
      </c>
      <c r="H726" s="2">
        <f t="shared" si="107"/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/>
      <c r="AJ726" s="2" t="s">
        <v>93</v>
      </c>
      <c r="AK726" s="2">
        <f t="shared" si="100"/>
        <v>0</v>
      </c>
      <c r="AL726" s="2">
        <f t="shared" si="101"/>
        <v>0</v>
      </c>
      <c r="AM726" s="2">
        <f t="shared" si="102"/>
        <v>0</v>
      </c>
      <c r="AN726" s="2">
        <f t="shared" si="103"/>
        <v>0</v>
      </c>
      <c r="AO726" s="2">
        <f t="shared" si="104"/>
        <v>0</v>
      </c>
      <c r="AP726" s="2">
        <f t="shared" si="105"/>
        <v>0</v>
      </c>
      <c r="AQ726" s="25">
        <f t="shared" si="106"/>
        <v>0</v>
      </c>
    </row>
    <row r="727" spans="1:43">
      <c r="A727" s="24">
        <v>46133</v>
      </c>
      <c r="B727" s="23">
        <f t="shared" si="99"/>
        <v>46113</v>
      </c>
      <c r="C727" s="2" t="s">
        <v>82</v>
      </c>
      <c r="D727" s="2" t="s">
        <v>525</v>
      </c>
      <c r="E727" s="2">
        <v>2608</v>
      </c>
      <c r="F727" s="2">
        <v>50</v>
      </c>
      <c r="G727" s="2">
        <v>50</v>
      </c>
      <c r="H727" s="2">
        <f t="shared" si="107"/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/>
      <c r="AJ727" s="2" t="s">
        <v>93</v>
      </c>
      <c r="AK727" s="2">
        <f t="shared" si="100"/>
        <v>0</v>
      </c>
      <c r="AL727" s="2">
        <f t="shared" si="101"/>
        <v>0</v>
      </c>
      <c r="AM727" s="2">
        <f t="shared" si="102"/>
        <v>0</v>
      </c>
      <c r="AN727" s="2">
        <f t="shared" si="103"/>
        <v>0</v>
      </c>
      <c r="AO727" s="2">
        <f t="shared" si="104"/>
        <v>0</v>
      </c>
      <c r="AP727" s="2">
        <f t="shared" si="105"/>
        <v>0</v>
      </c>
      <c r="AQ727" s="25">
        <f t="shared" si="106"/>
        <v>0</v>
      </c>
    </row>
    <row r="728" spans="1:43">
      <c r="A728" s="24">
        <v>46133</v>
      </c>
      <c r="B728" s="23">
        <f t="shared" si="99"/>
        <v>46113</v>
      </c>
      <c r="C728" s="2" t="s">
        <v>66</v>
      </c>
      <c r="D728" s="2" t="s">
        <v>1451</v>
      </c>
      <c r="E728" s="2">
        <v>1636</v>
      </c>
      <c r="F728" s="2">
        <v>320</v>
      </c>
      <c r="G728" s="2">
        <v>314</v>
      </c>
      <c r="H728" s="2">
        <f t="shared" si="107"/>
        <v>6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6</v>
      </c>
      <c r="AI728" s="2"/>
      <c r="AJ728" s="2" t="s">
        <v>110</v>
      </c>
      <c r="AK728" s="2">
        <f t="shared" si="100"/>
        <v>0</v>
      </c>
      <c r="AL728" s="2">
        <f t="shared" si="101"/>
        <v>0</v>
      </c>
      <c r="AM728" s="2">
        <f t="shared" si="102"/>
        <v>0</v>
      </c>
      <c r="AN728" s="2">
        <f t="shared" si="103"/>
        <v>6</v>
      </c>
      <c r="AO728" s="2">
        <f t="shared" si="104"/>
        <v>0</v>
      </c>
      <c r="AP728" s="2">
        <f t="shared" si="105"/>
        <v>0</v>
      </c>
      <c r="AQ728" s="25">
        <f t="shared" si="106"/>
        <v>0</v>
      </c>
    </row>
    <row r="729" spans="1:43">
      <c r="A729" s="24">
        <v>46133</v>
      </c>
      <c r="B729" s="23">
        <f t="shared" si="99"/>
        <v>46113</v>
      </c>
      <c r="C729" s="2" t="s">
        <v>66</v>
      </c>
      <c r="D729" s="2" t="s">
        <v>1540</v>
      </c>
      <c r="E729" s="2">
        <v>1767</v>
      </c>
      <c r="F729" s="2">
        <v>70</v>
      </c>
      <c r="G729" s="2">
        <v>70</v>
      </c>
      <c r="H729" s="2">
        <f t="shared" si="107"/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/>
      <c r="AJ729" s="2" t="s">
        <v>110</v>
      </c>
      <c r="AK729" s="2">
        <f t="shared" si="100"/>
        <v>0</v>
      </c>
      <c r="AL729" s="2">
        <f t="shared" si="101"/>
        <v>0</v>
      </c>
      <c r="AM729" s="2">
        <f t="shared" si="102"/>
        <v>0</v>
      </c>
      <c r="AN729" s="2">
        <f t="shared" si="103"/>
        <v>0</v>
      </c>
      <c r="AO729" s="2">
        <f t="shared" si="104"/>
        <v>0</v>
      </c>
      <c r="AP729" s="2">
        <f t="shared" si="105"/>
        <v>0</v>
      </c>
      <c r="AQ729" s="25">
        <f t="shared" si="106"/>
        <v>0</v>
      </c>
    </row>
    <row r="730" spans="1:43">
      <c r="A730" s="24">
        <v>46133</v>
      </c>
      <c r="B730" s="23">
        <f t="shared" si="99"/>
        <v>46113</v>
      </c>
      <c r="C730" s="2" t="s">
        <v>97</v>
      </c>
      <c r="D730" s="2" t="s">
        <v>549</v>
      </c>
      <c r="E730" s="2">
        <v>1870</v>
      </c>
      <c r="F730" s="2">
        <v>130</v>
      </c>
      <c r="G730" s="2">
        <v>129</v>
      </c>
      <c r="H730" s="2">
        <f t="shared" si="107"/>
        <v>1</v>
      </c>
      <c r="I730" s="2">
        <v>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/>
      <c r="AJ730" s="2" t="s">
        <v>110</v>
      </c>
      <c r="AK730" s="2">
        <f t="shared" si="100"/>
        <v>1</v>
      </c>
      <c r="AL730" s="2">
        <f t="shared" si="101"/>
        <v>0</v>
      </c>
      <c r="AM730" s="2">
        <f t="shared" si="102"/>
        <v>0</v>
      </c>
      <c r="AN730" s="2">
        <f t="shared" si="103"/>
        <v>0</v>
      </c>
      <c r="AO730" s="2">
        <f t="shared" si="104"/>
        <v>0</v>
      </c>
      <c r="AP730" s="2">
        <f t="shared" si="105"/>
        <v>0</v>
      </c>
      <c r="AQ730" s="25">
        <f t="shared" si="106"/>
        <v>0</v>
      </c>
    </row>
    <row r="731" spans="1:43">
      <c r="A731" s="24">
        <v>46133</v>
      </c>
      <c r="B731" s="23">
        <f t="shared" si="99"/>
        <v>46113</v>
      </c>
      <c r="C731" s="2" t="s">
        <v>97</v>
      </c>
      <c r="D731" s="2" t="s">
        <v>549</v>
      </c>
      <c r="E731" s="2">
        <v>1870</v>
      </c>
      <c r="F731" s="2">
        <v>20</v>
      </c>
      <c r="G731" s="2">
        <v>20</v>
      </c>
      <c r="H731" s="2">
        <f t="shared" si="107"/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/>
      <c r="AJ731" s="2" t="s">
        <v>110</v>
      </c>
      <c r="AK731" s="2">
        <f t="shared" si="100"/>
        <v>0</v>
      </c>
      <c r="AL731" s="2">
        <f t="shared" si="101"/>
        <v>0</v>
      </c>
      <c r="AM731" s="2">
        <f t="shared" si="102"/>
        <v>0</v>
      </c>
      <c r="AN731" s="2">
        <f t="shared" si="103"/>
        <v>0</v>
      </c>
      <c r="AO731" s="2">
        <f t="shared" si="104"/>
        <v>0</v>
      </c>
      <c r="AP731" s="2">
        <f t="shared" si="105"/>
        <v>0</v>
      </c>
      <c r="AQ731" s="25">
        <f t="shared" si="106"/>
        <v>0</v>
      </c>
    </row>
    <row r="732" spans="1:43">
      <c r="A732" s="24">
        <v>46133</v>
      </c>
      <c r="B732" s="23">
        <f t="shared" si="99"/>
        <v>46113</v>
      </c>
      <c r="C732" s="2" t="s">
        <v>97</v>
      </c>
      <c r="D732" s="2" t="s">
        <v>1383</v>
      </c>
      <c r="E732" s="2">
        <v>1870</v>
      </c>
      <c r="F732" s="2">
        <v>160</v>
      </c>
      <c r="G732" s="2">
        <v>159</v>
      </c>
      <c r="H732" s="2">
        <f t="shared" si="107"/>
        <v>1</v>
      </c>
      <c r="I732" s="2">
        <v>1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/>
      <c r="AJ732" s="2" t="s">
        <v>110</v>
      </c>
      <c r="AK732" s="2">
        <f t="shared" si="100"/>
        <v>1</v>
      </c>
      <c r="AL732" s="2">
        <f t="shared" si="101"/>
        <v>0</v>
      </c>
      <c r="AM732" s="2">
        <f t="shared" si="102"/>
        <v>0</v>
      </c>
      <c r="AN732" s="2">
        <f t="shared" si="103"/>
        <v>0</v>
      </c>
      <c r="AO732" s="2">
        <f t="shared" si="104"/>
        <v>0</v>
      </c>
      <c r="AP732" s="2">
        <f t="shared" si="105"/>
        <v>0</v>
      </c>
      <c r="AQ732" s="25">
        <f t="shared" si="106"/>
        <v>0</v>
      </c>
    </row>
    <row r="733" spans="1:43">
      <c r="A733" s="24">
        <v>46133</v>
      </c>
      <c r="B733" s="23">
        <f t="shared" si="99"/>
        <v>46113</v>
      </c>
      <c r="C733" s="2" t="s">
        <v>97</v>
      </c>
      <c r="D733" s="2" t="s">
        <v>1383</v>
      </c>
      <c r="E733" s="2">
        <v>1870</v>
      </c>
      <c r="F733" s="2">
        <v>32</v>
      </c>
      <c r="G733" s="2">
        <v>32</v>
      </c>
      <c r="H733" s="2">
        <f t="shared" si="107"/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/>
      <c r="AJ733" s="2" t="s">
        <v>110</v>
      </c>
      <c r="AK733" s="2">
        <f t="shared" si="100"/>
        <v>0</v>
      </c>
      <c r="AL733" s="2">
        <f t="shared" si="101"/>
        <v>0</v>
      </c>
      <c r="AM733" s="2">
        <f t="shared" si="102"/>
        <v>0</v>
      </c>
      <c r="AN733" s="2">
        <f t="shared" si="103"/>
        <v>0</v>
      </c>
      <c r="AO733" s="2">
        <f t="shared" si="104"/>
        <v>0</v>
      </c>
      <c r="AP733" s="2">
        <f t="shared" si="105"/>
        <v>0</v>
      </c>
      <c r="AQ733" s="25">
        <f t="shared" si="106"/>
        <v>0</v>
      </c>
    </row>
    <row r="734" spans="1:43">
      <c r="A734" s="24">
        <v>46133</v>
      </c>
      <c r="B734" s="23">
        <f t="shared" si="99"/>
        <v>46113</v>
      </c>
      <c r="C734" s="2" t="s">
        <v>66</v>
      </c>
      <c r="D734" s="2" t="s">
        <v>434</v>
      </c>
      <c r="E734" s="2">
        <v>1767</v>
      </c>
      <c r="F734" s="2">
        <v>98</v>
      </c>
      <c r="G734" s="2">
        <v>95</v>
      </c>
      <c r="H734" s="2">
        <f t="shared" si="107"/>
        <v>3</v>
      </c>
      <c r="I734" s="2">
        <v>3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/>
      <c r="AJ734" s="2" t="s">
        <v>110</v>
      </c>
      <c r="AK734" s="2">
        <f t="shared" si="100"/>
        <v>3</v>
      </c>
      <c r="AL734" s="2">
        <f t="shared" si="101"/>
        <v>0</v>
      </c>
      <c r="AM734" s="2">
        <f t="shared" si="102"/>
        <v>0</v>
      </c>
      <c r="AN734" s="2">
        <f t="shared" si="103"/>
        <v>0</v>
      </c>
      <c r="AO734" s="2">
        <f t="shared" si="104"/>
        <v>0</v>
      </c>
      <c r="AP734" s="2">
        <f t="shared" si="105"/>
        <v>0</v>
      </c>
      <c r="AQ734" s="25">
        <f t="shared" si="106"/>
        <v>0</v>
      </c>
    </row>
    <row r="735" spans="1:43">
      <c r="A735" s="24">
        <v>46133</v>
      </c>
      <c r="B735" s="23">
        <f t="shared" si="99"/>
        <v>46113</v>
      </c>
      <c r="C735" s="2" t="s">
        <v>66</v>
      </c>
      <c r="D735" s="2" t="s">
        <v>434</v>
      </c>
      <c r="E735" s="2">
        <v>1767</v>
      </c>
      <c r="F735" s="2">
        <v>20</v>
      </c>
      <c r="G735" s="2">
        <v>20</v>
      </c>
      <c r="H735" s="2">
        <f t="shared" si="107"/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/>
      <c r="AJ735" s="2" t="s">
        <v>110</v>
      </c>
      <c r="AK735" s="2">
        <f t="shared" si="100"/>
        <v>0</v>
      </c>
      <c r="AL735" s="2">
        <f t="shared" si="101"/>
        <v>0</v>
      </c>
      <c r="AM735" s="2">
        <f t="shared" si="102"/>
        <v>0</v>
      </c>
      <c r="AN735" s="2">
        <f t="shared" si="103"/>
        <v>0</v>
      </c>
      <c r="AO735" s="2">
        <f t="shared" si="104"/>
        <v>0</v>
      </c>
      <c r="AP735" s="2">
        <f t="shared" si="105"/>
        <v>0</v>
      </c>
      <c r="AQ735" s="25">
        <f t="shared" si="106"/>
        <v>0</v>
      </c>
    </row>
    <row r="736" spans="1:43">
      <c r="A736" s="24">
        <v>46133</v>
      </c>
      <c r="B736" s="23">
        <f t="shared" si="99"/>
        <v>46113</v>
      </c>
      <c r="C736" s="2" t="s">
        <v>66</v>
      </c>
      <c r="D736" s="2" t="s">
        <v>572</v>
      </c>
      <c r="E736" s="2">
        <v>2644</v>
      </c>
      <c r="F736" s="2">
        <v>56</v>
      </c>
      <c r="G736" s="2">
        <v>56</v>
      </c>
      <c r="H736" s="2">
        <f t="shared" si="107"/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/>
      <c r="AJ736" s="2" t="s">
        <v>110</v>
      </c>
      <c r="AK736" s="2">
        <f t="shared" si="100"/>
        <v>0</v>
      </c>
      <c r="AL736" s="2">
        <f t="shared" si="101"/>
        <v>0</v>
      </c>
      <c r="AM736" s="2">
        <f t="shared" si="102"/>
        <v>0</v>
      </c>
      <c r="AN736" s="2">
        <f t="shared" si="103"/>
        <v>0</v>
      </c>
      <c r="AO736" s="2">
        <f t="shared" si="104"/>
        <v>0</v>
      </c>
      <c r="AP736" s="2">
        <f t="shared" si="105"/>
        <v>0</v>
      </c>
      <c r="AQ736" s="25">
        <f t="shared" si="106"/>
        <v>0</v>
      </c>
    </row>
    <row r="737" spans="1:43">
      <c r="A737" s="24">
        <v>46133</v>
      </c>
      <c r="B737" s="23">
        <f t="shared" si="99"/>
        <v>46113</v>
      </c>
      <c r="C737" s="2" t="s">
        <v>66</v>
      </c>
      <c r="D737" s="2" t="s">
        <v>539</v>
      </c>
      <c r="E737" s="2">
        <v>2642</v>
      </c>
      <c r="F737" s="2">
        <v>85</v>
      </c>
      <c r="G737" s="2">
        <v>84</v>
      </c>
      <c r="H737" s="2">
        <f t="shared" si="107"/>
        <v>1</v>
      </c>
      <c r="I737" s="2">
        <v>1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/>
      <c r="AJ737" s="2" t="s">
        <v>110</v>
      </c>
      <c r="AK737" s="2">
        <f t="shared" si="100"/>
        <v>1</v>
      </c>
      <c r="AL737" s="2">
        <f t="shared" si="101"/>
        <v>0</v>
      </c>
      <c r="AM737" s="2">
        <f t="shared" si="102"/>
        <v>0</v>
      </c>
      <c r="AN737" s="2">
        <f t="shared" si="103"/>
        <v>0</v>
      </c>
      <c r="AO737" s="2">
        <f t="shared" si="104"/>
        <v>0</v>
      </c>
      <c r="AP737" s="2">
        <f t="shared" si="105"/>
        <v>0</v>
      </c>
      <c r="AQ737" s="25">
        <f t="shared" si="106"/>
        <v>0</v>
      </c>
    </row>
    <row r="738" spans="1:43">
      <c r="A738" s="24">
        <v>46133</v>
      </c>
      <c r="B738" s="23">
        <f t="shared" si="99"/>
        <v>46113</v>
      </c>
      <c r="C738" s="2" t="s">
        <v>66</v>
      </c>
      <c r="D738" s="2" t="s">
        <v>434</v>
      </c>
      <c r="E738" s="2">
        <v>1767</v>
      </c>
      <c r="F738" s="2">
        <v>9</v>
      </c>
      <c r="G738" s="2">
        <v>9</v>
      </c>
      <c r="H738" s="2">
        <f t="shared" si="107"/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/>
      <c r="AJ738" s="2" t="s">
        <v>110</v>
      </c>
      <c r="AK738" s="2">
        <f t="shared" si="100"/>
        <v>0</v>
      </c>
      <c r="AL738" s="2">
        <f t="shared" si="101"/>
        <v>0</v>
      </c>
      <c r="AM738" s="2">
        <f t="shared" si="102"/>
        <v>0</v>
      </c>
      <c r="AN738" s="2">
        <f t="shared" si="103"/>
        <v>0</v>
      </c>
      <c r="AO738" s="2">
        <f t="shared" si="104"/>
        <v>0</v>
      </c>
      <c r="AP738" s="2">
        <f t="shared" si="105"/>
        <v>0</v>
      </c>
      <c r="AQ738" s="25">
        <f t="shared" si="106"/>
        <v>0</v>
      </c>
    </row>
    <row r="739" spans="1:43">
      <c r="A739" s="24">
        <v>46133</v>
      </c>
      <c r="B739" s="23">
        <f t="shared" si="99"/>
        <v>46113</v>
      </c>
      <c r="C739" s="2" t="s">
        <v>160</v>
      </c>
      <c r="D739" s="2" t="s">
        <v>503</v>
      </c>
      <c r="E739" s="2">
        <v>1805</v>
      </c>
      <c r="F739" s="2">
        <v>59</v>
      </c>
      <c r="G739" s="2">
        <v>59</v>
      </c>
      <c r="H739" s="2">
        <f t="shared" si="107"/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/>
      <c r="AJ739" s="2" t="s">
        <v>99</v>
      </c>
      <c r="AK739" s="2">
        <f t="shared" si="100"/>
        <v>0</v>
      </c>
      <c r="AL739" s="2">
        <f t="shared" si="101"/>
        <v>0</v>
      </c>
      <c r="AM739" s="2">
        <f t="shared" si="102"/>
        <v>0</v>
      </c>
      <c r="AN739" s="2">
        <f t="shared" si="103"/>
        <v>0</v>
      </c>
      <c r="AO739" s="2">
        <f t="shared" si="104"/>
        <v>0</v>
      </c>
      <c r="AP739" s="2">
        <f t="shared" si="105"/>
        <v>0</v>
      </c>
      <c r="AQ739" s="25">
        <f t="shared" si="106"/>
        <v>0</v>
      </c>
    </row>
    <row r="740" spans="1:43">
      <c r="A740" s="24">
        <v>46133</v>
      </c>
      <c r="B740" s="23">
        <f t="shared" si="99"/>
        <v>46113</v>
      </c>
      <c r="C740" s="2" t="s">
        <v>133</v>
      </c>
      <c r="D740" s="2" t="s">
        <v>1482</v>
      </c>
      <c r="E740" s="2">
        <v>95225</v>
      </c>
      <c r="F740" s="2">
        <v>18</v>
      </c>
      <c r="G740" s="2">
        <v>17</v>
      </c>
      <c r="H740" s="2">
        <f t="shared" si="107"/>
        <v>1</v>
      </c>
      <c r="I740" s="2">
        <v>1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/>
      <c r="AJ740" s="2" t="s">
        <v>1566</v>
      </c>
      <c r="AK740" s="2">
        <f t="shared" si="100"/>
        <v>1</v>
      </c>
      <c r="AL740" s="2">
        <f t="shared" si="101"/>
        <v>0</v>
      </c>
      <c r="AM740" s="2">
        <f t="shared" si="102"/>
        <v>0</v>
      </c>
      <c r="AN740" s="2">
        <f t="shared" si="103"/>
        <v>0</v>
      </c>
      <c r="AO740" s="2">
        <f t="shared" si="104"/>
        <v>0</v>
      </c>
      <c r="AP740" s="2">
        <f t="shared" si="105"/>
        <v>0</v>
      </c>
      <c r="AQ740" s="25">
        <f t="shared" si="106"/>
        <v>0</v>
      </c>
    </row>
    <row r="741" spans="1:43">
      <c r="A741" s="24">
        <v>46133</v>
      </c>
      <c r="B741" s="23">
        <f t="shared" si="99"/>
        <v>46113</v>
      </c>
      <c r="C741" s="2" t="s">
        <v>133</v>
      </c>
      <c r="D741" s="2" t="s">
        <v>1493</v>
      </c>
      <c r="E741" s="2">
        <v>95232</v>
      </c>
      <c r="F741" s="2">
        <v>76</v>
      </c>
      <c r="G741" s="2">
        <v>61</v>
      </c>
      <c r="H741" s="2">
        <f t="shared" si="107"/>
        <v>15</v>
      </c>
      <c r="I741" s="2">
        <v>9</v>
      </c>
      <c r="J741" s="2">
        <v>0</v>
      </c>
      <c r="K741" s="2">
        <v>0</v>
      </c>
      <c r="L741" s="2">
        <v>0</v>
      </c>
      <c r="M741" s="2">
        <v>6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/>
      <c r="AJ741" s="2" t="s">
        <v>1566</v>
      </c>
      <c r="AK741" s="2">
        <f t="shared" si="100"/>
        <v>9</v>
      </c>
      <c r="AL741" s="2">
        <f t="shared" si="101"/>
        <v>6</v>
      </c>
      <c r="AM741" s="2">
        <f t="shared" si="102"/>
        <v>0</v>
      </c>
      <c r="AN741" s="2">
        <f t="shared" si="103"/>
        <v>0</v>
      </c>
      <c r="AO741" s="2">
        <f t="shared" si="104"/>
        <v>0</v>
      </c>
      <c r="AP741" s="2">
        <f t="shared" si="105"/>
        <v>0</v>
      </c>
      <c r="AQ741" s="25">
        <f t="shared" si="106"/>
        <v>0</v>
      </c>
    </row>
    <row r="742" spans="1:43">
      <c r="A742" s="24">
        <v>46133</v>
      </c>
      <c r="B742" s="23">
        <f t="shared" si="99"/>
        <v>46113</v>
      </c>
      <c r="C742" s="2" t="s">
        <v>55</v>
      </c>
      <c r="D742" s="2" t="s">
        <v>532</v>
      </c>
      <c r="E742" s="2">
        <v>2606</v>
      </c>
      <c r="F742" s="2">
        <v>261</v>
      </c>
      <c r="G742" s="2">
        <v>250</v>
      </c>
      <c r="H742" s="2">
        <f t="shared" si="107"/>
        <v>11</v>
      </c>
      <c r="I742" s="2">
        <v>3</v>
      </c>
      <c r="J742" s="2">
        <v>8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/>
      <c r="AJ742" s="2" t="s">
        <v>1566</v>
      </c>
      <c r="AK742" s="2">
        <f t="shared" si="100"/>
        <v>3</v>
      </c>
      <c r="AL742" s="2">
        <f t="shared" si="101"/>
        <v>8</v>
      </c>
      <c r="AM742" s="2">
        <f t="shared" si="102"/>
        <v>0</v>
      </c>
      <c r="AN742" s="2">
        <f t="shared" si="103"/>
        <v>0</v>
      </c>
      <c r="AO742" s="2">
        <f t="shared" si="104"/>
        <v>0</v>
      </c>
      <c r="AP742" s="2">
        <f t="shared" si="105"/>
        <v>0</v>
      </c>
      <c r="AQ742" s="25">
        <f t="shared" si="106"/>
        <v>0</v>
      </c>
    </row>
    <row r="743" spans="1:43">
      <c r="A743" s="24">
        <v>46133</v>
      </c>
      <c r="B743" s="23">
        <f t="shared" si="99"/>
        <v>46113</v>
      </c>
      <c r="C743" s="2" t="s">
        <v>55</v>
      </c>
      <c r="D743" s="2" t="s">
        <v>469</v>
      </c>
      <c r="E743" s="2">
        <v>2606</v>
      </c>
      <c r="F743" s="2">
        <v>302</v>
      </c>
      <c r="G743" s="2">
        <v>261</v>
      </c>
      <c r="H743" s="2">
        <f t="shared" si="107"/>
        <v>41</v>
      </c>
      <c r="I743" s="2">
        <v>6</v>
      </c>
      <c r="J743" s="2">
        <v>35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/>
      <c r="AJ743" s="2" t="s">
        <v>1566</v>
      </c>
      <c r="AK743" s="2">
        <f t="shared" si="100"/>
        <v>6</v>
      </c>
      <c r="AL743" s="2">
        <f t="shared" si="101"/>
        <v>35</v>
      </c>
      <c r="AM743" s="2">
        <f t="shared" si="102"/>
        <v>0</v>
      </c>
      <c r="AN743" s="2">
        <f t="shared" si="103"/>
        <v>0</v>
      </c>
      <c r="AO743" s="2">
        <f t="shared" si="104"/>
        <v>0</v>
      </c>
      <c r="AP743" s="2">
        <f t="shared" si="105"/>
        <v>0</v>
      </c>
      <c r="AQ743" s="25">
        <f t="shared" si="106"/>
        <v>0</v>
      </c>
    </row>
    <row r="744" spans="1:43">
      <c r="A744" s="24">
        <v>46133</v>
      </c>
      <c r="B744" s="23">
        <f t="shared" si="99"/>
        <v>46113</v>
      </c>
      <c r="C744" s="2" t="s">
        <v>1484</v>
      </c>
      <c r="D744" s="2" t="s">
        <v>1540</v>
      </c>
      <c r="E744" s="2">
        <v>1767</v>
      </c>
      <c r="F744" s="2">
        <v>138</v>
      </c>
      <c r="G744" s="2">
        <v>138</v>
      </c>
      <c r="H744" s="2">
        <f t="shared" si="107"/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/>
      <c r="AJ744" s="2" t="s">
        <v>1566</v>
      </c>
      <c r="AK744" s="2">
        <f t="shared" si="100"/>
        <v>0</v>
      </c>
      <c r="AL744" s="2">
        <f t="shared" si="101"/>
        <v>0</v>
      </c>
      <c r="AM744" s="2">
        <f t="shared" si="102"/>
        <v>0</v>
      </c>
      <c r="AN744" s="2">
        <f t="shared" si="103"/>
        <v>0</v>
      </c>
      <c r="AO744" s="2">
        <f t="shared" si="104"/>
        <v>0</v>
      </c>
      <c r="AP744" s="2">
        <f t="shared" si="105"/>
        <v>0</v>
      </c>
      <c r="AQ744" s="25">
        <f t="shared" si="106"/>
        <v>0</v>
      </c>
    </row>
    <row r="745" spans="1:43">
      <c r="A745" s="24">
        <v>46133</v>
      </c>
      <c r="B745" s="23">
        <f t="shared" si="99"/>
        <v>46113</v>
      </c>
      <c r="C745" s="2" t="s">
        <v>133</v>
      </c>
      <c r="D745" s="2" t="s">
        <v>468</v>
      </c>
      <c r="E745" s="2">
        <v>2670</v>
      </c>
      <c r="F745" s="2">
        <v>38</v>
      </c>
      <c r="G745" s="2">
        <v>33</v>
      </c>
      <c r="H745" s="2">
        <f t="shared" si="107"/>
        <v>5</v>
      </c>
      <c r="I745" s="2">
        <v>1</v>
      </c>
      <c r="J745" s="2">
        <v>0</v>
      </c>
      <c r="K745" s="2">
        <v>0</v>
      </c>
      <c r="L745" s="2">
        <v>4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/>
      <c r="AJ745" s="2" t="s">
        <v>1566</v>
      </c>
      <c r="AK745" s="2">
        <f t="shared" si="100"/>
        <v>1</v>
      </c>
      <c r="AL745" s="2">
        <f t="shared" si="101"/>
        <v>4</v>
      </c>
      <c r="AM745" s="2">
        <f t="shared" si="102"/>
        <v>0</v>
      </c>
      <c r="AN745" s="2">
        <f t="shared" si="103"/>
        <v>0</v>
      </c>
      <c r="AO745" s="2">
        <f t="shared" si="104"/>
        <v>0</v>
      </c>
      <c r="AP745" s="2">
        <f t="shared" si="105"/>
        <v>0</v>
      </c>
      <c r="AQ745" s="25">
        <f t="shared" si="106"/>
        <v>0</v>
      </c>
    </row>
    <row r="746" spans="1:43">
      <c r="A746" s="24">
        <v>46133</v>
      </c>
      <c r="B746" s="23">
        <f t="shared" si="99"/>
        <v>46113</v>
      </c>
      <c r="C746" s="2" t="s">
        <v>133</v>
      </c>
      <c r="D746" s="2" t="s">
        <v>1482</v>
      </c>
      <c r="E746" s="2">
        <v>95225</v>
      </c>
      <c r="F746" s="2">
        <v>6</v>
      </c>
      <c r="G746" s="2">
        <v>6</v>
      </c>
      <c r="H746" s="2">
        <f t="shared" si="107"/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/>
      <c r="AJ746" s="2" t="s">
        <v>1566</v>
      </c>
      <c r="AK746" s="2">
        <f t="shared" si="100"/>
        <v>0</v>
      </c>
      <c r="AL746" s="2">
        <f t="shared" si="101"/>
        <v>0</v>
      </c>
      <c r="AM746" s="2">
        <f t="shared" si="102"/>
        <v>0</v>
      </c>
      <c r="AN746" s="2">
        <f t="shared" si="103"/>
        <v>0</v>
      </c>
      <c r="AO746" s="2">
        <f t="shared" si="104"/>
        <v>0</v>
      </c>
      <c r="AP746" s="2">
        <f t="shared" si="105"/>
        <v>0</v>
      </c>
      <c r="AQ746" s="25">
        <f t="shared" si="106"/>
        <v>0</v>
      </c>
    </row>
    <row r="747" spans="1:43">
      <c r="A747" s="24">
        <v>46133</v>
      </c>
      <c r="B747" s="23">
        <f t="shared" si="99"/>
        <v>46113</v>
      </c>
      <c r="C747" s="2" t="s">
        <v>133</v>
      </c>
      <c r="D747" s="2" t="s">
        <v>468</v>
      </c>
      <c r="E747" s="2">
        <v>2670</v>
      </c>
      <c r="F747" s="2">
        <v>32</v>
      </c>
      <c r="G747" s="2">
        <v>32</v>
      </c>
      <c r="H747" s="2">
        <f t="shared" si="107"/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/>
      <c r="AJ747" s="2" t="s">
        <v>1566</v>
      </c>
      <c r="AK747" s="2">
        <f t="shared" si="100"/>
        <v>0</v>
      </c>
      <c r="AL747" s="2">
        <f t="shared" si="101"/>
        <v>0</v>
      </c>
      <c r="AM747" s="2">
        <f t="shared" si="102"/>
        <v>0</v>
      </c>
      <c r="AN747" s="2">
        <f t="shared" si="103"/>
        <v>0</v>
      </c>
      <c r="AO747" s="2">
        <f t="shared" si="104"/>
        <v>0</v>
      </c>
      <c r="AP747" s="2">
        <f t="shared" si="105"/>
        <v>0</v>
      </c>
      <c r="AQ747" s="25">
        <f t="shared" si="106"/>
        <v>0</v>
      </c>
    </row>
    <row r="748" spans="1:43">
      <c r="A748" s="24">
        <v>46133</v>
      </c>
      <c r="B748" s="23">
        <f t="shared" si="99"/>
        <v>46113</v>
      </c>
      <c r="C748" s="2" t="s">
        <v>55</v>
      </c>
      <c r="D748" s="2" t="s">
        <v>469</v>
      </c>
      <c r="E748" s="2">
        <v>2606</v>
      </c>
      <c r="F748" s="2">
        <v>32</v>
      </c>
      <c r="G748" s="2">
        <v>20</v>
      </c>
      <c r="H748" s="2">
        <f t="shared" si="107"/>
        <v>12</v>
      </c>
      <c r="I748" s="2">
        <v>0</v>
      </c>
      <c r="J748" s="2">
        <v>12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/>
      <c r="AJ748" s="2" t="s">
        <v>1566</v>
      </c>
      <c r="AK748" s="2">
        <f t="shared" si="100"/>
        <v>0</v>
      </c>
      <c r="AL748" s="2">
        <f t="shared" si="101"/>
        <v>12</v>
      </c>
      <c r="AM748" s="2">
        <f t="shared" si="102"/>
        <v>0</v>
      </c>
      <c r="AN748" s="2">
        <f t="shared" si="103"/>
        <v>0</v>
      </c>
      <c r="AO748" s="2">
        <f t="shared" si="104"/>
        <v>0</v>
      </c>
      <c r="AP748" s="2">
        <f t="shared" si="105"/>
        <v>0</v>
      </c>
      <c r="AQ748" s="25">
        <f t="shared" si="106"/>
        <v>0</v>
      </c>
    </row>
    <row r="749" spans="1:43">
      <c r="A749" s="24">
        <v>46133</v>
      </c>
      <c r="B749" s="23">
        <f t="shared" si="99"/>
        <v>46113</v>
      </c>
      <c r="C749" s="2" t="s">
        <v>95</v>
      </c>
      <c r="D749" s="2" t="s">
        <v>1418</v>
      </c>
      <c r="E749" s="2">
        <v>1698</v>
      </c>
      <c r="F749" s="2">
        <v>20</v>
      </c>
      <c r="G749" s="2">
        <v>19</v>
      </c>
      <c r="H749" s="2">
        <f t="shared" si="107"/>
        <v>1</v>
      </c>
      <c r="I749" s="2">
        <v>1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/>
      <c r="AJ749" s="2" t="s">
        <v>1567</v>
      </c>
      <c r="AK749" s="2">
        <f t="shared" si="100"/>
        <v>1</v>
      </c>
      <c r="AL749" s="2">
        <f t="shared" si="101"/>
        <v>0</v>
      </c>
      <c r="AM749" s="2">
        <f t="shared" si="102"/>
        <v>0</v>
      </c>
      <c r="AN749" s="2">
        <f t="shared" si="103"/>
        <v>0</v>
      </c>
      <c r="AO749" s="2">
        <f t="shared" si="104"/>
        <v>0</v>
      </c>
      <c r="AP749" s="2">
        <f t="shared" si="105"/>
        <v>0</v>
      </c>
      <c r="AQ749" s="25">
        <f t="shared" si="106"/>
        <v>0</v>
      </c>
    </row>
    <row r="750" spans="1:43">
      <c r="A750" s="24">
        <v>46133</v>
      </c>
      <c r="B750" s="23">
        <f t="shared" si="99"/>
        <v>46113</v>
      </c>
      <c r="C750" s="2" t="s">
        <v>95</v>
      </c>
      <c r="D750" s="2" t="s">
        <v>475</v>
      </c>
      <c r="E750" s="2">
        <v>2727</v>
      </c>
      <c r="F750" s="2">
        <v>457</v>
      </c>
      <c r="G750" s="2">
        <v>446</v>
      </c>
      <c r="H750" s="2">
        <f t="shared" si="107"/>
        <v>11</v>
      </c>
      <c r="I750" s="2">
        <v>6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1</v>
      </c>
      <c r="R750" s="2">
        <v>4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/>
      <c r="AJ750" s="2" t="s">
        <v>1567</v>
      </c>
      <c r="AK750" s="2">
        <f t="shared" si="100"/>
        <v>6</v>
      </c>
      <c r="AL750" s="2">
        <f t="shared" si="101"/>
        <v>5</v>
      </c>
      <c r="AM750" s="2">
        <f t="shared" si="102"/>
        <v>0</v>
      </c>
      <c r="AN750" s="2">
        <f t="shared" si="103"/>
        <v>0</v>
      </c>
      <c r="AO750" s="2">
        <f t="shared" si="104"/>
        <v>0</v>
      </c>
      <c r="AP750" s="2">
        <f t="shared" si="105"/>
        <v>0</v>
      </c>
      <c r="AQ750" s="25">
        <f t="shared" si="106"/>
        <v>0</v>
      </c>
    </row>
    <row r="751" spans="1:43">
      <c r="A751" s="24">
        <v>46134</v>
      </c>
      <c r="B751" s="23">
        <f t="shared" si="99"/>
        <v>46113</v>
      </c>
      <c r="C751" s="2" t="s">
        <v>72</v>
      </c>
      <c r="D751" s="2" t="s">
        <v>523</v>
      </c>
      <c r="E751" s="2">
        <v>2648</v>
      </c>
      <c r="F751" s="2">
        <v>428</v>
      </c>
      <c r="G751" s="2">
        <v>424</v>
      </c>
      <c r="H751" s="2">
        <f t="shared" si="107"/>
        <v>4</v>
      </c>
      <c r="I751" s="2">
        <v>4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/>
      <c r="AJ751" s="2" t="s">
        <v>103</v>
      </c>
      <c r="AK751" s="2">
        <f t="shared" si="100"/>
        <v>4</v>
      </c>
      <c r="AL751" s="2">
        <f t="shared" si="101"/>
        <v>0</v>
      </c>
      <c r="AM751" s="2">
        <f t="shared" si="102"/>
        <v>0</v>
      </c>
      <c r="AN751" s="2">
        <f t="shared" si="103"/>
        <v>0</v>
      </c>
      <c r="AO751" s="2">
        <f t="shared" si="104"/>
        <v>0</v>
      </c>
      <c r="AP751" s="2">
        <f t="shared" si="105"/>
        <v>0</v>
      </c>
      <c r="AQ751" s="25">
        <f t="shared" si="106"/>
        <v>0</v>
      </c>
    </row>
    <row r="752" spans="1:43">
      <c r="A752" s="24">
        <v>46134</v>
      </c>
      <c r="B752" s="23">
        <f t="shared" si="99"/>
        <v>46113</v>
      </c>
      <c r="C752" s="2" t="s">
        <v>72</v>
      </c>
      <c r="D752" s="2" t="s">
        <v>429</v>
      </c>
      <c r="E752" s="2">
        <v>2576</v>
      </c>
      <c r="F752" s="2">
        <v>27</v>
      </c>
      <c r="G752" s="2">
        <v>26</v>
      </c>
      <c r="H752" s="2">
        <f t="shared" si="107"/>
        <v>1</v>
      </c>
      <c r="I752" s="2">
        <v>1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/>
      <c r="AJ752" s="2" t="s">
        <v>103</v>
      </c>
      <c r="AK752" s="2">
        <f t="shared" si="100"/>
        <v>1</v>
      </c>
      <c r="AL752" s="2">
        <f t="shared" si="101"/>
        <v>0</v>
      </c>
      <c r="AM752" s="2">
        <f t="shared" si="102"/>
        <v>0</v>
      </c>
      <c r="AN752" s="2">
        <f t="shared" si="103"/>
        <v>0</v>
      </c>
      <c r="AO752" s="2">
        <f t="shared" si="104"/>
        <v>0</v>
      </c>
      <c r="AP752" s="2">
        <f t="shared" si="105"/>
        <v>0</v>
      </c>
      <c r="AQ752" s="25">
        <f t="shared" si="106"/>
        <v>0</v>
      </c>
    </row>
    <row r="753" spans="1:43">
      <c r="A753" s="24">
        <v>46134</v>
      </c>
      <c r="B753" s="23">
        <f t="shared" si="99"/>
        <v>46113</v>
      </c>
      <c r="C753" s="2" t="s">
        <v>72</v>
      </c>
      <c r="D753" s="2" t="s">
        <v>436</v>
      </c>
      <c r="E753" s="2">
        <v>2648</v>
      </c>
      <c r="F753" s="2">
        <v>60</v>
      </c>
      <c r="G753" s="2">
        <v>60</v>
      </c>
      <c r="H753" s="2">
        <f t="shared" si="107"/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/>
      <c r="AJ753" s="2" t="s">
        <v>103</v>
      </c>
      <c r="AK753" s="2">
        <f t="shared" si="100"/>
        <v>0</v>
      </c>
      <c r="AL753" s="2">
        <f t="shared" si="101"/>
        <v>0</v>
      </c>
      <c r="AM753" s="2">
        <f t="shared" si="102"/>
        <v>0</v>
      </c>
      <c r="AN753" s="2">
        <f t="shared" si="103"/>
        <v>0</v>
      </c>
      <c r="AO753" s="2">
        <f t="shared" si="104"/>
        <v>0</v>
      </c>
      <c r="AP753" s="2">
        <f t="shared" si="105"/>
        <v>0</v>
      </c>
      <c r="AQ753" s="25">
        <f t="shared" si="106"/>
        <v>0</v>
      </c>
    </row>
    <row r="754" spans="1:43">
      <c r="A754" s="24">
        <v>46134</v>
      </c>
      <c r="B754" s="23">
        <f t="shared" si="99"/>
        <v>46113</v>
      </c>
      <c r="C754" s="2" t="s">
        <v>72</v>
      </c>
      <c r="D754" s="2" t="s">
        <v>436</v>
      </c>
      <c r="E754" s="2">
        <v>2648</v>
      </c>
      <c r="F754" s="2">
        <v>20</v>
      </c>
      <c r="G754" s="2">
        <v>20</v>
      </c>
      <c r="H754" s="2">
        <f t="shared" si="107"/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/>
      <c r="AJ754" s="2" t="s">
        <v>103</v>
      </c>
      <c r="AK754" s="2">
        <f t="shared" si="100"/>
        <v>0</v>
      </c>
      <c r="AL754" s="2">
        <f t="shared" si="101"/>
        <v>0</v>
      </c>
      <c r="AM754" s="2">
        <f t="shared" si="102"/>
        <v>0</v>
      </c>
      <c r="AN754" s="2">
        <f t="shared" si="103"/>
        <v>0</v>
      </c>
      <c r="AO754" s="2">
        <f t="shared" si="104"/>
        <v>0</v>
      </c>
      <c r="AP754" s="2">
        <f t="shared" si="105"/>
        <v>0</v>
      </c>
      <c r="AQ754" s="25">
        <f t="shared" si="106"/>
        <v>0</v>
      </c>
    </row>
    <row r="755" spans="1:43">
      <c r="A755" s="24">
        <v>46134</v>
      </c>
      <c r="B755" s="23">
        <f t="shared" si="99"/>
        <v>46113</v>
      </c>
      <c r="C755" s="2" t="s">
        <v>72</v>
      </c>
      <c r="D755" s="2" t="s">
        <v>496</v>
      </c>
      <c r="E755" s="2">
        <v>2648</v>
      </c>
      <c r="F755" s="2">
        <v>96</v>
      </c>
      <c r="G755" s="2">
        <v>95</v>
      </c>
      <c r="H755" s="2">
        <f t="shared" si="107"/>
        <v>1</v>
      </c>
      <c r="I755" s="2">
        <v>1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/>
      <c r="AJ755" s="2" t="s">
        <v>103</v>
      </c>
      <c r="AK755" s="2">
        <f t="shared" si="100"/>
        <v>1</v>
      </c>
      <c r="AL755" s="2">
        <f t="shared" si="101"/>
        <v>0</v>
      </c>
      <c r="AM755" s="2">
        <f t="shared" si="102"/>
        <v>0</v>
      </c>
      <c r="AN755" s="2">
        <f t="shared" si="103"/>
        <v>0</v>
      </c>
      <c r="AO755" s="2">
        <f t="shared" si="104"/>
        <v>0</v>
      </c>
      <c r="AP755" s="2">
        <f t="shared" si="105"/>
        <v>0</v>
      </c>
      <c r="AQ755" s="25">
        <f t="shared" si="106"/>
        <v>0</v>
      </c>
    </row>
    <row r="756" spans="1:43">
      <c r="A756" s="24">
        <v>46134</v>
      </c>
      <c r="B756" s="23">
        <f t="shared" si="99"/>
        <v>46113</v>
      </c>
      <c r="C756" s="2" t="s">
        <v>72</v>
      </c>
      <c r="D756" s="2" t="s">
        <v>496</v>
      </c>
      <c r="E756" s="2">
        <v>2648</v>
      </c>
      <c r="F756" s="2">
        <v>50</v>
      </c>
      <c r="G756" s="2">
        <v>50</v>
      </c>
      <c r="H756" s="2">
        <f t="shared" si="107"/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/>
      <c r="AJ756" s="2" t="s">
        <v>103</v>
      </c>
      <c r="AK756" s="2">
        <f t="shared" si="100"/>
        <v>0</v>
      </c>
      <c r="AL756" s="2">
        <f t="shared" si="101"/>
        <v>0</v>
      </c>
      <c r="AM756" s="2">
        <f t="shared" si="102"/>
        <v>0</v>
      </c>
      <c r="AN756" s="2">
        <f t="shared" si="103"/>
        <v>0</v>
      </c>
      <c r="AO756" s="2">
        <f t="shared" si="104"/>
        <v>0</v>
      </c>
      <c r="AP756" s="2">
        <f t="shared" si="105"/>
        <v>0</v>
      </c>
      <c r="AQ756" s="25">
        <f t="shared" si="106"/>
        <v>0</v>
      </c>
    </row>
    <row r="757" spans="1:43">
      <c r="A757" s="24">
        <v>46134</v>
      </c>
      <c r="B757" s="23">
        <f t="shared" si="99"/>
        <v>46113</v>
      </c>
      <c r="C757" s="2" t="s">
        <v>72</v>
      </c>
      <c r="D757" s="2" t="s">
        <v>573</v>
      </c>
      <c r="E757" s="2">
        <v>2455</v>
      </c>
      <c r="F757" s="2">
        <v>10</v>
      </c>
      <c r="G757" s="2">
        <v>3</v>
      </c>
      <c r="H757" s="2">
        <f t="shared" si="107"/>
        <v>7</v>
      </c>
      <c r="I757" s="2">
        <v>0</v>
      </c>
      <c r="J757" s="2">
        <v>0</v>
      </c>
      <c r="K757" s="2">
        <v>0</v>
      </c>
      <c r="L757" s="2">
        <v>0</v>
      </c>
      <c r="M757" s="2">
        <v>7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/>
      <c r="AJ757" s="2" t="s">
        <v>80</v>
      </c>
      <c r="AK757" s="2">
        <f t="shared" si="100"/>
        <v>0</v>
      </c>
      <c r="AL757" s="2">
        <f t="shared" si="101"/>
        <v>7</v>
      </c>
      <c r="AM757" s="2">
        <f t="shared" si="102"/>
        <v>0</v>
      </c>
      <c r="AN757" s="2">
        <f t="shared" si="103"/>
        <v>0</v>
      </c>
      <c r="AO757" s="2">
        <f t="shared" si="104"/>
        <v>0</v>
      </c>
      <c r="AP757" s="2">
        <f t="shared" si="105"/>
        <v>0</v>
      </c>
      <c r="AQ757" s="25">
        <f t="shared" si="106"/>
        <v>0</v>
      </c>
    </row>
    <row r="758" spans="1:43">
      <c r="A758" s="24">
        <v>46134</v>
      </c>
      <c r="B758" s="23">
        <f t="shared" si="99"/>
        <v>46113</v>
      </c>
      <c r="C758" s="2" t="s">
        <v>95</v>
      </c>
      <c r="D758" s="2" t="s">
        <v>568</v>
      </c>
      <c r="E758" s="2">
        <v>2727</v>
      </c>
      <c r="F758" s="2">
        <v>24</v>
      </c>
      <c r="G758" s="2">
        <v>20</v>
      </c>
      <c r="H758" s="2">
        <f t="shared" si="107"/>
        <v>4</v>
      </c>
      <c r="I758" s="2">
        <v>1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3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/>
      <c r="AJ758" s="2" t="s">
        <v>1567</v>
      </c>
      <c r="AK758" s="2">
        <f t="shared" si="100"/>
        <v>1</v>
      </c>
      <c r="AL758" s="2">
        <f t="shared" si="101"/>
        <v>3</v>
      </c>
      <c r="AM758" s="2">
        <f t="shared" si="102"/>
        <v>0</v>
      </c>
      <c r="AN758" s="2">
        <f t="shared" si="103"/>
        <v>0</v>
      </c>
      <c r="AO758" s="2">
        <f t="shared" si="104"/>
        <v>0</v>
      </c>
      <c r="AP758" s="2">
        <f t="shared" si="105"/>
        <v>0</v>
      </c>
      <c r="AQ758" s="25">
        <f t="shared" si="106"/>
        <v>0</v>
      </c>
    </row>
    <row r="759" spans="1:43">
      <c r="A759" s="24">
        <v>46134</v>
      </c>
      <c r="B759" s="23">
        <f t="shared" si="99"/>
        <v>46113</v>
      </c>
      <c r="C759" s="2" t="s">
        <v>95</v>
      </c>
      <c r="D759" s="2" t="s">
        <v>1540</v>
      </c>
      <c r="E759" s="2">
        <v>1767</v>
      </c>
      <c r="F759" s="2">
        <v>647</v>
      </c>
      <c r="G759" s="2">
        <v>635</v>
      </c>
      <c r="H759" s="2">
        <f t="shared" si="107"/>
        <v>12</v>
      </c>
      <c r="I759" s="2">
        <v>12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/>
      <c r="AJ759" s="2" t="s">
        <v>77</v>
      </c>
      <c r="AK759" s="2">
        <f t="shared" si="100"/>
        <v>12</v>
      </c>
      <c r="AL759" s="2">
        <f t="shared" si="101"/>
        <v>0</v>
      </c>
      <c r="AM759" s="2">
        <f t="shared" si="102"/>
        <v>0</v>
      </c>
      <c r="AN759" s="2">
        <f t="shared" si="103"/>
        <v>0</v>
      </c>
      <c r="AO759" s="2">
        <f t="shared" si="104"/>
        <v>0</v>
      </c>
      <c r="AP759" s="2">
        <f t="shared" si="105"/>
        <v>0</v>
      </c>
      <c r="AQ759" s="25">
        <f t="shared" si="106"/>
        <v>0</v>
      </c>
    </row>
    <row r="760" spans="1:43">
      <c r="A760" s="24">
        <v>46134</v>
      </c>
      <c r="B760" s="23">
        <f t="shared" si="99"/>
        <v>46113</v>
      </c>
      <c r="C760" s="2" t="s">
        <v>55</v>
      </c>
      <c r="D760" s="2" t="s">
        <v>1540</v>
      </c>
      <c r="E760" s="2">
        <v>1767</v>
      </c>
      <c r="F760" s="2">
        <v>998</v>
      </c>
      <c r="G760" s="2">
        <v>979</v>
      </c>
      <c r="H760" s="2">
        <f t="shared" si="107"/>
        <v>19</v>
      </c>
      <c r="I760" s="2">
        <v>13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1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5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/>
      <c r="AJ760" s="2" t="s">
        <v>1566</v>
      </c>
      <c r="AK760" s="2">
        <f t="shared" si="100"/>
        <v>13</v>
      </c>
      <c r="AL760" s="2">
        <f t="shared" si="101"/>
        <v>1</v>
      </c>
      <c r="AM760" s="2">
        <f t="shared" si="102"/>
        <v>5</v>
      </c>
      <c r="AN760" s="2">
        <f t="shared" si="103"/>
        <v>0</v>
      </c>
      <c r="AO760" s="2">
        <f t="shared" si="104"/>
        <v>0</v>
      </c>
      <c r="AP760" s="2">
        <f t="shared" si="105"/>
        <v>0</v>
      </c>
      <c r="AQ760" s="25">
        <f t="shared" si="106"/>
        <v>0</v>
      </c>
    </row>
    <row r="761" spans="1:43">
      <c r="A761" s="24">
        <v>46134</v>
      </c>
      <c r="B761" s="23">
        <f t="shared" si="99"/>
        <v>46113</v>
      </c>
      <c r="C761" s="2" t="s">
        <v>133</v>
      </c>
      <c r="D761" s="2" t="s">
        <v>1561</v>
      </c>
      <c r="E761" s="2">
        <v>2784</v>
      </c>
      <c r="F761" s="2">
        <v>30</v>
      </c>
      <c r="G761" s="2">
        <v>29</v>
      </c>
      <c r="H761" s="2">
        <f t="shared" si="107"/>
        <v>1</v>
      </c>
      <c r="I761" s="2">
        <v>1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/>
      <c r="AJ761" s="2" t="s">
        <v>1566</v>
      </c>
      <c r="AK761" s="2">
        <f t="shared" si="100"/>
        <v>1</v>
      </c>
      <c r="AL761" s="2">
        <f t="shared" si="101"/>
        <v>0</v>
      </c>
      <c r="AM761" s="2">
        <f t="shared" si="102"/>
        <v>0</v>
      </c>
      <c r="AN761" s="2">
        <f t="shared" si="103"/>
        <v>0</v>
      </c>
      <c r="AO761" s="2">
        <f t="shared" si="104"/>
        <v>0</v>
      </c>
      <c r="AP761" s="2">
        <f t="shared" si="105"/>
        <v>0</v>
      </c>
      <c r="AQ761" s="25">
        <f t="shared" si="106"/>
        <v>0</v>
      </c>
    </row>
    <row r="762" spans="1:43">
      <c r="A762" s="24">
        <v>46134</v>
      </c>
      <c r="B762" s="23">
        <f t="shared" si="99"/>
        <v>46113</v>
      </c>
      <c r="C762" s="2" t="s">
        <v>133</v>
      </c>
      <c r="D762" s="2" t="s">
        <v>1561</v>
      </c>
      <c r="E762" s="2">
        <v>2784</v>
      </c>
      <c r="F762" s="2">
        <v>273</v>
      </c>
      <c r="G762" s="2">
        <v>268</v>
      </c>
      <c r="H762" s="2">
        <f t="shared" si="107"/>
        <v>5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5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/>
      <c r="AJ762" s="2" t="s">
        <v>1566</v>
      </c>
      <c r="AK762" s="2">
        <f t="shared" si="100"/>
        <v>0</v>
      </c>
      <c r="AL762" s="2">
        <f t="shared" si="101"/>
        <v>0</v>
      </c>
      <c r="AM762" s="2">
        <f t="shared" si="102"/>
        <v>5</v>
      </c>
      <c r="AN762" s="2">
        <f t="shared" si="103"/>
        <v>0</v>
      </c>
      <c r="AO762" s="2">
        <f t="shared" si="104"/>
        <v>0</v>
      </c>
      <c r="AP762" s="2">
        <f t="shared" si="105"/>
        <v>0</v>
      </c>
      <c r="AQ762" s="25">
        <f t="shared" si="106"/>
        <v>0</v>
      </c>
    </row>
    <row r="763" spans="1:43">
      <c r="A763" s="24">
        <v>46134</v>
      </c>
      <c r="B763" s="23">
        <f t="shared" si="99"/>
        <v>46113</v>
      </c>
      <c r="C763" s="2" t="s">
        <v>133</v>
      </c>
      <c r="D763" s="2" t="s">
        <v>1561</v>
      </c>
      <c r="E763" s="2">
        <v>2784</v>
      </c>
      <c r="F763" s="2">
        <v>64</v>
      </c>
      <c r="G763" s="2">
        <v>64</v>
      </c>
      <c r="H763" s="2">
        <f t="shared" si="107"/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/>
      <c r="AJ763" s="2" t="s">
        <v>1566</v>
      </c>
      <c r="AK763" s="2">
        <f t="shared" si="100"/>
        <v>0</v>
      </c>
      <c r="AL763" s="2">
        <f t="shared" si="101"/>
        <v>0</v>
      </c>
      <c r="AM763" s="2">
        <f t="shared" si="102"/>
        <v>0</v>
      </c>
      <c r="AN763" s="2">
        <f t="shared" si="103"/>
        <v>0</v>
      </c>
      <c r="AO763" s="2">
        <f t="shared" si="104"/>
        <v>0</v>
      </c>
      <c r="AP763" s="2">
        <f t="shared" si="105"/>
        <v>0</v>
      </c>
      <c r="AQ763" s="25">
        <f t="shared" si="106"/>
        <v>0</v>
      </c>
    </row>
    <row r="764" spans="1:43">
      <c r="A764" s="24">
        <v>46134</v>
      </c>
      <c r="B764" s="23">
        <f t="shared" si="99"/>
        <v>46113</v>
      </c>
      <c r="C764" s="2" t="s">
        <v>133</v>
      </c>
      <c r="D764" s="2" t="s">
        <v>1540</v>
      </c>
      <c r="E764" s="2">
        <v>1767</v>
      </c>
      <c r="F764" s="2">
        <v>96</v>
      </c>
      <c r="G764" s="2">
        <v>96</v>
      </c>
      <c r="H764" s="2">
        <f t="shared" si="107"/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/>
      <c r="AJ764" s="2" t="s">
        <v>1566</v>
      </c>
      <c r="AK764" s="2">
        <f t="shared" si="100"/>
        <v>0</v>
      </c>
      <c r="AL764" s="2">
        <f t="shared" si="101"/>
        <v>0</v>
      </c>
      <c r="AM764" s="2">
        <f t="shared" si="102"/>
        <v>0</v>
      </c>
      <c r="AN764" s="2">
        <f t="shared" si="103"/>
        <v>0</v>
      </c>
      <c r="AO764" s="2">
        <f t="shared" si="104"/>
        <v>0</v>
      </c>
      <c r="AP764" s="2">
        <f t="shared" si="105"/>
        <v>0</v>
      </c>
      <c r="AQ764" s="25">
        <f t="shared" si="106"/>
        <v>0</v>
      </c>
    </row>
    <row r="765" spans="1:43">
      <c r="A765" s="24">
        <v>46134</v>
      </c>
      <c r="B765" s="23">
        <f t="shared" si="99"/>
        <v>46113</v>
      </c>
      <c r="C765" s="2" t="s">
        <v>62</v>
      </c>
      <c r="D765" s="2" t="s">
        <v>527</v>
      </c>
      <c r="E765" s="2">
        <v>2622</v>
      </c>
      <c r="F765" s="2">
        <v>20</v>
      </c>
      <c r="G765" s="2">
        <v>20</v>
      </c>
      <c r="H765" s="2">
        <f t="shared" si="107"/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/>
      <c r="AJ765" s="2" t="s">
        <v>1568</v>
      </c>
      <c r="AK765" s="2">
        <f t="shared" si="100"/>
        <v>0</v>
      </c>
      <c r="AL765" s="2">
        <f t="shared" si="101"/>
        <v>0</v>
      </c>
      <c r="AM765" s="2">
        <f t="shared" si="102"/>
        <v>0</v>
      </c>
      <c r="AN765" s="2">
        <f t="shared" si="103"/>
        <v>0</v>
      </c>
      <c r="AO765" s="2">
        <f t="shared" si="104"/>
        <v>0</v>
      </c>
      <c r="AP765" s="2">
        <f t="shared" si="105"/>
        <v>0</v>
      </c>
      <c r="AQ765" s="25">
        <f t="shared" si="106"/>
        <v>0</v>
      </c>
    </row>
    <row r="766" spans="1:43">
      <c r="A766" s="24">
        <v>46134</v>
      </c>
      <c r="B766" s="23">
        <f t="shared" si="99"/>
        <v>46113</v>
      </c>
      <c r="C766" s="2" t="s">
        <v>62</v>
      </c>
      <c r="D766" s="2" t="s">
        <v>1196</v>
      </c>
      <c r="E766" s="2">
        <v>2783</v>
      </c>
      <c r="F766" s="2">
        <v>354</v>
      </c>
      <c r="G766" s="2">
        <v>347</v>
      </c>
      <c r="H766" s="2">
        <f t="shared" si="107"/>
        <v>7</v>
      </c>
      <c r="I766" s="2">
        <v>3</v>
      </c>
      <c r="J766" s="2">
        <v>0</v>
      </c>
      <c r="K766" s="2">
        <v>4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/>
      <c r="AJ766" s="2" t="s">
        <v>1568</v>
      </c>
      <c r="AK766" s="2">
        <f t="shared" si="100"/>
        <v>3</v>
      </c>
      <c r="AL766" s="2">
        <f t="shared" si="101"/>
        <v>4</v>
      </c>
      <c r="AM766" s="2">
        <f t="shared" si="102"/>
        <v>0</v>
      </c>
      <c r="AN766" s="2">
        <f t="shared" si="103"/>
        <v>0</v>
      </c>
      <c r="AO766" s="2">
        <f t="shared" si="104"/>
        <v>0</v>
      </c>
      <c r="AP766" s="2">
        <f t="shared" si="105"/>
        <v>0</v>
      </c>
      <c r="AQ766" s="25">
        <f t="shared" si="106"/>
        <v>0</v>
      </c>
    </row>
    <row r="767" spans="1:43">
      <c r="A767" s="24">
        <v>46134</v>
      </c>
      <c r="B767" s="23">
        <f t="shared" si="99"/>
        <v>46113</v>
      </c>
      <c r="C767" s="2" t="s">
        <v>62</v>
      </c>
      <c r="D767" s="2" t="s">
        <v>440</v>
      </c>
      <c r="E767" s="2">
        <v>1823</v>
      </c>
      <c r="F767" s="2">
        <v>747</v>
      </c>
      <c r="G767" s="2">
        <v>747</v>
      </c>
      <c r="H767" s="2">
        <f t="shared" si="107"/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/>
      <c r="AJ767" s="2" t="s">
        <v>99</v>
      </c>
      <c r="AK767" s="2">
        <f t="shared" si="100"/>
        <v>0</v>
      </c>
      <c r="AL767" s="2">
        <f t="shared" si="101"/>
        <v>0</v>
      </c>
      <c r="AM767" s="2">
        <f t="shared" si="102"/>
        <v>0</v>
      </c>
      <c r="AN767" s="2">
        <f t="shared" si="103"/>
        <v>0</v>
      </c>
      <c r="AO767" s="2">
        <f t="shared" si="104"/>
        <v>0</v>
      </c>
      <c r="AP767" s="2">
        <f t="shared" si="105"/>
        <v>0</v>
      </c>
      <c r="AQ767" s="25">
        <f t="shared" si="106"/>
        <v>0</v>
      </c>
    </row>
    <row r="768" spans="1:43">
      <c r="A768" s="24">
        <v>46134</v>
      </c>
      <c r="B768" s="23">
        <f t="shared" si="99"/>
        <v>46113</v>
      </c>
      <c r="C768" s="2" t="s">
        <v>63</v>
      </c>
      <c r="D768" s="2" t="s">
        <v>491</v>
      </c>
      <c r="E768" s="2">
        <v>1698</v>
      </c>
      <c r="F768" s="2">
        <v>254</v>
      </c>
      <c r="G768" s="2">
        <v>248</v>
      </c>
      <c r="H768" s="2">
        <f t="shared" si="107"/>
        <v>6</v>
      </c>
      <c r="I768" s="2">
        <v>6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/>
      <c r="AJ768" s="2" t="s">
        <v>1568</v>
      </c>
      <c r="AK768" s="2">
        <f t="shared" si="100"/>
        <v>6</v>
      </c>
      <c r="AL768" s="2">
        <f t="shared" si="101"/>
        <v>0</v>
      </c>
      <c r="AM768" s="2">
        <f t="shared" si="102"/>
        <v>0</v>
      </c>
      <c r="AN768" s="2">
        <f t="shared" si="103"/>
        <v>0</v>
      </c>
      <c r="AO768" s="2">
        <f t="shared" si="104"/>
        <v>0</v>
      </c>
      <c r="AP768" s="2">
        <f t="shared" si="105"/>
        <v>0</v>
      </c>
      <c r="AQ768" s="25">
        <f t="shared" si="106"/>
        <v>0</v>
      </c>
    </row>
    <row r="769" spans="1:43">
      <c r="A769" s="24">
        <v>46134</v>
      </c>
      <c r="B769" s="23">
        <f t="shared" si="99"/>
        <v>46113</v>
      </c>
      <c r="C769" s="2" t="s">
        <v>62</v>
      </c>
      <c r="D769" s="2" t="s">
        <v>1200</v>
      </c>
      <c r="E769" s="2">
        <v>1806</v>
      </c>
      <c r="F769" s="2">
        <v>137</v>
      </c>
      <c r="G769" s="2">
        <v>137</v>
      </c>
      <c r="H769" s="2">
        <f t="shared" si="107"/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/>
      <c r="AJ769" s="2" t="s">
        <v>1568</v>
      </c>
      <c r="AK769" s="2">
        <f t="shared" si="100"/>
        <v>0</v>
      </c>
      <c r="AL769" s="2">
        <f t="shared" si="101"/>
        <v>0</v>
      </c>
      <c r="AM769" s="2">
        <f t="shared" si="102"/>
        <v>0</v>
      </c>
      <c r="AN769" s="2">
        <f t="shared" si="103"/>
        <v>0</v>
      </c>
      <c r="AO769" s="2">
        <f t="shared" si="104"/>
        <v>0</v>
      </c>
      <c r="AP769" s="2">
        <f t="shared" si="105"/>
        <v>0</v>
      </c>
      <c r="AQ769" s="25">
        <f t="shared" si="106"/>
        <v>0</v>
      </c>
    </row>
    <row r="770" spans="1:43">
      <c r="A770" s="24">
        <v>46134</v>
      </c>
      <c r="B770" s="23">
        <f t="shared" ref="B770:B833" si="108">EOMONTH(A770,-1)+1</f>
        <v>46113</v>
      </c>
      <c r="C770" s="2" t="s">
        <v>82</v>
      </c>
      <c r="D770" s="2" t="s">
        <v>1497</v>
      </c>
      <c r="E770" s="2">
        <v>2664</v>
      </c>
      <c r="F770" s="2">
        <v>278</v>
      </c>
      <c r="G770" s="2">
        <v>278</v>
      </c>
      <c r="H770" s="2">
        <f t="shared" si="107"/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/>
      <c r="AJ770" s="2" t="s">
        <v>93</v>
      </c>
      <c r="AK770" s="2">
        <f t="shared" ref="AK770:AK833" si="109">+I770+AF770</f>
        <v>0</v>
      </c>
      <c r="AL770" s="2">
        <f t="shared" ref="AL770:AL833" si="110">+J770+K770+O770+N770+P770+R770+S770+Q770+M770+L770</f>
        <v>0</v>
      </c>
      <c r="AM770" s="2">
        <f t="shared" ref="AM770:AM833" si="111">+AB770+AC770</f>
        <v>0</v>
      </c>
      <c r="AN770" s="2">
        <f t="shared" ref="AN770:AN833" si="112">+AH770+AG770+AA770+Z770</f>
        <v>0</v>
      </c>
      <c r="AO770" s="2">
        <f t="shared" ref="AO770:AO833" si="113">+X770+W770+V770+U770+T770+Y770</f>
        <v>0</v>
      </c>
      <c r="AP770" s="2">
        <f t="shared" ref="AP770:AP833" si="114">+AD770</f>
        <v>0</v>
      </c>
      <c r="AQ770" s="25">
        <f t="shared" ref="AQ770:AQ833" si="115">+AE770</f>
        <v>0</v>
      </c>
    </row>
    <row r="771" spans="1:43">
      <c r="A771" s="24">
        <v>46134</v>
      </c>
      <c r="B771" s="23">
        <f t="shared" si="108"/>
        <v>46113</v>
      </c>
      <c r="C771" s="2" t="s">
        <v>82</v>
      </c>
      <c r="D771" s="2" t="s">
        <v>1497</v>
      </c>
      <c r="E771" s="2">
        <v>2664</v>
      </c>
      <c r="F771" s="2">
        <v>32</v>
      </c>
      <c r="G771" s="2">
        <v>32</v>
      </c>
      <c r="H771" s="2">
        <f t="shared" ref="H771:H834" si="116">F771-G771</f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/>
      <c r="AJ771" s="2" t="s">
        <v>93</v>
      </c>
      <c r="AK771" s="2">
        <f t="shared" si="109"/>
        <v>0</v>
      </c>
      <c r="AL771" s="2">
        <f t="shared" si="110"/>
        <v>0</v>
      </c>
      <c r="AM771" s="2">
        <f t="shared" si="111"/>
        <v>0</v>
      </c>
      <c r="AN771" s="2">
        <f t="shared" si="112"/>
        <v>0</v>
      </c>
      <c r="AO771" s="2">
        <f t="shared" si="113"/>
        <v>0</v>
      </c>
      <c r="AP771" s="2">
        <f t="shared" si="114"/>
        <v>0</v>
      </c>
      <c r="AQ771" s="25">
        <f t="shared" si="115"/>
        <v>0</v>
      </c>
    </row>
    <row r="772" spans="1:43">
      <c r="A772" s="24">
        <v>46134</v>
      </c>
      <c r="B772" s="23">
        <f t="shared" si="108"/>
        <v>46113</v>
      </c>
      <c r="C772" s="2" t="s">
        <v>82</v>
      </c>
      <c r="D772" s="2" t="s">
        <v>478</v>
      </c>
      <c r="E772" s="2">
        <v>2608</v>
      </c>
      <c r="F772" s="2">
        <v>263</v>
      </c>
      <c r="G772" s="2">
        <v>262</v>
      </c>
      <c r="H772" s="2">
        <f t="shared" si="116"/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1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/>
      <c r="AJ772" s="2" t="s">
        <v>93</v>
      </c>
      <c r="AK772" s="2">
        <f t="shared" si="109"/>
        <v>0</v>
      </c>
      <c r="AL772" s="2">
        <f t="shared" si="110"/>
        <v>1</v>
      </c>
      <c r="AM772" s="2">
        <f t="shared" si="111"/>
        <v>0</v>
      </c>
      <c r="AN772" s="2">
        <f t="shared" si="112"/>
        <v>0</v>
      </c>
      <c r="AO772" s="2">
        <f t="shared" si="113"/>
        <v>0</v>
      </c>
      <c r="AP772" s="2">
        <f t="shared" si="114"/>
        <v>0</v>
      </c>
      <c r="AQ772" s="25">
        <f t="shared" si="115"/>
        <v>0</v>
      </c>
    </row>
    <row r="773" spans="1:43">
      <c r="A773" s="24">
        <v>46134</v>
      </c>
      <c r="B773" s="23">
        <f t="shared" si="108"/>
        <v>46113</v>
      </c>
      <c r="C773" s="2" t="s">
        <v>82</v>
      </c>
      <c r="D773" s="2" t="s">
        <v>1292</v>
      </c>
      <c r="E773" s="2">
        <v>2729</v>
      </c>
      <c r="F773" s="2">
        <v>36</v>
      </c>
      <c r="G773" s="2">
        <v>33</v>
      </c>
      <c r="H773" s="2">
        <f t="shared" si="116"/>
        <v>3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1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2</v>
      </c>
      <c r="AE773" s="2">
        <v>0</v>
      </c>
      <c r="AF773" s="2">
        <v>0</v>
      </c>
      <c r="AG773" s="2">
        <v>0</v>
      </c>
      <c r="AH773" s="2">
        <v>0</v>
      </c>
      <c r="AI773" s="2"/>
      <c r="AJ773" s="2" t="s">
        <v>93</v>
      </c>
      <c r="AK773" s="2">
        <f t="shared" si="109"/>
        <v>0</v>
      </c>
      <c r="AL773" s="2">
        <f t="shared" si="110"/>
        <v>1</v>
      </c>
      <c r="AM773" s="2">
        <f t="shared" si="111"/>
        <v>0</v>
      </c>
      <c r="AN773" s="2">
        <f t="shared" si="112"/>
        <v>0</v>
      </c>
      <c r="AO773" s="2">
        <f t="shared" si="113"/>
        <v>0</v>
      </c>
      <c r="AP773" s="2">
        <f t="shared" si="114"/>
        <v>2</v>
      </c>
      <c r="AQ773" s="25">
        <f t="shared" si="115"/>
        <v>0</v>
      </c>
    </row>
    <row r="774" spans="1:43">
      <c r="A774" s="24">
        <v>46134</v>
      </c>
      <c r="B774" s="23">
        <f t="shared" si="108"/>
        <v>46113</v>
      </c>
      <c r="C774" s="2" t="s">
        <v>82</v>
      </c>
      <c r="D774" s="2" t="s">
        <v>560</v>
      </c>
      <c r="E774" s="2">
        <v>2606</v>
      </c>
      <c r="F774" s="2">
        <v>38</v>
      </c>
      <c r="G774" s="2">
        <v>38</v>
      </c>
      <c r="H774" s="2">
        <f t="shared" si="116"/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/>
      <c r="AJ774" s="2" t="s">
        <v>93</v>
      </c>
      <c r="AK774" s="2">
        <f t="shared" si="109"/>
        <v>0</v>
      </c>
      <c r="AL774" s="2">
        <f t="shared" si="110"/>
        <v>0</v>
      </c>
      <c r="AM774" s="2">
        <f t="shared" si="111"/>
        <v>0</v>
      </c>
      <c r="AN774" s="2">
        <f t="shared" si="112"/>
        <v>0</v>
      </c>
      <c r="AO774" s="2">
        <f t="shared" si="113"/>
        <v>0</v>
      </c>
      <c r="AP774" s="2">
        <f t="shared" si="114"/>
        <v>0</v>
      </c>
      <c r="AQ774" s="25">
        <f t="shared" si="115"/>
        <v>0</v>
      </c>
    </row>
    <row r="775" spans="1:43">
      <c r="A775" s="24">
        <v>46134</v>
      </c>
      <c r="B775" s="23">
        <f t="shared" si="108"/>
        <v>46113</v>
      </c>
      <c r="C775" s="2" t="s">
        <v>160</v>
      </c>
      <c r="D775" s="2" t="s">
        <v>1192</v>
      </c>
      <c r="E775" s="2">
        <v>1521</v>
      </c>
      <c r="F775" s="2">
        <v>208</v>
      </c>
      <c r="G775" s="2">
        <v>197</v>
      </c>
      <c r="H775" s="2">
        <f t="shared" si="116"/>
        <v>11</v>
      </c>
      <c r="I775" s="2">
        <v>3</v>
      </c>
      <c r="J775" s="2">
        <v>7</v>
      </c>
      <c r="K775" s="2">
        <v>0</v>
      </c>
      <c r="L775" s="2">
        <v>1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/>
      <c r="AJ775" s="2" t="s">
        <v>93</v>
      </c>
      <c r="AK775" s="2">
        <f t="shared" si="109"/>
        <v>3</v>
      </c>
      <c r="AL775" s="2">
        <f t="shared" si="110"/>
        <v>8</v>
      </c>
      <c r="AM775" s="2">
        <f t="shared" si="111"/>
        <v>0</v>
      </c>
      <c r="AN775" s="2">
        <f t="shared" si="112"/>
        <v>0</v>
      </c>
      <c r="AO775" s="2">
        <f t="shared" si="113"/>
        <v>0</v>
      </c>
      <c r="AP775" s="2">
        <f t="shared" si="114"/>
        <v>0</v>
      </c>
      <c r="AQ775" s="25">
        <f t="shared" si="115"/>
        <v>0</v>
      </c>
    </row>
    <row r="776" spans="1:43">
      <c r="A776" s="24">
        <v>46134</v>
      </c>
      <c r="B776" s="23">
        <f t="shared" si="108"/>
        <v>46113</v>
      </c>
      <c r="C776" s="2" t="s">
        <v>82</v>
      </c>
      <c r="D776" s="2" t="s">
        <v>513</v>
      </c>
      <c r="E776" s="2">
        <v>2606</v>
      </c>
      <c r="F776" s="2">
        <v>123</v>
      </c>
      <c r="G776" s="2">
        <v>123</v>
      </c>
      <c r="H776" s="2">
        <f t="shared" si="116"/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/>
      <c r="AJ776" s="2" t="s">
        <v>93</v>
      </c>
      <c r="AK776" s="2">
        <f t="shared" si="109"/>
        <v>0</v>
      </c>
      <c r="AL776" s="2">
        <f t="shared" si="110"/>
        <v>0</v>
      </c>
      <c r="AM776" s="2">
        <f t="shared" si="111"/>
        <v>0</v>
      </c>
      <c r="AN776" s="2">
        <f t="shared" si="112"/>
        <v>0</v>
      </c>
      <c r="AO776" s="2">
        <f t="shared" si="113"/>
        <v>0</v>
      </c>
      <c r="AP776" s="2">
        <f t="shared" si="114"/>
        <v>0</v>
      </c>
      <c r="AQ776" s="25">
        <f t="shared" si="115"/>
        <v>0</v>
      </c>
    </row>
    <row r="777" spans="1:43">
      <c r="A777" s="24">
        <v>46134</v>
      </c>
      <c r="B777" s="23">
        <f t="shared" si="108"/>
        <v>46113</v>
      </c>
      <c r="C777" s="2" t="s">
        <v>82</v>
      </c>
      <c r="D777" s="2" t="s">
        <v>531</v>
      </c>
      <c r="E777" s="2">
        <v>2606</v>
      </c>
      <c r="F777" s="2">
        <v>83</v>
      </c>
      <c r="G777" s="2">
        <v>83</v>
      </c>
      <c r="H777" s="2">
        <f t="shared" si="116"/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/>
      <c r="AJ777" s="2" t="s">
        <v>93</v>
      </c>
      <c r="AK777" s="2">
        <f t="shared" si="109"/>
        <v>0</v>
      </c>
      <c r="AL777" s="2">
        <f t="shared" si="110"/>
        <v>0</v>
      </c>
      <c r="AM777" s="2">
        <f t="shared" si="111"/>
        <v>0</v>
      </c>
      <c r="AN777" s="2">
        <f t="shared" si="112"/>
        <v>0</v>
      </c>
      <c r="AO777" s="2">
        <f t="shared" si="113"/>
        <v>0</v>
      </c>
      <c r="AP777" s="2">
        <f t="shared" si="114"/>
        <v>0</v>
      </c>
      <c r="AQ777" s="25">
        <f t="shared" si="115"/>
        <v>0</v>
      </c>
    </row>
    <row r="778" spans="1:43">
      <c r="A778" s="24">
        <v>46134</v>
      </c>
      <c r="B778" s="23">
        <f t="shared" si="108"/>
        <v>46113</v>
      </c>
      <c r="C778" s="2" t="s">
        <v>82</v>
      </c>
      <c r="D778" s="2" t="s">
        <v>515</v>
      </c>
      <c r="E778" s="2">
        <v>2608</v>
      </c>
      <c r="F778" s="2">
        <v>965</v>
      </c>
      <c r="G778" s="2">
        <v>963</v>
      </c>
      <c r="H778" s="2">
        <f t="shared" si="116"/>
        <v>2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2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/>
      <c r="AJ778" s="2" t="s">
        <v>93</v>
      </c>
      <c r="AK778" s="2">
        <f t="shared" si="109"/>
        <v>0</v>
      </c>
      <c r="AL778" s="2">
        <f t="shared" si="110"/>
        <v>2</v>
      </c>
      <c r="AM778" s="2">
        <f t="shared" si="111"/>
        <v>0</v>
      </c>
      <c r="AN778" s="2">
        <f t="shared" si="112"/>
        <v>0</v>
      </c>
      <c r="AO778" s="2">
        <f t="shared" si="113"/>
        <v>0</v>
      </c>
      <c r="AP778" s="2">
        <f t="shared" si="114"/>
        <v>0</v>
      </c>
      <c r="AQ778" s="25">
        <f t="shared" si="115"/>
        <v>0</v>
      </c>
    </row>
    <row r="779" spans="1:43">
      <c r="A779" s="24">
        <v>46134</v>
      </c>
      <c r="B779" s="23">
        <f t="shared" si="108"/>
        <v>46113</v>
      </c>
      <c r="C779" s="2" t="s">
        <v>82</v>
      </c>
      <c r="D779" s="2" t="s">
        <v>513</v>
      </c>
      <c r="E779" s="2">
        <v>2606</v>
      </c>
      <c r="F779" s="2">
        <v>20</v>
      </c>
      <c r="G779" s="2">
        <v>20</v>
      </c>
      <c r="H779" s="2">
        <f t="shared" si="116"/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/>
      <c r="AJ779" s="2" t="s">
        <v>93</v>
      </c>
      <c r="AK779" s="2">
        <f t="shared" si="109"/>
        <v>0</v>
      </c>
      <c r="AL779" s="2">
        <f t="shared" si="110"/>
        <v>0</v>
      </c>
      <c r="AM779" s="2">
        <f t="shared" si="111"/>
        <v>0</v>
      </c>
      <c r="AN779" s="2">
        <f t="shared" si="112"/>
        <v>0</v>
      </c>
      <c r="AO779" s="2">
        <f t="shared" si="113"/>
        <v>0</v>
      </c>
      <c r="AP779" s="2">
        <f t="shared" si="114"/>
        <v>0</v>
      </c>
      <c r="AQ779" s="25">
        <f t="shared" si="115"/>
        <v>0</v>
      </c>
    </row>
    <row r="780" spans="1:43">
      <c r="A780" s="24">
        <v>46134</v>
      </c>
      <c r="B780" s="23">
        <f t="shared" si="108"/>
        <v>46113</v>
      </c>
      <c r="C780" s="2" t="s">
        <v>82</v>
      </c>
      <c r="D780" s="2" t="s">
        <v>531</v>
      </c>
      <c r="E780" s="2">
        <v>2606</v>
      </c>
      <c r="F780" s="2">
        <v>20</v>
      </c>
      <c r="G780" s="2">
        <v>20</v>
      </c>
      <c r="H780" s="2">
        <f t="shared" si="116"/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/>
      <c r="AJ780" s="2" t="s">
        <v>93</v>
      </c>
      <c r="AK780" s="2">
        <f t="shared" si="109"/>
        <v>0</v>
      </c>
      <c r="AL780" s="2">
        <f t="shared" si="110"/>
        <v>0</v>
      </c>
      <c r="AM780" s="2">
        <f t="shared" si="111"/>
        <v>0</v>
      </c>
      <c r="AN780" s="2">
        <f t="shared" si="112"/>
        <v>0</v>
      </c>
      <c r="AO780" s="2">
        <f t="shared" si="113"/>
        <v>0</v>
      </c>
      <c r="AP780" s="2">
        <f t="shared" si="114"/>
        <v>0</v>
      </c>
      <c r="AQ780" s="25">
        <f t="shared" si="115"/>
        <v>0</v>
      </c>
    </row>
    <row r="781" spans="1:43">
      <c r="A781" s="24">
        <v>46134</v>
      </c>
      <c r="B781" s="23">
        <f t="shared" si="108"/>
        <v>46113</v>
      </c>
      <c r="C781" s="2" t="s">
        <v>160</v>
      </c>
      <c r="D781" s="2" t="s">
        <v>439</v>
      </c>
      <c r="E781" s="2">
        <v>1733</v>
      </c>
      <c r="F781" s="2">
        <v>43</v>
      </c>
      <c r="G781" s="2">
        <v>36</v>
      </c>
      <c r="H781" s="2">
        <f t="shared" si="116"/>
        <v>7</v>
      </c>
      <c r="I781" s="2">
        <v>2</v>
      </c>
      <c r="J781" s="2">
        <v>2</v>
      </c>
      <c r="K781" s="2">
        <v>2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1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/>
      <c r="AJ781" s="2" t="s">
        <v>93</v>
      </c>
      <c r="AK781" s="2">
        <f t="shared" si="109"/>
        <v>2</v>
      </c>
      <c r="AL781" s="2">
        <f t="shared" si="110"/>
        <v>4</v>
      </c>
      <c r="AM781" s="2">
        <f t="shared" si="111"/>
        <v>0</v>
      </c>
      <c r="AN781" s="2">
        <f t="shared" si="112"/>
        <v>0</v>
      </c>
      <c r="AO781" s="2">
        <f t="shared" si="113"/>
        <v>1</v>
      </c>
      <c r="AP781" s="2">
        <f t="shared" si="114"/>
        <v>0</v>
      </c>
      <c r="AQ781" s="25">
        <f t="shared" si="115"/>
        <v>0</v>
      </c>
    </row>
    <row r="782" spans="1:43">
      <c r="A782" s="24">
        <v>46134</v>
      </c>
      <c r="B782" s="23">
        <f t="shared" si="108"/>
        <v>46113</v>
      </c>
      <c r="C782" s="2" t="s">
        <v>55</v>
      </c>
      <c r="D782" s="2" t="s">
        <v>522</v>
      </c>
      <c r="E782" s="2">
        <v>2642</v>
      </c>
      <c r="F782" s="2">
        <v>526</v>
      </c>
      <c r="G782" s="2">
        <v>502</v>
      </c>
      <c r="H782" s="2">
        <f t="shared" si="116"/>
        <v>24</v>
      </c>
      <c r="I782" s="2">
        <v>15</v>
      </c>
      <c r="J782" s="2">
        <v>0</v>
      </c>
      <c r="K782" s="2">
        <v>0</v>
      </c>
      <c r="L782" s="2">
        <v>0</v>
      </c>
      <c r="M782" s="2">
        <v>0</v>
      </c>
      <c r="N782" s="2">
        <v>1</v>
      </c>
      <c r="O782" s="2">
        <v>2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6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/>
      <c r="AJ782" s="2" t="s">
        <v>349</v>
      </c>
      <c r="AK782" s="2">
        <f t="shared" si="109"/>
        <v>15</v>
      </c>
      <c r="AL782" s="2">
        <f t="shared" si="110"/>
        <v>3</v>
      </c>
      <c r="AM782" s="2">
        <f t="shared" si="111"/>
        <v>6</v>
      </c>
      <c r="AN782" s="2">
        <f t="shared" si="112"/>
        <v>0</v>
      </c>
      <c r="AO782" s="2">
        <f t="shared" si="113"/>
        <v>0</v>
      </c>
      <c r="AP782" s="2">
        <f t="shared" si="114"/>
        <v>0</v>
      </c>
      <c r="AQ782" s="25">
        <f t="shared" si="115"/>
        <v>0</v>
      </c>
    </row>
    <row r="783" spans="1:43">
      <c r="A783" s="24">
        <v>46134</v>
      </c>
      <c r="B783" s="23">
        <f t="shared" si="108"/>
        <v>46113</v>
      </c>
      <c r="C783" s="2" t="s">
        <v>66</v>
      </c>
      <c r="D783" s="2" t="s">
        <v>1540</v>
      </c>
      <c r="E783" s="2">
        <v>1767</v>
      </c>
      <c r="F783" s="2">
        <v>101</v>
      </c>
      <c r="G783" s="2">
        <v>101</v>
      </c>
      <c r="H783" s="2">
        <f t="shared" si="116"/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/>
      <c r="AJ783" s="2" t="s">
        <v>110</v>
      </c>
      <c r="AK783" s="2">
        <f t="shared" si="109"/>
        <v>0</v>
      </c>
      <c r="AL783" s="2">
        <f t="shared" si="110"/>
        <v>0</v>
      </c>
      <c r="AM783" s="2">
        <f t="shared" si="111"/>
        <v>0</v>
      </c>
      <c r="AN783" s="2">
        <f t="shared" si="112"/>
        <v>0</v>
      </c>
      <c r="AO783" s="2">
        <f t="shared" si="113"/>
        <v>0</v>
      </c>
      <c r="AP783" s="2">
        <f t="shared" si="114"/>
        <v>0</v>
      </c>
      <c r="AQ783" s="25">
        <f t="shared" si="115"/>
        <v>0</v>
      </c>
    </row>
    <row r="784" spans="1:43">
      <c r="A784" s="24">
        <v>46134</v>
      </c>
      <c r="B784" s="23">
        <f t="shared" si="108"/>
        <v>46113</v>
      </c>
      <c r="C784" s="2" t="s">
        <v>97</v>
      </c>
      <c r="D784" s="2" t="s">
        <v>1383</v>
      </c>
      <c r="E784" s="2">
        <v>1870</v>
      </c>
      <c r="F784" s="2">
        <v>389</v>
      </c>
      <c r="G784" s="2">
        <v>379</v>
      </c>
      <c r="H784" s="2">
        <f t="shared" si="116"/>
        <v>10</v>
      </c>
      <c r="I784" s="2">
        <v>7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3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/>
      <c r="AJ784" s="2" t="s">
        <v>110</v>
      </c>
      <c r="AK784" s="2">
        <f t="shared" si="109"/>
        <v>7</v>
      </c>
      <c r="AL784" s="2">
        <f t="shared" si="110"/>
        <v>3</v>
      </c>
      <c r="AM784" s="2">
        <f t="shared" si="111"/>
        <v>0</v>
      </c>
      <c r="AN784" s="2">
        <f t="shared" si="112"/>
        <v>0</v>
      </c>
      <c r="AO784" s="2">
        <f t="shared" si="113"/>
        <v>0</v>
      </c>
      <c r="AP784" s="2">
        <f t="shared" si="114"/>
        <v>0</v>
      </c>
      <c r="AQ784" s="25">
        <f t="shared" si="115"/>
        <v>0</v>
      </c>
    </row>
    <row r="785" spans="1:43">
      <c r="A785" s="24">
        <v>46134</v>
      </c>
      <c r="B785" s="23">
        <f t="shared" si="108"/>
        <v>46113</v>
      </c>
      <c r="C785" s="2" t="s">
        <v>97</v>
      </c>
      <c r="D785" s="2" t="s">
        <v>1383</v>
      </c>
      <c r="E785" s="2">
        <v>1870</v>
      </c>
      <c r="F785" s="2">
        <v>48</v>
      </c>
      <c r="G785" s="2">
        <v>47</v>
      </c>
      <c r="H785" s="2">
        <f t="shared" si="116"/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1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/>
      <c r="AJ785" s="2" t="s">
        <v>110</v>
      </c>
      <c r="AK785" s="2">
        <f t="shared" si="109"/>
        <v>0</v>
      </c>
      <c r="AL785" s="2">
        <f t="shared" si="110"/>
        <v>1</v>
      </c>
      <c r="AM785" s="2">
        <f t="shared" si="111"/>
        <v>0</v>
      </c>
      <c r="AN785" s="2">
        <f t="shared" si="112"/>
        <v>0</v>
      </c>
      <c r="AO785" s="2">
        <f t="shared" si="113"/>
        <v>0</v>
      </c>
      <c r="AP785" s="2">
        <f t="shared" si="114"/>
        <v>0</v>
      </c>
      <c r="AQ785" s="25">
        <f t="shared" si="115"/>
        <v>0</v>
      </c>
    </row>
    <row r="786" spans="1:43">
      <c r="A786" s="24">
        <v>46134</v>
      </c>
      <c r="B786" s="23">
        <f t="shared" si="108"/>
        <v>46113</v>
      </c>
      <c r="C786" s="2" t="s">
        <v>114</v>
      </c>
      <c r="D786" s="2" t="s">
        <v>569</v>
      </c>
      <c r="E786" s="2">
        <v>1733</v>
      </c>
      <c r="F786" s="2">
        <v>192</v>
      </c>
      <c r="G786" s="2">
        <v>116</v>
      </c>
      <c r="H786" s="2">
        <f t="shared" si="116"/>
        <v>76</v>
      </c>
      <c r="I786" s="2">
        <v>23</v>
      </c>
      <c r="J786" s="2">
        <v>7</v>
      </c>
      <c r="K786" s="2">
        <v>7</v>
      </c>
      <c r="L786" s="2">
        <v>0</v>
      </c>
      <c r="M786" s="2">
        <v>24</v>
      </c>
      <c r="N786" s="2">
        <v>0</v>
      </c>
      <c r="O786" s="2">
        <v>5</v>
      </c>
      <c r="P786" s="2">
        <v>0</v>
      </c>
      <c r="Q786" s="2">
        <v>0</v>
      </c>
      <c r="R786" s="2">
        <v>4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6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/>
      <c r="AJ786" s="2" t="s">
        <v>349</v>
      </c>
      <c r="AK786" s="2">
        <f t="shared" si="109"/>
        <v>23</v>
      </c>
      <c r="AL786" s="2">
        <f t="shared" si="110"/>
        <v>47</v>
      </c>
      <c r="AM786" s="2">
        <f t="shared" si="111"/>
        <v>6</v>
      </c>
      <c r="AN786" s="2">
        <f t="shared" si="112"/>
        <v>0</v>
      </c>
      <c r="AO786" s="2">
        <f t="shared" si="113"/>
        <v>0</v>
      </c>
      <c r="AP786" s="2">
        <f t="shared" si="114"/>
        <v>0</v>
      </c>
      <c r="AQ786" s="25">
        <f t="shared" si="115"/>
        <v>0</v>
      </c>
    </row>
    <row r="787" spans="1:43">
      <c r="A787" s="24">
        <v>46134</v>
      </c>
      <c r="B787" s="23">
        <f t="shared" si="108"/>
        <v>46113</v>
      </c>
      <c r="C787" s="2" t="s">
        <v>114</v>
      </c>
      <c r="D787" s="2" t="s">
        <v>569</v>
      </c>
      <c r="E787" s="2">
        <v>1733</v>
      </c>
      <c r="F787" s="2">
        <v>204</v>
      </c>
      <c r="G787" s="2">
        <v>162</v>
      </c>
      <c r="H787" s="2">
        <f t="shared" si="116"/>
        <v>42</v>
      </c>
      <c r="I787" s="2">
        <v>6</v>
      </c>
      <c r="J787" s="2">
        <v>5</v>
      </c>
      <c r="K787" s="2">
        <v>5</v>
      </c>
      <c r="L787" s="2">
        <v>0</v>
      </c>
      <c r="M787" s="2">
        <v>3</v>
      </c>
      <c r="N787" s="2">
        <v>0</v>
      </c>
      <c r="O787" s="2">
        <v>20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3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/>
      <c r="AJ787" s="2" t="s">
        <v>349</v>
      </c>
      <c r="AK787" s="2">
        <f t="shared" si="109"/>
        <v>6</v>
      </c>
      <c r="AL787" s="2">
        <f t="shared" si="110"/>
        <v>33</v>
      </c>
      <c r="AM787" s="2">
        <f t="shared" si="111"/>
        <v>0</v>
      </c>
      <c r="AN787" s="2">
        <f t="shared" si="112"/>
        <v>0</v>
      </c>
      <c r="AO787" s="2">
        <f t="shared" si="113"/>
        <v>3</v>
      </c>
      <c r="AP787" s="2">
        <f t="shared" si="114"/>
        <v>0</v>
      </c>
      <c r="AQ787" s="25">
        <f t="shared" si="115"/>
        <v>0</v>
      </c>
    </row>
    <row r="788" spans="1:43">
      <c r="A788" s="24">
        <v>46136</v>
      </c>
      <c r="B788" s="23">
        <f t="shared" si="108"/>
        <v>46113</v>
      </c>
      <c r="C788" s="2" t="s">
        <v>55</v>
      </c>
      <c r="D788" s="2" t="s">
        <v>1481</v>
      </c>
      <c r="E788" s="2">
        <v>10046</v>
      </c>
      <c r="F788" s="2">
        <v>122</v>
      </c>
      <c r="G788" s="2">
        <v>116</v>
      </c>
      <c r="H788" s="2">
        <f t="shared" si="116"/>
        <v>6</v>
      </c>
      <c r="I788" s="2">
        <v>6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/>
      <c r="AJ788" s="2" t="s">
        <v>77</v>
      </c>
      <c r="AK788" s="2">
        <f t="shared" si="109"/>
        <v>6</v>
      </c>
      <c r="AL788" s="2">
        <f t="shared" si="110"/>
        <v>0</v>
      </c>
      <c r="AM788" s="2">
        <f t="shared" si="111"/>
        <v>0</v>
      </c>
      <c r="AN788" s="2">
        <f t="shared" si="112"/>
        <v>0</v>
      </c>
      <c r="AO788" s="2">
        <f t="shared" si="113"/>
        <v>0</v>
      </c>
      <c r="AP788" s="2">
        <f t="shared" si="114"/>
        <v>0</v>
      </c>
      <c r="AQ788" s="25">
        <f t="shared" si="115"/>
        <v>0</v>
      </c>
    </row>
    <row r="789" spans="1:43">
      <c r="A789" s="24">
        <v>46136</v>
      </c>
      <c r="B789" s="23">
        <f t="shared" si="108"/>
        <v>46113</v>
      </c>
      <c r="C789" s="2" t="s">
        <v>55</v>
      </c>
      <c r="D789" s="2" t="s">
        <v>485</v>
      </c>
      <c r="E789" s="2">
        <v>2648</v>
      </c>
      <c r="F789" s="2">
        <v>652</v>
      </c>
      <c r="G789" s="2">
        <v>620</v>
      </c>
      <c r="H789" s="2">
        <f t="shared" si="116"/>
        <v>32</v>
      </c>
      <c r="I789" s="2">
        <v>31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1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/>
      <c r="AJ789" s="2" t="s">
        <v>77</v>
      </c>
      <c r="AK789" s="2">
        <f t="shared" si="109"/>
        <v>31</v>
      </c>
      <c r="AL789" s="2">
        <f t="shared" si="110"/>
        <v>0</v>
      </c>
      <c r="AM789" s="2">
        <f t="shared" si="111"/>
        <v>0</v>
      </c>
      <c r="AN789" s="2">
        <f t="shared" si="112"/>
        <v>1</v>
      </c>
      <c r="AO789" s="2">
        <f t="shared" si="113"/>
        <v>0</v>
      </c>
      <c r="AP789" s="2">
        <f t="shared" si="114"/>
        <v>0</v>
      </c>
      <c r="AQ789" s="25">
        <f t="shared" si="115"/>
        <v>0</v>
      </c>
    </row>
    <row r="790" spans="1:43">
      <c r="A790" s="24">
        <v>46136</v>
      </c>
      <c r="B790" s="23">
        <f t="shared" si="108"/>
        <v>46113</v>
      </c>
      <c r="C790" s="2" t="s">
        <v>55</v>
      </c>
      <c r="D790" s="2" t="s">
        <v>502</v>
      </c>
      <c r="E790" s="2">
        <v>2570</v>
      </c>
      <c r="F790" s="2">
        <v>40</v>
      </c>
      <c r="G790" s="2">
        <v>38</v>
      </c>
      <c r="H790" s="2">
        <f t="shared" si="116"/>
        <v>2</v>
      </c>
      <c r="I790" s="2">
        <v>2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/>
      <c r="AJ790" s="2" t="s">
        <v>80</v>
      </c>
      <c r="AK790" s="2">
        <f t="shared" si="109"/>
        <v>2</v>
      </c>
      <c r="AL790" s="2">
        <f t="shared" si="110"/>
        <v>0</v>
      </c>
      <c r="AM790" s="2">
        <f t="shared" si="111"/>
        <v>0</v>
      </c>
      <c r="AN790" s="2">
        <f t="shared" si="112"/>
        <v>0</v>
      </c>
      <c r="AO790" s="2">
        <f t="shared" si="113"/>
        <v>0</v>
      </c>
      <c r="AP790" s="2">
        <f t="shared" si="114"/>
        <v>0</v>
      </c>
      <c r="AQ790" s="25">
        <f t="shared" si="115"/>
        <v>0</v>
      </c>
    </row>
    <row r="791" spans="1:43">
      <c r="A791" s="24">
        <v>46136</v>
      </c>
      <c r="B791" s="23">
        <f t="shared" si="108"/>
        <v>46113</v>
      </c>
      <c r="C791" s="2" t="s">
        <v>72</v>
      </c>
      <c r="D791" s="2" t="s">
        <v>496</v>
      </c>
      <c r="E791" s="2">
        <v>2648</v>
      </c>
      <c r="F791" s="2">
        <v>488</v>
      </c>
      <c r="G791" s="2">
        <v>440</v>
      </c>
      <c r="H791" s="2">
        <f t="shared" si="116"/>
        <v>48</v>
      </c>
      <c r="I791" s="2">
        <v>18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20</v>
      </c>
      <c r="AE791" s="2">
        <v>0</v>
      </c>
      <c r="AF791" s="2">
        <v>0</v>
      </c>
      <c r="AG791" s="2">
        <v>0</v>
      </c>
      <c r="AH791" s="2">
        <v>10</v>
      </c>
      <c r="AI791" s="2"/>
      <c r="AJ791" s="2" t="s">
        <v>80</v>
      </c>
      <c r="AK791" s="2">
        <f t="shared" si="109"/>
        <v>18</v>
      </c>
      <c r="AL791" s="2">
        <f t="shared" si="110"/>
        <v>0</v>
      </c>
      <c r="AM791" s="2">
        <f t="shared" si="111"/>
        <v>0</v>
      </c>
      <c r="AN791" s="2">
        <f t="shared" si="112"/>
        <v>10</v>
      </c>
      <c r="AO791" s="2">
        <f t="shared" si="113"/>
        <v>0</v>
      </c>
      <c r="AP791" s="2">
        <f t="shared" si="114"/>
        <v>20</v>
      </c>
      <c r="AQ791" s="25">
        <f t="shared" si="115"/>
        <v>0</v>
      </c>
    </row>
    <row r="792" spans="1:43">
      <c r="A792" s="24">
        <v>46136</v>
      </c>
      <c r="B792" s="23">
        <f t="shared" si="108"/>
        <v>46113</v>
      </c>
      <c r="C792" s="2" t="s">
        <v>55</v>
      </c>
      <c r="D792" s="2" t="s">
        <v>469</v>
      </c>
      <c r="E792" s="2">
        <v>2606</v>
      </c>
      <c r="F792" s="2">
        <v>174</v>
      </c>
      <c r="G792" s="2">
        <v>172</v>
      </c>
      <c r="H792" s="2">
        <f t="shared" si="116"/>
        <v>2</v>
      </c>
      <c r="I792" s="2">
        <v>2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/>
      <c r="AJ792" s="2" t="s">
        <v>80</v>
      </c>
      <c r="AK792" s="2">
        <f t="shared" si="109"/>
        <v>2</v>
      </c>
      <c r="AL792" s="2">
        <f t="shared" si="110"/>
        <v>0</v>
      </c>
      <c r="AM792" s="2">
        <f t="shared" si="111"/>
        <v>0</v>
      </c>
      <c r="AN792" s="2">
        <f t="shared" si="112"/>
        <v>0</v>
      </c>
      <c r="AO792" s="2">
        <f t="shared" si="113"/>
        <v>0</v>
      </c>
      <c r="AP792" s="2">
        <f t="shared" si="114"/>
        <v>0</v>
      </c>
      <c r="AQ792" s="25">
        <f t="shared" si="115"/>
        <v>0</v>
      </c>
    </row>
    <row r="793" spans="1:43">
      <c r="A793" s="24">
        <v>46136</v>
      </c>
      <c r="B793" s="23">
        <f t="shared" si="108"/>
        <v>46113</v>
      </c>
      <c r="C793" s="2" t="s">
        <v>62</v>
      </c>
      <c r="D793" s="2" t="s">
        <v>1184</v>
      </c>
      <c r="E793" s="2">
        <v>2621</v>
      </c>
      <c r="F793" s="2">
        <v>177</v>
      </c>
      <c r="G793" s="2">
        <v>166</v>
      </c>
      <c r="H793" s="2">
        <f t="shared" si="116"/>
        <v>11</v>
      </c>
      <c r="I793" s="2">
        <v>0</v>
      </c>
      <c r="J793" s="2">
        <v>0</v>
      </c>
      <c r="K793" s="2">
        <v>10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1</v>
      </c>
      <c r="AE793" s="2">
        <v>0</v>
      </c>
      <c r="AF793" s="2">
        <v>0</v>
      </c>
      <c r="AG793" s="2">
        <v>0</v>
      </c>
      <c r="AH793" s="2">
        <v>0</v>
      </c>
      <c r="AI793" s="2"/>
      <c r="AJ793" s="2" t="s">
        <v>80</v>
      </c>
      <c r="AK793" s="2">
        <f t="shared" si="109"/>
        <v>0</v>
      </c>
      <c r="AL793" s="2">
        <f t="shared" si="110"/>
        <v>10</v>
      </c>
      <c r="AM793" s="2">
        <f t="shared" si="111"/>
        <v>0</v>
      </c>
      <c r="AN793" s="2">
        <f t="shared" si="112"/>
        <v>0</v>
      </c>
      <c r="AO793" s="2">
        <f t="shared" si="113"/>
        <v>0</v>
      </c>
      <c r="AP793" s="2">
        <f t="shared" si="114"/>
        <v>1</v>
      </c>
      <c r="AQ793" s="25">
        <f t="shared" si="115"/>
        <v>0</v>
      </c>
    </row>
    <row r="794" spans="1:43">
      <c r="A794" s="24">
        <v>46136</v>
      </c>
      <c r="B794" s="23">
        <f t="shared" si="108"/>
        <v>46113</v>
      </c>
      <c r="C794" s="2" t="s">
        <v>114</v>
      </c>
      <c r="D794" s="2" t="s">
        <v>444</v>
      </c>
      <c r="E794" s="2">
        <v>2575</v>
      </c>
      <c r="F794" s="2">
        <v>281</v>
      </c>
      <c r="G794" s="2">
        <v>265</v>
      </c>
      <c r="H794" s="2">
        <f t="shared" si="116"/>
        <v>16</v>
      </c>
      <c r="I794" s="2">
        <v>5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1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10</v>
      </c>
      <c r="AI794" s="2"/>
      <c r="AJ794" s="2" t="s">
        <v>80</v>
      </c>
      <c r="AK794" s="2">
        <f t="shared" si="109"/>
        <v>5</v>
      </c>
      <c r="AL794" s="2">
        <f t="shared" si="110"/>
        <v>0</v>
      </c>
      <c r="AM794" s="2">
        <f t="shared" si="111"/>
        <v>0</v>
      </c>
      <c r="AN794" s="2">
        <f t="shared" si="112"/>
        <v>11</v>
      </c>
      <c r="AO794" s="2">
        <f t="shared" si="113"/>
        <v>0</v>
      </c>
      <c r="AP794" s="2">
        <f t="shared" si="114"/>
        <v>0</v>
      </c>
      <c r="AQ794" s="25">
        <f t="shared" si="115"/>
        <v>0</v>
      </c>
    </row>
    <row r="795" spans="1:43">
      <c r="A795" s="24">
        <v>46136</v>
      </c>
      <c r="B795" s="23">
        <f t="shared" si="108"/>
        <v>46113</v>
      </c>
      <c r="C795" s="2" t="s">
        <v>63</v>
      </c>
      <c r="D795" s="2" t="s">
        <v>505</v>
      </c>
      <c r="E795" s="2">
        <v>2589</v>
      </c>
      <c r="F795" s="2">
        <v>278</v>
      </c>
      <c r="G795" s="2">
        <v>273</v>
      </c>
      <c r="H795" s="2">
        <f t="shared" si="116"/>
        <v>5</v>
      </c>
      <c r="I795" s="2">
        <v>4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1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/>
      <c r="AJ795" s="2" t="s">
        <v>80</v>
      </c>
      <c r="AK795" s="2">
        <f t="shared" si="109"/>
        <v>4</v>
      </c>
      <c r="AL795" s="2">
        <f t="shared" si="110"/>
        <v>0</v>
      </c>
      <c r="AM795" s="2">
        <f t="shared" si="111"/>
        <v>0</v>
      </c>
      <c r="AN795" s="2">
        <f t="shared" si="112"/>
        <v>1</v>
      </c>
      <c r="AO795" s="2">
        <f t="shared" si="113"/>
        <v>0</v>
      </c>
      <c r="AP795" s="2">
        <f t="shared" si="114"/>
        <v>0</v>
      </c>
      <c r="AQ795" s="25">
        <f t="shared" si="115"/>
        <v>0</v>
      </c>
    </row>
    <row r="796" spans="1:43">
      <c r="A796" s="24">
        <v>46136</v>
      </c>
      <c r="B796" s="23">
        <f t="shared" si="108"/>
        <v>46113</v>
      </c>
      <c r="C796" s="2" t="s">
        <v>55</v>
      </c>
      <c r="D796" s="2" t="s">
        <v>1289</v>
      </c>
      <c r="E796" s="2">
        <v>2570</v>
      </c>
      <c r="F796" s="2">
        <v>52</v>
      </c>
      <c r="G796" s="2">
        <v>50</v>
      </c>
      <c r="H796" s="2">
        <f t="shared" si="116"/>
        <v>2</v>
      </c>
      <c r="I796" s="2">
        <v>1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1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/>
      <c r="AJ796" s="2" t="s">
        <v>80</v>
      </c>
      <c r="AK796" s="2">
        <f t="shared" si="109"/>
        <v>1</v>
      </c>
      <c r="AL796" s="2">
        <f t="shared" si="110"/>
        <v>1</v>
      </c>
      <c r="AM796" s="2">
        <f t="shared" si="111"/>
        <v>0</v>
      </c>
      <c r="AN796" s="2">
        <f t="shared" si="112"/>
        <v>0</v>
      </c>
      <c r="AO796" s="2">
        <f t="shared" si="113"/>
        <v>0</v>
      </c>
      <c r="AP796" s="2">
        <f t="shared" si="114"/>
        <v>0</v>
      </c>
      <c r="AQ796" s="25">
        <f t="shared" si="115"/>
        <v>0</v>
      </c>
    </row>
    <row r="797" spans="1:43">
      <c r="A797" s="24">
        <v>46136</v>
      </c>
      <c r="B797" s="23">
        <f t="shared" si="108"/>
        <v>46113</v>
      </c>
      <c r="C797" s="2" t="s">
        <v>114</v>
      </c>
      <c r="D797" s="2" t="s">
        <v>533</v>
      </c>
      <c r="E797" s="2">
        <v>2575</v>
      </c>
      <c r="F797" s="2">
        <v>41</v>
      </c>
      <c r="G797" s="2">
        <v>40</v>
      </c>
      <c r="H797" s="2">
        <f t="shared" si="116"/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1</v>
      </c>
      <c r="AI797" s="2"/>
      <c r="AJ797" s="2" t="s">
        <v>80</v>
      </c>
      <c r="AK797" s="2">
        <f t="shared" si="109"/>
        <v>0</v>
      </c>
      <c r="AL797" s="2">
        <f t="shared" si="110"/>
        <v>0</v>
      </c>
      <c r="AM797" s="2">
        <f t="shared" si="111"/>
        <v>0</v>
      </c>
      <c r="AN797" s="2">
        <f t="shared" si="112"/>
        <v>1</v>
      </c>
      <c r="AO797" s="2">
        <f t="shared" si="113"/>
        <v>0</v>
      </c>
      <c r="AP797" s="2">
        <f t="shared" si="114"/>
        <v>0</v>
      </c>
      <c r="AQ797" s="25">
        <f t="shared" si="115"/>
        <v>0</v>
      </c>
    </row>
    <row r="798" spans="1:43">
      <c r="A798" s="24">
        <v>46136</v>
      </c>
      <c r="B798" s="23">
        <f t="shared" si="108"/>
        <v>46113</v>
      </c>
      <c r="C798" s="2" t="s">
        <v>114</v>
      </c>
      <c r="D798" s="2" t="s">
        <v>547</v>
      </c>
      <c r="E798" s="2">
        <v>311</v>
      </c>
      <c r="F798" s="2">
        <v>144</v>
      </c>
      <c r="G798" s="2">
        <v>144</v>
      </c>
      <c r="H798" s="2">
        <f t="shared" si="116"/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/>
      <c r="AJ798" s="2" t="s">
        <v>103</v>
      </c>
      <c r="AK798" s="2">
        <f t="shared" si="109"/>
        <v>0</v>
      </c>
      <c r="AL798" s="2">
        <f t="shared" si="110"/>
        <v>0</v>
      </c>
      <c r="AM798" s="2">
        <f t="shared" si="111"/>
        <v>0</v>
      </c>
      <c r="AN798" s="2">
        <f t="shared" si="112"/>
        <v>0</v>
      </c>
      <c r="AO798" s="2">
        <f t="shared" si="113"/>
        <v>0</v>
      </c>
      <c r="AP798" s="2">
        <f t="shared" si="114"/>
        <v>0</v>
      </c>
      <c r="AQ798" s="25">
        <f t="shared" si="115"/>
        <v>0</v>
      </c>
    </row>
    <row r="799" spans="1:43">
      <c r="A799" s="24">
        <v>46136</v>
      </c>
      <c r="B799" s="23">
        <f t="shared" si="108"/>
        <v>46113</v>
      </c>
      <c r="C799" s="2" t="s">
        <v>114</v>
      </c>
      <c r="D799" s="2" t="s">
        <v>547</v>
      </c>
      <c r="E799" s="2">
        <v>311</v>
      </c>
      <c r="F799" s="2">
        <v>92</v>
      </c>
      <c r="G799" s="2">
        <v>90</v>
      </c>
      <c r="H799" s="2">
        <f t="shared" si="116"/>
        <v>2</v>
      </c>
      <c r="I799" s="2">
        <v>1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1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/>
      <c r="AJ799" s="2" t="s">
        <v>103</v>
      </c>
      <c r="AK799" s="2">
        <f t="shared" si="109"/>
        <v>1</v>
      </c>
      <c r="AL799" s="2">
        <f t="shared" si="110"/>
        <v>1</v>
      </c>
      <c r="AM799" s="2">
        <f t="shared" si="111"/>
        <v>0</v>
      </c>
      <c r="AN799" s="2">
        <f t="shared" si="112"/>
        <v>0</v>
      </c>
      <c r="AO799" s="2">
        <f t="shared" si="113"/>
        <v>0</v>
      </c>
      <c r="AP799" s="2">
        <f t="shared" si="114"/>
        <v>0</v>
      </c>
      <c r="AQ799" s="25">
        <f t="shared" si="115"/>
        <v>0</v>
      </c>
    </row>
    <row r="800" spans="1:43">
      <c r="A800" s="24">
        <v>46136</v>
      </c>
      <c r="B800" s="23">
        <f t="shared" si="108"/>
        <v>46113</v>
      </c>
      <c r="C800" s="2" t="s">
        <v>72</v>
      </c>
      <c r="D800" s="2" t="s">
        <v>1495</v>
      </c>
      <c r="E800" s="2">
        <v>10063</v>
      </c>
      <c r="F800" s="2">
        <v>37</v>
      </c>
      <c r="G800" s="2">
        <v>34</v>
      </c>
      <c r="H800" s="2">
        <f t="shared" si="116"/>
        <v>3</v>
      </c>
      <c r="I800" s="2">
        <v>3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/>
      <c r="AJ800" s="2" t="s">
        <v>103</v>
      </c>
      <c r="AK800" s="2">
        <f t="shared" si="109"/>
        <v>3</v>
      </c>
      <c r="AL800" s="2">
        <f t="shared" si="110"/>
        <v>0</v>
      </c>
      <c r="AM800" s="2">
        <f t="shared" si="111"/>
        <v>0</v>
      </c>
      <c r="AN800" s="2">
        <f t="shared" si="112"/>
        <v>0</v>
      </c>
      <c r="AO800" s="2">
        <f t="shared" si="113"/>
        <v>0</v>
      </c>
      <c r="AP800" s="2">
        <f t="shared" si="114"/>
        <v>0</v>
      </c>
      <c r="AQ800" s="25">
        <f t="shared" si="115"/>
        <v>0</v>
      </c>
    </row>
    <row r="801" spans="1:43">
      <c r="A801" s="24">
        <v>46136</v>
      </c>
      <c r="B801" s="23">
        <f t="shared" si="108"/>
        <v>46113</v>
      </c>
      <c r="C801" s="2" t="s">
        <v>72</v>
      </c>
      <c r="D801" s="2" t="s">
        <v>514</v>
      </c>
      <c r="E801" s="2">
        <v>10038</v>
      </c>
      <c r="F801" s="2">
        <v>219</v>
      </c>
      <c r="G801" s="2">
        <v>216</v>
      </c>
      <c r="H801" s="2">
        <f t="shared" si="116"/>
        <v>3</v>
      </c>
      <c r="I801" s="2">
        <v>3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/>
      <c r="AJ801" s="2" t="s">
        <v>103</v>
      </c>
      <c r="AK801" s="2">
        <f t="shared" si="109"/>
        <v>3</v>
      </c>
      <c r="AL801" s="2">
        <f t="shared" si="110"/>
        <v>0</v>
      </c>
      <c r="AM801" s="2">
        <f t="shared" si="111"/>
        <v>0</v>
      </c>
      <c r="AN801" s="2">
        <f t="shared" si="112"/>
        <v>0</v>
      </c>
      <c r="AO801" s="2">
        <f t="shared" si="113"/>
        <v>0</v>
      </c>
      <c r="AP801" s="2">
        <f t="shared" si="114"/>
        <v>0</v>
      </c>
      <c r="AQ801" s="25">
        <f t="shared" si="115"/>
        <v>0</v>
      </c>
    </row>
    <row r="802" spans="1:43">
      <c r="A802" s="24">
        <v>46136</v>
      </c>
      <c r="B802" s="23">
        <f t="shared" si="108"/>
        <v>46113</v>
      </c>
      <c r="C802" s="2" t="s">
        <v>114</v>
      </c>
      <c r="D802" s="2" t="s">
        <v>555</v>
      </c>
      <c r="E802" s="2">
        <v>1803</v>
      </c>
      <c r="F802" s="2">
        <v>33</v>
      </c>
      <c r="G802" s="2">
        <v>33</v>
      </c>
      <c r="H802" s="2">
        <f t="shared" si="116"/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/>
      <c r="AJ802" s="2" t="s">
        <v>103</v>
      </c>
      <c r="AK802" s="2">
        <f t="shared" si="109"/>
        <v>0</v>
      </c>
      <c r="AL802" s="2">
        <f t="shared" si="110"/>
        <v>0</v>
      </c>
      <c r="AM802" s="2">
        <f t="shared" si="111"/>
        <v>0</v>
      </c>
      <c r="AN802" s="2">
        <f t="shared" si="112"/>
        <v>0</v>
      </c>
      <c r="AO802" s="2">
        <f t="shared" si="113"/>
        <v>0</v>
      </c>
      <c r="AP802" s="2">
        <f t="shared" si="114"/>
        <v>0</v>
      </c>
      <c r="AQ802" s="25">
        <f t="shared" si="115"/>
        <v>0</v>
      </c>
    </row>
    <row r="803" spans="1:43">
      <c r="A803" s="24">
        <v>46136</v>
      </c>
      <c r="B803" s="23">
        <f t="shared" si="108"/>
        <v>46113</v>
      </c>
      <c r="C803" s="2" t="s">
        <v>62</v>
      </c>
      <c r="D803" s="2" t="s">
        <v>450</v>
      </c>
      <c r="E803" s="2">
        <v>1823</v>
      </c>
      <c r="F803" s="2">
        <v>124</v>
      </c>
      <c r="G803" s="2">
        <v>122</v>
      </c>
      <c r="H803" s="2">
        <f t="shared" si="116"/>
        <v>2</v>
      </c>
      <c r="I803" s="2">
        <v>2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/>
      <c r="AJ803" s="2" t="s">
        <v>1568</v>
      </c>
      <c r="AK803" s="2">
        <f t="shared" si="109"/>
        <v>2</v>
      </c>
      <c r="AL803" s="2">
        <f t="shared" si="110"/>
        <v>0</v>
      </c>
      <c r="AM803" s="2">
        <f t="shared" si="111"/>
        <v>0</v>
      </c>
      <c r="AN803" s="2">
        <f t="shared" si="112"/>
        <v>0</v>
      </c>
      <c r="AO803" s="2">
        <f t="shared" si="113"/>
        <v>0</v>
      </c>
      <c r="AP803" s="2">
        <f t="shared" si="114"/>
        <v>0</v>
      </c>
      <c r="AQ803" s="25">
        <f t="shared" si="115"/>
        <v>0</v>
      </c>
    </row>
    <row r="804" spans="1:43">
      <c r="A804" s="24">
        <v>46136</v>
      </c>
      <c r="B804" s="23">
        <f t="shared" si="108"/>
        <v>46113</v>
      </c>
      <c r="C804" s="2" t="s">
        <v>62</v>
      </c>
      <c r="D804" s="2" t="s">
        <v>1200</v>
      </c>
      <c r="E804" s="2">
        <v>1806</v>
      </c>
      <c r="F804" s="2">
        <v>32</v>
      </c>
      <c r="G804" s="2">
        <v>31</v>
      </c>
      <c r="H804" s="2">
        <f t="shared" si="116"/>
        <v>1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/>
      <c r="AJ804" s="2" t="s">
        <v>1568</v>
      </c>
      <c r="AK804" s="2">
        <f t="shared" si="109"/>
        <v>0</v>
      </c>
      <c r="AL804" s="2">
        <f t="shared" si="110"/>
        <v>1</v>
      </c>
      <c r="AM804" s="2">
        <f t="shared" si="111"/>
        <v>0</v>
      </c>
      <c r="AN804" s="2">
        <f t="shared" si="112"/>
        <v>0</v>
      </c>
      <c r="AO804" s="2">
        <f t="shared" si="113"/>
        <v>0</v>
      </c>
      <c r="AP804" s="2">
        <f t="shared" si="114"/>
        <v>0</v>
      </c>
      <c r="AQ804" s="25">
        <f t="shared" si="115"/>
        <v>0</v>
      </c>
    </row>
    <row r="805" spans="1:43">
      <c r="A805" s="24">
        <v>46136</v>
      </c>
      <c r="B805" s="23">
        <f t="shared" si="108"/>
        <v>46113</v>
      </c>
      <c r="C805" s="2" t="s">
        <v>62</v>
      </c>
      <c r="D805" s="2" t="s">
        <v>458</v>
      </c>
      <c r="E805" s="2">
        <v>1824</v>
      </c>
      <c r="F805" s="2">
        <v>78</v>
      </c>
      <c r="G805" s="2">
        <v>72</v>
      </c>
      <c r="H805" s="2">
        <f t="shared" si="116"/>
        <v>6</v>
      </c>
      <c r="I805" s="2">
        <v>6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/>
      <c r="AJ805" s="2" t="s">
        <v>1568</v>
      </c>
      <c r="AK805" s="2">
        <f t="shared" si="109"/>
        <v>6</v>
      </c>
      <c r="AL805" s="2">
        <f t="shared" si="110"/>
        <v>0</v>
      </c>
      <c r="AM805" s="2">
        <f t="shared" si="111"/>
        <v>0</v>
      </c>
      <c r="AN805" s="2">
        <f t="shared" si="112"/>
        <v>0</v>
      </c>
      <c r="AO805" s="2">
        <f t="shared" si="113"/>
        <v>0</v>
      </c>
      <c r="AP805" s="2">
        <f t="shared" si="114"/>
        <v>0</v>
      </c>
      <c r="AQ805" s="25">
        <f t="shared" si="115"/>
        <v>0</v>
      </c>
    </row>
    <row r="806" spans="1:43">
      <c r="A806" s="24">
        <v>46136</v>
      </c>
      <c r="B806" s="23">
        <f t="shared" si="108"/>
        <v>46113</v>
      </c>
      <c r="C806" s="2" t="s">
        <v>62</v>
      </c>
      <c r="D806" s="2" t="s">
        <v>457</v>
      </c>
      <c r="E806" s="2">
        <v>1806</v>
      </c>
      <c r="F806" s="2">
        <v>33</v>
      </c>
      <c r="G806" s="2">
        <v>33</v>
      </c>
      <c r="H806" s="2">
        <f t="shared" si="116"/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/>
      <c r="AJ806" s="2" t="s">
        <v>1568</v>
      </c>
      <c r="AK806" s="2">
        <f t="shared" si="109"/>
        <v>0</v>
      </c>
      <c r="AL806" s="2">
        <f t="shared" si="110"/>
        <v>0</v>
      </c>
      <c r="AM806" s="2">
        <f t="shared" si="111"/>
        <v>0</v>
      </c>
      <c r="AN806" s="2">
        <f t="shared" si="112"/>
        <v>0</v>
      </c>
      <c r="AO806" s="2">
        <f t="shared" si="113"/>
        <v>0</v>
      </c>
      <c r="AP806" s="2">
        <f t="shared" si="114"/>
        <v>0</v>
      </c>
      <c r="AQ806" s="25">
        <f t="shared" si="115"/>
        <v>0</v>
      </c>
    </row>
    <row r="807" spans="1:43">
      <c r="A807" s="24">
        <v>46136</v>
      </c>
      <c r="B807" s="23">
        <f t="shared" si="108"/>
        <v>46113</v>
      </c>
      <c r="C807" s="2" t="s">
        <v>62</v>
      </c>
      <c r="D807" s="2" t="s">
        <v>1293</v>
      </c>
      <c r="E807" s="2">
        <v>2754</v>
      </c>
      <c r="F807" s="2">
        <v>175</v>
      </c>
      <c r="G807" s="2">
        <v>172</v>
      </c>
      <c r="H807" s="2">
        <f t="shared" si="116"/>
        <v>3</v>
      </c>
      <c r="I807" s="2">
        <v>3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/>
      <c r="AJ807" s="2" t="s">
        <v>1568</v>
      </c>
      <c r="AK807" s="2">
        <f t="shared" si="109"/>
        <v>3</v>
      </c>
      <c r="AL807" s="2">
        <f t="shared" si="110"/>
        <v>0</v>
      </c>
      <c r="AM807" s="2">
        <f t="shared" si="111"/>
        <v>0</v>
      </c>
      <c r="AN807" s="2">
        <f t="shared" si="112"/>
        <v>0</v>
      </c>
      <c r="AO807" s="2">
        <f t="shared" si="113"/>
        <v>0</v>
      </c>
      <c r="AP807" s="2">
        <f t="shared" si="114"/>
        <v>0</v>
      </c>
      <c r="AQ807" s="25">
        <f t="shared" si="115"/>
        <v>0</v>
      </c>
    </row>
    <row r="808" spans="1:43">
      <c r="A808" s="24">
        <v>46136</v>
      </c>
      <c r="B808" s="23">
        <f t="shared" si="108"/>
        <v>46113</v>
      </c>
      <c r="C808" s="2" t="s">
        <v>63</v>
      </c>
      <c r="D808" s="2" t="s">
        <v>451</v>
      </c>
      <c r="E808" s="2">
        <v>1698</v>
      </c>
      <c r="F808" s="2">
        <v>456</v>
      </c>
      <c r="G808" s="2">
        <v>456</v>
      </c>
      <c r="H808" s="2">
        <f t="shared" si="116"/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/>
      <c r="AJ808" s="2" t="s">
        <v>1568</v>
      </c>
      <c r="AK808" s="2">
        <f t="shared" si="109"/>
        <v>0</v>
      </c>
      <c r="AL808" s="2">
        <f t="shared" si="110"/>
        <v>0</v>
      </c>
      <c r="AM808" s="2">
        <f t="shared" si="111"/>
        <v>0</v>
      </c>
      <c r="AN808" s="2">
        <f t="shared" si="112"/>
        <v>0</v>
      </c>
      <c r="AO808" s="2">
        <f t="shared" si="113"/>
        <v>0</v>
      </c>
      <c r="AP808" s="2">
        <f t="shared" si="114"/>
        <v>0</v>
      </c>
      <c r="AQ808" s="25">
        <f t="shared" si="115"/>
        <v>0</v>
      </c>
    </row>
    <row r="809" spans="1:43">
      <c r="A809" s="24">
        <v>46136</v>
      </c>
      <c r="B809" s="23">
        <f t="shared" si="108"/>
        <v>46113</v>
      </c>
      <c r="C809" s="2" t="s">
        <v>82</v>
      </c>
      <c r="D809" s="2" t="s">
        <v>532</v>
      </c>
      <c r="E809" s="2">
        <v>2606</v>
      </c>
      <c r="F809" s="2">
        <v>87</v>
      </c>
      <c r="G809" s="2">
        <v>87</v>
      </c>
      <c r="H809" s="2">
        <f t="shared" si="116"/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/>
      <c r="AJ809" s="2" t="s">
        <v>93</v>
      </c>
      <c r="AK809" s="2">
        <f t="shared" si="109"/>
        <v>0</v>
      </c>
      <c r="AL809" s="2">
        <f t="shared" si="110"/>
        <v>0</v>
      </c>
      <c r="AM809" s="2">
        <f t="shared" si="111"/>
        <v>0</v>
      </c>
      <c r="AN809" s="2">
        <f t="shared" si="112"/>
        <v>0</v>
      </c>
      <c r="AO809" s="2">
        <f t="shared" si="113"/>
        <v>0</v>
      </c>
      <c r="AP809" s="2">
        <f t="shared" si="114"/>
        <v>0</v>
      </c>
      <c r="AQ809" s="25">
        <f t="shared" si="115"/>
        <v>0</v>
      </c>
    </row>
    <row r="810" spans="1:43">
      <c r="A810" s="24">
        <v>46136</v>
      </c>
      <c r="B810" s="23">
        <f t="shared" si="108"/>
        <v>46113</v>
      </c>
      <c r="C810" s="2" t="s">
        <v>82</v>
      </c>
      <c r="D810" s="2" t="s">
        <v>532</v>
      </c>
      <c r="E810" s="2">
        <v>2606</v>
      </c>
      <c r="F810" s="2">
        <v>169</v>
      </c>
      <c r="G810" s="2">
        <v>169</v>
      </c>
      <c r="H810" s="2">
        <f t="shared" si="116"/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/>
      <c r="AJ810" s="2" t="s">
        <v>93</v>
      </c>
      <c r="AK810" s="2">
        <f t="shared" si="109"/>
        <v>0</v>
      </c>
      <c r="AL810" s="2">
        <f t="shared" si="110"/>
        <v>0</v>
      </c>
      <c r="AM810" s="2">
        <f t="shared" si="111"/>
        <v>0</v>
      </c>
      <c r="AN810" s="2">
        <f t="shared" si="112"/>
        <v>0</v>
      </c>
      <c r="AO810" s="2">
        <f t="shared" si="113"/>
        <v>0</v>
      </c>
      <c r="AP810" s="2">
        <f t="shared" si="114"/>
        <v>0</v>
      </c>
      <c r="AQ810" s="25">
        <f t="shared" si="115"/>
        <v>0</v>
      </c>
    </row>
    <row r="811" spans="1:43">
      <c r="A811" s="24">
        <v>46136</v>
      </c>
      <c r="B811" s="23">
        <f t="shared" si="108"/>
        <v>46113</v>
      </c>
      <c r="C811" s="2" t="s">
        <v>82</v>
      </c>
      <c r="D811" s="2" t="s">
        <v>1510</v>
      </c>
      <c r="E811" s="2">
        <v>1506</v>
      </c>
      <c r="F811" s="2">
        <v>35</v>
      </c>
      <c r="G811" s="2">
        <v>33</v>
      </c>
      <c r="H811" s="2">
        <f t="shared" si="116"/>
        <v>2</v>
      </c>
      <c r="I811" s="2">
        <v>2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/>
      <c r="AJ811" s="2" t="s">
        <v>93</v>
      </c>
      <c r="AK811" s="2">
        <f t="shared" si="109"/>
        <v>2</v>
      </c>
      <c r="AL811" s="2">
        <f t="shared" si="110"/>
        <v>0</v>
      </c>
      <c r="AM811" s="2">
        <f t="shared" si="111"/>
        <v>0</v>
      </c>
      <c r="AN811" s="2">
        <f t="shared" si="112"/>
        <v>0</v>
      </c>
      <c r="AO811" s="2">
        <f t="shared" si="113"/>
        <v>0</v>
      </c>
      <c r="AP811" s="2">
        <f t="shared" si="114"/>
        <v>0</v>
      </c>
      <c r="AQ811" s="25">
        <f t="shared" si="115"/>
        <v>0</v>
      </c>
    </row>
    <row r="812" spans="1:43">
      <c r="A812" s="24">
        <v>46136</v>
      </c>
      <c r="B812" s="23">
        <f t="shared" si="108"/>
        <v>46113</v>
      </c>
      <c r="C812" s="2" t="s">
        <v>82</v>
      </c>
      <c r="D812" s="2" t="s">
        <v>469</v>
      </c>
      <c r="E812" s="2">
        <v>2606</v>
      </c>
      <c r="F812" s="2">
        <v>45</v>
      </c>
      <c r="G812" s="2">
        <v>44</v>
      </c>
      <c r="H812" s="2">
        <f t="shared" si="116"/>
        <v>1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1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/>
      <c r="AJ812" s="2" t="s">
        <v>93</v>
      </c>
      <c r="AK812" s="2">
        <f t="shared" si="109"/>
        <v>0</v>
      </c>
      <c r="AL812" s="2">
        <f t="shared" si="110"/>
        <v>1</v>
      </c>
      <c r="AM812" s="2">
        <f t="shared" si="111"/>
        <v>0</v>
      </c>
      <c r="AN812" s="2">
        <f t="shared" si="112"/>
        <v>0</v>
      </c>
      <c r="AO812" s="2">
        <f t="shared" si="113"/>
        <v>0</v>
      </c>
      <c r="AP812" s="2">
        <f t="shared" si="114"/>
        <v>0</v>
      </c>
      <c r="AQ812" s="25">
        <f t="shared" si="115"/>
        <v>0</v>
      </c>
    </row>
    <row r="813" spans="1:43">
      <c r="A813" s="24">
        <v>46136</v>
      </c>
      <c r="B813" s="23">
        <f t="shared" si="108"/>
        <v>46113</v>
      </c>
      <c r="C813" s="2" t="s">
        <v>82</v>
      </c>
      <c r="D813" s="2" t="s">
        <v>1201</v>
      </c>
      <c r="E813" s="2">
        <v>2606</v>
      </c>
      <c r="F813" s="2">
        <v>52</v>
      </c>
      <c r="G813" s="2">
        <v>52</v>
      </c>
      <c r="H813" s="2">
        <f t="shared" si="116"/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/>
      <c r="AJ813" s="2" t="s">
        <v>93</v>
      </c>
      <c r="AK813" s="2">
        <f t="shared" si="109"/>
        <v>0</v>
      </c>
      <c r="AL813" s="2">
        <f t="shared" si="110"/>
        <v>0</v>
      </c>
      <c r="AM813" s="2">
        <f t="shared" si="111"/>
        <v>0</v>
      </c>
      <c r="AN813" s="2">
        <f t="shared" si="112"/>
        <v>0</v>
      </c>
      <c r="AO813" s="2">
        <f t="shared" si="113"/>
        <v>0</v>
      </c>
      <c r="AP813" s="2">
        <f t="shared" si="114"/>
        <v>0</v>
      </c>
      <c r="AQ813" s="25">
        <f t="shared" si="115"/>
        <v>0</v>
      </c>
    </row>
    <row r="814" spans="1:43">
      <c r="A814" s="24">
        <v>46136</v>
      </c>
      <c r="B814" s="23">
        <f t="shared" si="108"/>
        <v>46113</v>
      </c>
      <c r="C814" s="2" t="s">
        <v>160</v>
      </c>
      <c r="D814" s="2" t="s">
        <v>549</v>
      </c>
      <c r="E814" s="2">
        <v>1870</v>
      </c>
      <c r="F814" s="2">
        <v>345</v>
      </c>
      <c r="G814" s="2">
        <v>336</v>
      </c>
      <c r="H814" s="2">
        <f t="shared" si="116"/>
        <v>9</v>
      </c>
      <c r="I814" s="2">
        <v>7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2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/>
      <c r="AJ814" s="2" t="s">
        <v>93</v>
      </c>
      <c r="AK814" s="2">
        <f t="shared" si="109"/>
        <v>7</v>
      </c>
      <c r="AL814" s="2">
        <f t="shared" si="110"/>
        <v>2</v>
      </c>
      <c r="AM814" s="2">
        <f t="shared" si="111"/>
        <v>0</v>
      </c>
      <c r="AN814" s="2">
        <f t="shared" si="112"/>
        <v>0</v>
      </c>
      <c r="AO814" s="2">
        <f t="shared" si="113"/>
        <v>0</v>
      </c>
      <c r="AP814" s="2">
        <f t="shared" si="114"/>
        <v>0</v>
      </c>
      <c r="AQ814" s="25">
        <f t="shared" si="115"/>
        <v>0</v>
      </c>
    </row>
    <row r="815" spans="1:43">
      <c r="A815" s="24">
        <v>46136</v>
      </c>
      <c r="B815" s="23">
        <f t="shared" si="108"/>
        <v>46113</v>
      </c>
      <c r="C815" s="2" t="s">
        <v>82</v>
      </c>
      <c r="D815" s="2" t="s">
        <v>469</v>
      </c>
      <c r="E815" s="2">
        <v>2606</v>
      </c>
      <c r="F815" s="2">
        <v>324</v>
      </c>
      <c r="G815" s="2">
        <v>320</v>
      </c>
      <c r="H815" s="2">
        <f t="shared" si="116"/>
        <v>4</v>
      </c>
      <c r="I815" s="2">
        <v>2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2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/>
      <c r="AJ815" s="2" t="s">
        <v>93</v>
      </c>
      <c r="AK815" s="2">
        <f t="shared" si="109"/>
        <v>2</v>
      </c>
      <c r="AL815" s="2">
        <f t="shared" si="110"/>
        <v>2</v>
      </c>
      <c r="AM815" s="2">
        <f t="shared" si="111"/>
        <v>0</v>
      </c>
      <c r="AN815" s="2">
        <f t="shared" si="112"/>
        <v>0</v>
      </c>
      <c r="AO815" s="2">
        <f t="shared" si="113"/>
        <v>0</v>
      </c>
      <c r="AP815" s="2">
        <f t="shared" si="114"/>
        <v>0</v>
      </c>
      <c r="AQ815" s="25">
        <f t="shared" si="115"/>
        <v>0</v>
      </c>
    </row>
    <row r="816" spans="1:43">
      <c r="A816" s="24">
        <v>46136</v>
      </c>
      <c r="B816" s="23">
        <f t="shared" si="108"/>
        <v>46113</v>
      </c>
      <c r="C816" s="2" t="s">
        <v>55</v>
      </c>
      <c r="D816" s="2" t="s">
        <v>469</v>
      </c>
      <c r="E816" s="2">
        <v>2606</v>
      </c>
      <c r="F816" s="2">
        <v>50</v>
      </c>
      <c r="G816" s="2">
        <v>50</v>
      </c>
      <c r="H816" s="2">
        <f t="shared" si="116"/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/>
      <c r="AJ816" s="2" t="s">
        <v>1566</v>
      </c>
      <c r="AK816" s="2">
        <f t="shared" si="109"/>
        <v>0</v>
      </c>
      <c r="AL816" s="2">
        <f t="shared" si="110"/>
        <v>0</v>
      </c>
      <c r="AM816" s="2">
        <f t="shared" si="111"/>
        <v>0</v>
      </c>
      <c r="AN816" s="2">
        <f t="shared" si="112"/>
        <v>0</v>
      </c>
      <c r="AO816" s="2">
        <f t="shared" si="113"/>
        <v>0</v>
      </c>
      <c r="AP816" s="2">
        <f t="shared" si="114"/>
        <v>0</v>
      </c>
      <c r="AQ816" s="25">
        <f t="shared" si="115"/>
        <v>0</v>
      </c>
    </row>
    <row r="817" spans="1:43">
      <c r="A817" s="24">
        <v>46136</v>
      </c>
      <c r="B817" s="23">
        <f t="shared" si="108"/>
        <v>46113</v>
      </c>
      <c r="C817" s="2" t="s">
        <v>55</v>
      </c>
      <c r="D817" s="2" t="s">
        <v>483</v>
      </c>
      <c r="E817" s="2">
        <v>9323</v>
      </c>
      <c r="F817" s="2">
        <v>27</v>
      </c>
      <c r="G817" s="2">
        <v>23</v>
      </c>
      <c r="H817" s="2">
        <f t="shared" si="116"/>
        <v>4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4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/>
      <c r="AJ817" s="2" t="s">
        <v>1566</v>
      </c>
      <c r="AK817" s="2">
        <f t="shared" si="109"/>
        <v>0</v>
      </c>
      <c r="AL817" s="2">
        <f t="shared" si="110"/>
        <v>4</v>
      </c>
      <c r="AM817" s="2">
        <f t="shared" si="111"/>
        <v>0</v>
      </c>
      <c r="AN817" s="2">
        <f t="shared" si="112"/>
        <v>0</v>
      </c>
      <c r="AO817" s="2">
        <f t="shared" si="113"/>
        <v>0</v>
      </c>
      <c r="AP817" s="2">
        <f t="shared" si="114"/>
        <v>0</v>
      </c>
      <c r="AQ817" s="25">
        <f t="shared" si="115"/>
        <v>0</v>
      </c>
    </row>
    <row r="818" spans="1:43">
      <c r="A818" s="24">
        <v>46136</v>
      </c>
      <c r="B818" s="23">
        <f t="shared" si="108"/>
        <v>46113</v>
      </c>
      <c r="C818" s="2" t="s">
        <v>55</v>
      </c>
      <c r="D818" s="2" t="s">
        <v>521</v>
      </c>
      <c r="E818" s="2">
        <v>2590</v>
      </c>
      <c r="F818" s="2">
        <v>69</v>
      </c>
      <c r="G818" s="2">
        <v>67</v>
      </c>
      <c r="H818" s="2">
        <f t="shared" si="116"/>
        <v>2</v>
      </c>
      <c r="I818" s="2">
        <v>2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/>
      <c r="AJ818" s="2" t="s">
        <v>1566</v>
      </c>
      <c r="AK818" s="2">
        <f t="shared" si="109"/>
        <v>2</v>
      </c>
      <c r="AL818" s="2">
        <f t="shared" si="110"/>
        <v>0</v>
      </c>
      <c r="AM818" s="2">
        <f t="shared" si="111"/>
        <v>0</v>
      </c>
      <c r="AN818" s="2">
        <f t="shared" si="112"/>
        <v>0</v>
      </c>
      <c r="AO818" s="2">
        <f t="shared" si="113"/>
        <v>0</v>
      </c>
      <c r="AP818" s="2">
        <f t="shared" si="114"/>
        <v>0</v>
      </c>
      <c r="AQ818" s="25">
        <f t="shared" si="115"/>
        <v>0</v>
      </c>
    </row>
    <row r="819" spans="1:43">
      <c r="A819" s="24">
        <v>46136</v>
      </c>
      <c r="B819" s="23">
        <f t="shared" si="108"/>
        <v>46113</v>
      </c>
      <c r="C819" s="2" t="s">
        <v>55</v>
      </c>
      <c r="D819" s="2" t="s">
        <v>1191</v>
      </c>
      <c r="E819" s="2">
        <v>2590</v>
      </c>
      <c r="F819" s="2">
        <v>44</v>
      </c>
      <c r="G819" s="2">
        <v>44</v>
      </c>
      <c r="H819" s="2">
        <f t="shared" si="116"/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/>
      <c r="AJ819" s="2" t="s">
        <v>1566</v>
      </c>
      <c r="AK819" s="2">
        <f t="shared" si="109"/>
        <v>0</v>
      </c>
      <c r="AL819" s="2">
        <f t="shared" si="110"/>
        <v>0</v>
      </c>
      <c r="AM819" s="2">
        <f t="shared" si="111"/>
        <v>0</v>
      </c>
      <c r="AN819" s="2">
        <f t="shared" si="112"/>
        <v>0</v>
      </c>
      <c r="AO819" s="2">
        <f t="shared" si="113"/>
        <v>0</v>
      </c>
      <c r="AP819" s="2">
        <f t="shared" si="114"/>
        <v>0</v>
      </c>
      <c r="AQ819" s="25">
        <f t="shared" si="115"/>
        <v>0</v>
      </c>
    </row>
    <row r="820" spans="1:43">
      <c r="A820" s="24">
        <v>46136</v>
      </c>
      <c r="B820" s="23">
        <f t="shared" si="108"/>
        <v>46113</v>
      </c>
      <c r="C820" s="2" t="s">
        <v>55</v>
      </c>
      <c r="D820" s="2" t="s">
        <v>522</v>
      </c>
      <c r="E820" s="2">
        <v>2642</v>
      </c>
      <c r="F820" s="2">
        <v>96</v>
      </c>
      <c r="G820" s="2">
        <v>96</v>
      </c>
      <c r="H820" s="2">
        <f t="shared" si="116"/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/>
      <c r="AJ820" s="2" t="s">
        <v>1566</v>
      </c>
      <c r="AK820" s="2">
        <f t="shared" si="109"/>
        <v>0</v>
      </c>
      <c r="AL820" s="2">
        <f t="shared" si="110"/>
        <v>0</v>
      </c>
      <c r="AM820" s="2">
        <f t="shared" si="111"/>
        <v>0</v>
      </c>
      <c r="AN820" s="2">
        <f t="shared" si="112"/>
        <v>0</v>
      </c>
      <c r="AO820" s="2">
        <f t="shared" si="113"/>
        <v>0</v>
      </c>
      <c r="AP820" s="2">
        <f t="shared" si="114"/>
        <v>0</v>
      </c>
      <c r="AQ820" s="25">
        <f t="shared" si="115"/>
        <v>0</v>
      </c>
    </row>
    <row r="821" spans="1:43">
      <c r="A821" s="24">
        <v>46136</v>
      </c>
      <c r="B821" s="23">
        <f t="shared" si="108"/>
        <v>46113</v>
      </c>
      <c r="C821" s="2" t="s">
        <v>1484</v>
      </c>
      <c r="D821" s="2" t="s">
        <v>1540</v>
      </c>
      <c r="E821" s="2">
        <v>1767</v>
      </c>
      <c r="F821" s="2">
        <v>800</v>
      </c>
      <c r="G821" s="2">
        <v>800</v>
      </c>
      <c r="H821" s="2">
        <f t="shared" si="116"/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/>
      <c r="AJ821" s="2" t="s">
        <v>1566</v>
      </c>
      <c r="AK821" s="2">
        <f t="shared" si="109"/>
        <v>0</v>
      </c>
      <c r="AL821" s="2">
        <f t="shared" si="110"/>
        <v>0</v>
      </c>
      <c r="AM821" s="2">
        <f t="shared" si="111"/>
        <v>0</v>
      </c>
      <c r="AN821" s="2">
        <f t="shared" si="112"/>
        <v>0</v>
      </c>
      <c r="AO821" s="2">
        <f t="shared" si="113"/>
        <v>0</v>
      </c>
      <c r="AP821" s="2">
        <f t="shared" si="114"/>
        <v>0</v>
      </c>
      <c r="AQ821" s="25">
        <f t="shared" si="115"/>
        <v>0</v>
      </c>
    </row>
    <row r="822" spans="1:43">
      <c r="A822" s="24">
        <v>46136</v>
      </c>
      <c r="B822" s="23">
        <f t="shared" si="108"/>
        <v>46113</v>
      </c>
      <c r="C822" s="2" t="s">
        <v>66</v>
      </c>
      <c r="D822" s="2" t="s">
        <v>1540</v>
      </c>
      <c r="E822" s="2">
        <v>1767</v>
      </c>
      <c r="F822" s="2">
        <v>173</v>
      </c>
      <c r="G822" s="2">
        <v>131</v>
      </c>
      <c r="H822" s="2">
        <f t="shared" si="116"/>
        <v>42</v>
      </c>
      <c r="I822" s="2">
        <v>3</v>
      </c>
      <c r="J822" s="2">
        <v>0</v>
      </c>
      <c r="K822" s="2">
        <v>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/>
      <c r="AJ822" s="2" t="s">
        <v>110</v>
      </c>
      <c r="AK822" s="2">
        <f t="shared" si="109"/>
        <v>3</v>
      </c>
      <c r="AL822" s="2">
        <f t="shared" si="110"/>
        <v>39</v>
      </c>
      <c r="AM822" s="2">
        <f t="shared" si="111"/>
        <v>0</v>
      </c>
      <c r="AN822" s="2">
        <f t="shared" si="112"/>
        <v>0</v>
      </c>
      <c r="AO822" s="2">
        <f t="shared" si="113"/>
        <v>0</v>
      </c>
      <c r="AP822" s="2">
        <f t="shared" si="114"/>
        <v>0</v>
      </c>
      <c r="AQ822" s="25">
        <f t="shared" si="115"/>
        <v>0</v>
      </c>
    </row>
    <row r="823" spans="1:43">
      <c r="A823" s="24">
        <v>46136</v>
      </c>
      <c r="B823" s="23">
        <f t="shared" si="108"/>
        <v>46113</v>
      </c>
      <c r="C823" s="2" t="s">
        <v>97</v>
      </c>
      <c r="D823" s="2" t="s">
        <v>1194</v>
      </c>
      <c r="E823" s="2">
        <v>10026</v>
      </c>
      <c r="F823" s="2">
        <v>44</v>
      </c>
      <c r="G823" s="2">
        <v>44</v>
      </c>
      <c r="H823" s="2">
        <f t="shared" si="116"/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/>
      <c r="AJ823" s="2" t="s">
        <v>110</v>
      </c>
      <c r="AK823" s="2">
        <f t="shared" si="109"/>
        <v>0</v>
      </c>
      <c r="AL823" s="2">
        <f t="shared" si="110"/>
        <v>0</v>
      </c>
      <c r="AM823" s="2">
        <f t="shared" si="111"/>
        <v>0</v>
      </c>
      <c r="AN823" s="2">
        <f t="shared" si="112"/>
        <v>0</v>
      </c>
      <c r="AO823" s="2">
        <f t="shared" si="113"/>
        <v>0</v>
      </c>
      <c r="AP823" s="2">
        <f t="shared" si="114"/>
        <v>0</v>
      </c>
      <c r="AQ823" s="25">
        <f t="shared" si="115"/>
        <v>0</v>
      </c>
    </row>
    <row r="824" spans="1:43">
      <c r="A824" s="24">
        <v>46136</v>
      </c>
      <c r="B824" s="23">
        <f t="shared" si="108"/>
        <v>46113</v>
      </c>
      <c r="C824" s="2" t="s">
        <v>63</v>
      </c>
      <c r="D824" s="2" t="s">
        <v>561</v>
      </c>
      <c r="E824" s="2">
        <v>2660</v>
      </c>
      <c r="F824" s="2">
        <v>36</v>
      </c>
      <c r="G824" s="2">
        <v>35</v>
      </c>
      <c r="H824" s="2">
        <f t="shared" si="116"/>
        <v>1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1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/>
      <c r="AJ824" s="2" t="s">
        <v>110</v>
      </c>
      <c r="AK824" s="2">
        <f t="shared" si="109"/>
        <v>0</v>
      </c>
      <c r="AL824" s="2">
        <f t="shared" si="110"/>
        <v>0</v>
      </c>
      <c r="AM824" s="2">
        <f t="shared" si="111"/>
        <v>1</v>
      </c>
      <c r="AN824" s="2">
        <f t="shared" si="112"/>
        <v>0</v>
      </c>
      <c r="AO824" s="2">
        <f t="shared" si="113"/>
        <v>0</v>
      </c>
      <c r="AP824" s="2">
        <f t="shared" si="114"/>
        <v>0</v>
      </c>
      <c r="AQ824" s="25">
        <f t="shared" si="115"/>
        <v>0</v>
      </c>
    </row>
    <row r="825" spans="1:43">
      <c r="A825" s="24">
        <v>46136</v>
      </c>
      <c r="B825" s="23">
        <f t="shared" si="108"/>
        <v>46113</v>
      </c>
      <c r="C825" s="2" t="s">
        <v>62</v>
      </c>
      <c r="D825" s="2" t="s">
        <v>570</v>
      </c>
      <c r="E825" s="2">
        <v>1806</v>
      </c>
      <c r="F825" s="2">
        <v>36</v>
      </c>
      <c r="G825" s="2">
        <v>36</v>
      </c>
      <c r="H825" s="2">
        <f t="shared" si="116"/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/>
      <c r="AJ825" s="2" t="s">
        <v>110</v>
      </c>
      <c r="AK825" s="2">
        <f t="shared" si="109"/>
        <v>0</v>
      </c>
      <c r="AL825" s="2">
        <f t="shared" si="110"/>
        <v>0</v>
      </c>
      <c r="AM825" s="2">
        <f t="shared" si="111"/>
        <v>0</v>
      </c>
      <c r="AN825" s="2">
        <f t="shared" si="112"/>
        <v>0</v>
      </c>
      <c r="AO825" s="2">
        <f t="shared" si="113"/>
        <v>0</v>
      </c>
      <c r="AP825" s="2">
        <f t="shared" si="114"/>
        <v>0</v>
      </c>
      <c r="AQ825" s="25">
        <f t="shared" si="115"/>
        <v>0</v>
      </c>
    </row>
    <row r="826" spans="1:43">
      <c r="A826" s="24">
        <v>46136</v>
      </c>
      <c r="B826" s="23">
        <f t="shared" si="108"/>
        <v>46113</v>
      </c>
      <c r="C826" s="2" t="s">
        <v>63</v>
      </c>
      <c r="D826" s="2" t="s">
        <v>477</v>
      </c>
      <c r="E826" s="2">
        <v>1627</v>
      </c>
      <c r="F826" s="2">
        <v>39</v>
      </c>
      <c r="G826" s="2">
        <v>37</v>
      </c>
      <c r="H826" s="2">
        <f t="shared" si="116"/>
        <v>2</v>
      </c>
      <c r="I826" s="2">
        <v>2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/>
      <c r="AJ826" s="2" t="s">
        <v>110</v>
      </c>
      <c r="AK826" s="2">
        <f t="shared" si="109"/>
        <v>2</v>
      </c>
      <c r="AL826" s="2">
        <f t="shared" si="110"/>
        <v>0</v>
      </c>
      <c r="AM826" s="2">
        <f t="shared" si="111"/>
        <v>0</v>
      </c>
      <c r="AN826" s="2">
        <f t="shared" si="112"/>
        <v>0</v>
      </c>
      <c r="AO826" s="2">
        <f t="shared" si="113"/>
        <v>0</v>
      </c>
      <c r="AP826" s="2">
        <f t="shared" si="114"/>
        <v>0</v>
      </c>
      <c r="AQ826" s="25">
        <f t="shared" si="115"/>
        <v>0</v>
      </c>
    </row>
    <row r="827" spans="1:43">
      <c r="A827" s="24">
        <v>46136</v>
      </c>
      <c r="B827" s="23">
        <f t="shared" si="108"/>
        <v>46113</v>
      </c>
      <c r="C827" s="2" t="s">
        <v>63</v>
      </c>
      <c r="D827" s="2" t="s">
        <v>508</v>
      </c>
      <c r="E827" s="2">
        <v>2565</v>
      </c>
      <c r="F827" s="2">
        <v>110</v>
      </c>
      <c r="G827" s="2">
        <v>110</v>
      </c>
      <c r="H827" s="2">
        <f t="shared" si="116"/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/>
      <c r="AJ827" s="2" t="s">
        <v>110</v>
      </c>
      <c r="AK827" s="2">
        <f t="shared" si="109"/>
        <v>0</v>
      </c>
      <c r="AL827" s="2">
        <f t="shared" si="110"/>
        <v>0</v>
      </c>
      <c r="AM827" s="2">
        <f t="shared" si="111"/>
        <v>0</v>
      </c>
      <c r="AN827" s="2">
        <f t="shared" si="112"/>
        <v>0</v>
      </c>
      <c r="AO827" s="2">
        <f t="shared" si="113"/>
        <v>0</v>
      </c>
      <c r="AP827" s="2">
        <f t="shared" si="114"/>
        <v>0</v>
      </c>
      <c r="AQ827" s="25">
        <f t="shared" si="115"/>
        <v>0</v>
      </c>
    </row>
    <row r="828" spans="1:43">
      <c r="A828" s="24">
        <v>46136</v>
      </c>
      <c r="B828" s="23">
        <f t="shared" si="108"/>
        <v>46113</v>
      </c>
      <c r="C828" s="2" t="s">
        <v>66</v>
      </c>
      <c r="D828" s="2" t="s">
        <v>1451</v>
      </c>
      <c r="E828" s="2">
        <v>1636</v>
      </c>
      <c r="F828" s="2">
        <v>429</v>
      </c>
      <c r="G828" s="2">
        <v>416</v>
      </c>
      <c r="H828" s="2">
        <f t="shared" si="116"/>
        <v>13</v>
      </c>
      <c r="I828" s="2">
        <v>4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9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/>
      <c r="AJ828" s="2" t="s">
        <v>110</v>
      </c>
      <c r="AK828" s="2">
        <f t="shared" si="109"/>
        <v>4</v>
      </c>
      <c r="AL828" s="2">
        <f t="shared" si="110"/>
        <v>0</v>
      </c>
      <c r="AM828" s="2">
        <f t="shared" si="111"/>
        <v>9</v>
      </c>
      <c r="AN828" s="2">
        <f t="shared" si="112"/>
        <v>0</v>
      </c>
      <c r="AO828" s="2">
        <f t="shared" si="113"/>
        <v>0</v>
      </c>
      <c r="AP828" s="2">
        <f t="shared" si="114"/>
        <v>0</v>
      </c>
      <c r="AQ828" s="25">
        <f t="shared" si="115"/>
        <v>0</v>
      </c>
    </row>
    <row r="829" spans="1:43">
      <c r="A829" s="24">
        <v>46136</v>
      </c>
      <c r="B829" s="23">
        <f t="shared" si="108"/>
        <v>46113</v>
      </c>
      <c r="C829" s="2" t="s">
        <v>66</v>
      </c>
      <c r="D829" s="2" t="s">
        <v>1451</v>
      </c>
      <c r="E829" s="2">
        <v>1636</v>
      </c>
      <c r="F829" s="2">
        <v>50</v>
      </c>
      <c r="G829" s="2">
        <v>50</v>
      </c>
      <c r="H829" s="2">
        <f t="shared" si="116"/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/>
      <c r="AJ829" s="2" t="s">
        <v>110</v>
      </c>
      <c r="AK829" s="2">
        <f t="shared" si="109"/>
        <v>0</v>
      </c>
      <c r="AL829" s="2">
        <f t="shared" si="110"/>
        <v>0</v>
      </c>
      <c r="AM829" s="2">
        <f t="shared" si="111"/>
        <v>0</v>
      </c>
      <c r="AN829" s="2">
        <f t="shared" si="112"/>
        <v>0</v>
      </c>
      <c r="AO829" s="2">
        <f t="shared" si="113"/>
        <v>0</v>
      </c>
      <c r="AP829" s="2">
        <f t="shared" si="114"/>
        <v>0</v>
      </c>
      <c r="AQ829" s="25">
        <f t="shared" si="115"/>
        <v>0</v>
      </c>
    </row>
    <row r="830" spans="1:43">
      <c r="A830" s="24">
        <v>46136</v>
      </c>
      <c r="B830" s="23">
        <f t="shared" si="108"/>
        <v>46113</v>
      </c>
      <c r="C830" s="2" t="s">
        <v>66</v>
      </c>
      <c r="D830" s="2" t="s">
        <v>441</v>
      </c>
      <c r="E830" s="2">
        <v>1636</v>
      </c>
      <c r="F830" s="2">
        <v>28</v>
      </c>
      <c r="G830" s="2">
        <v>26</v>
      </c>
      <c r="H830" s="2">
        <f t="shared" si="116"/>
        <v>2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2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/>
      <c r="AJ830" s="2" t="s">
        <v>110</v>
      </c>
      <c r="AK830" s="2">
        <f t="shared" si="109"/>
        <v>0</v>
      </c>
      <c r="AL830" s="2">
        <f t="shared" si="110"/>
        <v>2</v>
      </c>
      <c r="AM830" s="2">
        <f t="shared" si="111"/>
        <v>0</v>
      </c>
      <c r="AN830" s="2">
        <f t="shared" si="112"/>
        <v>0</v>
      </c>
      <c r="AO830" s="2">
        <f t="shared" si="113"/>
        <v>0</v>
      </c>
      <c r="AP830" s="2">
        <f t="shared" si="114"/>
        <v>0</v>
      </c>
      <c r="AQ830" s="25">
        <f t="shared" si="115"/>
        <v>0</v>
      </c>
    </row>
    <row r="831" spans="1:43">
      <c r="A831" s="24">
        <v>46136</v>
      </c>
      <c r="B831" s="23">
        <f t="shared" si="108"/>
        <v>46113</v>
      </c>
      <c r="C831" s="2" t="s">
        <v>66</v>
      </c>
      <c r="D831" s="2" t="s">
        <v>1290</v>
      </c>
      <c r="E831" s="2">
        <v>1636</v>
      </c>
      <c r="F831" s="2">
        <v>353</v>
      </c>
      <c r="G831" s="2">
        <v>325</v>
      </c>
      <c r="H831" s="2">
        <f t="shared" si="116"/>
        <v>28</v>
      </c>
      <c r="I831" s="2">
        <v>2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26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/>
      <c r="AJ831" s="2" t="s">
        <v>110</v>
      </c>
      <c r="AK831" s="2">
        <f t="shared" si="109"/>
        <v>2</v>
      </c>
      <c r="AL831" s="2">
        <f t="shared" si="110"/>
        <v>26</v>
      </c>
      <c r="AM831" s="2">
        <f t="shared" si="111"/>
        <v>0</v>
      </c>
      <c r="AN831" s="2">
        <f t="shared" si="112"/>
        <v>0</v>
      </c>
      <c r="AO831" s="2">
        <f t="shared" si="113"/>
        <v>0</v>
      </c>
      <c r="AP831" s="2">
        <f t="shared" si="114"/>
        <v>0</v>
      </c>
      <c r="AQ831" s="25">
        <f t="shared" si="115"/>
        <v>0</v>
      </c>
    </row>
    <row r="832" spans="1:43">
      <c r="A832" s="24">
        <v>46136</v>
      </c>
      <c r="B832" s="23">
        <f t="shared" si="108"/>
        <v>46113</v>
      </c>
      <c r="C832" s="2" t="s">
        <v>66</v>
      </c>
      <c r="D832" s="2" t="s">
        <v>1290</v>
      </c>
      <c r="E832" s="2">
        <v>1636</v>
      </c>
      <c r="F832" s="2">
        <v>32</v>
      </c>
      <c r="G832" s="2">
        <v>32</v>
      </c>
      <c r="H832" s="2">
        <f t="shared" si="116"/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/>
      <c r="AJ832" s="2" t="s">
        <v>110</v>
      </c>
      <c r="AK832" s="2">
        <f t="shared" si="109"/>
        <v>0</v>
      </c>
      <c r="AL832" s="2">
        <f t="shared" si="110"/>
        <v>0</v>
      </c>
      <c r="AM832" s="2">
        <f t="shared" si="111"/>
        <v>0</v>
      </c>
      <c r="AN832" s="2">
        <f t="shared" si="112"/>
        <v>0</v>
      </c>
      <c r="AO832" s="2">
        <f t="shared" si="113"/>
        <v>0</v>
      </c>
      <c r="AP832" s="2">
        <f t="shared" si="114"/>
        <v>0</v>
      </c>
      <c r="AQ832" s="25">
        <f t="shared" si="115"/>
        <v>0</v>
      </c>
    </row>
    <row r="833" spans="1:43">
      <c r="A833" s="24">
        <v>46136</v>
      </c>
      <c r="B833" s="23">
        <f t="shared" si="108"/>
        <v>46113</v>
      </c>
      <c r="C833" s="2" t="s">
        <v>97</v>
      </c>
      <c r="D833" s="2" t="s">
        <v>548</v>
      </c>
      <c r="E833" s="2">
        <v>1805</v>
      </c>
      <c r="F833" s="2">
        <v>80</v>
      </c>
      <c r="G833" s="2">
        <v>79</v>
      </c>
      <c r="H833" s="2">
        <f t="shared" si="116"/>
        <v>1</v>
      </c>
      <c r="I833" s="2">
        <v>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/>
      <c r="AJ833" s="2" t="s">
        <v>110</v>
      </c>
      <c r="AK833" s="2">
        <f t="shared" si="109"/>
        <v>1</v>
      </c>
      <c r="AL833" s="2">
        <f t="shared" si="110"/>
        <v>0</v>
      </c>
      <c r="AM833" s="2">
        <f t="shared" si="111"/>
        <v>0</v>
      </c>
      <c r="AN833" s="2">
        <f t="shared" si="112"/>
        <v>0</v>
      </c>
      <c r="AO833" s="2">
        <f t="shared" si="113"/>
        <v>0</v>
      </c>
      <c r="AP833" s="2">
        <f t="shared" si="114"/>
        <v>0</v>
      </c>
      <c r="AQ833" s="25">
        <f t="shared" si="115"/>
        <v>0</v>
      </c>
    </row>
    <row r="834" spans="1:43">
      <c r="A834" s="24">
        <v>46136</v>
      </c>
      <c r="B834" s="23">
        <f t="shared" ref="B834:B897" si="117">EOMONTH(A834,-1)+1</f>
        <v>46113</v>
      </c>
      <c r="C834" s="2" t="s">
        <v>66</v>
      </c>
      <c r="D834" s="2" t="s">
        <v>1287</v>
      </c>
      <c r="E834" s="2">
        <v>1636</v>
      </c>
      <c r="F834" s="2">
        <v>303</v>
      </c>
      <c r="G834" s="2">
        <v>294</v>
      </c>
      <c r="H834" s="2">
        <f t="shared" si="116"/>
        <v>9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8</v>
      </c>
      <c r="P834" s="2">
        <v>0</v>
      </c>
      <c r="Q834" s="2">
        <v>0</v>
      </c>
      <c r="R834" s="2">
        <v>1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/>
      <c r="AJ834" s="2" t="s">
        <v>110</v>
      </c>
      <c r="AK834" s="2">
        <f t="shared" ref="AK834:AK897" si="118">+I834+AF834</f>
        <v>0</v>
      </c>
      <c r="AL834" s="2">
        <f t="shared" ref="AL834:AL897" si="119">+J834+K834+O834+N834+P834+R834+S834+Q834+M834+L834</f>
        <v>9</v>
      </c>
      <c r="AM834" s="2">
        <f t="shared" ref="AM834:AM897" si="120">+AB834+AC834</f>
        <v>0</v>
      </c>
      <c r="AN834" s="2">
        <f t="shared" ref="AN834:AN897" si="121">+AH834+AG834+AA834+Z834</f>
        <v>0</v>
      </c>
      <c r="AO834" s="2">
        <f t="shared" ref="AO834:AO897" si="122">+X834+W834+V834+U834+T834+Y834</f>
        <v>0</v>
      </c>
      <c r="AP834" s="2">
        <f t="shared" ref="AP834:AP897" si="123">+AD834</f>
        <v>0</v>
      </c>
      <c r="AQ834" s="25">
        <f t="shared" ref="AQ834:AQ897" si="124">+AE834</f>
        <v>0</v>
      </c>
    </row>
    <row r="835" spans="1:43">
      <c r="A835" s="24">
        <v>46136</v>
      </c>
      <c r="B835" s="23">
        <f t="shared" si="117"/>
        <v>46113</v>
      </c>
      <c r="C835" s="2" t="s">
        <v>95</v>
      </c>
      <c r="D835" s="2" t="s">
        <v>1187</v>
      </c>
      <c r="E835" s="2">
        <v>2578</v>
      </c>
      <c r="F835" s="2">
        <v>64</v>
      </c>
      <c r="G835" s="2">
        <v>62</v>
      </c>
      <c r="H835" s="2">
        <f t="shared" ref="H835:H898" si="125">F835-G835</f>
        <v>2</v>
      </c>
      <c r="I835" s="2">
        <v>1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1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/>
      <c r="AJ835" s="2" t="s">
        <v>1567</v>
      </c>
      <c r="AK835" s="2">
        <f t="shared" si="118"/>
        <v>1</v>
      </c>
      <c r="AL835" s="2">
        <f t="shared" si="119"/>
        <v>1</v>
      </c>
      <c r="AM835" s="2">
        <f t="shared" si="120"/>
        <v>0</v>
      </c>
      <c r="AN835" s="2">
        <f t="shared" si="121"/>
        <v>0</v>
      </c>
      <c r="AO835" s="2">
        <f t="shared" si="122"/>
        <v>0</v>
      </c>
      <c r="AP835" s="2">
        <f t="shared" si="123"/>
        <v>0</v>
      </c>
      <c r="AQ835" s="25">
        <f t="shared" si="124"/>
        <v>0</v>
      </c>
    </row>
    <row r="836" spans="1:43">
      <c r="A836" s="24">
        <v>46136</v>
      </c>
      <c r="B836" s="23">
        <f t="shared" si="117"/>
        <v>46113</v>
      </c>
      <c r="C836" s="2" t="s">
        <v>95</v>
      </c>
      <c r="D836" s="2" t="s">
        <v>544</v>
      </c>
      <c r="E836" s="2">
        <v>2578</v>
      </c>
      <c r="F836" s="2">
        <v>146</v>
      </c>
      <c r="G836" s="2">
        <v>144</v>
      </c>
      <c r="H836" s="2">
        <f t="shared" si="125"/>
        <v>2</v>
      </c>
      <c r="I836" s="2">
        <v>2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/>
      <c r="AJ836" s="2" t="s">
        <v>1567</v>
      </c>
      <c r="AK836" s="2">
        <f t="shared" si="118"/>
        <v>2</v>
      </c>
      <c r="AL836" s="2">
        <f t="shared" si="119"/>
        <v>0</v>
      </c>
      <c r="AM836" s="2">
        <f t="shared" si="120"/>
        <v>0</v>
      </c>
      <c r="AN836" s="2">
        <f t="shared" si="121"/>
        <v>0</v>
      </c>
      <c r="AO836" s="2">
        <f t="shared" si="122"/>
        <v>0</v>
      </c>
      <c r="AP836" s="2">
        <f t="shared" si="123"/>
        <v>0</v>
      </c>
      <c r="AQ836" s="25">
        <f t="shared" si="124"/>
        <v>0</v>
      </c>
    </row>
    <row r="837" spans="1:43">
      <c r="A837" s="24">
        <v>46136</v>
      </c>
      <c r="B837" s="23">
        <f t="shared" si="117"/>
        <v>46113</v>
      </c>
      <c r="C837" s="2" t="s">
        <v>63</v>
      </c>
      <c r="D837" s="2" t="s">
        <v>1382</v>
      </c>
      <c r="E837" s="2">
        <v>2480</v>
      </c>
      <c r="F837" s="2">
        <v>70</v>
      </c>
      <c r="G837" s="2">
        <v>65</v>
      </c>
      <c r="H837" s="2">
        <f t="shared" si="125"/>
        <v>5</v>
      </c>
      <c r="I837" s="2">
        <v>5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/>
      <c r="AJ837" s="2" t="s">
        <v>1567</v>
      </c>
      <c r="AK837" s="2">
        <f t="shared" si="118"/>
        <v>5</v>
      </c>
      <c r="AL837" s="2">
        <f t="shared" si="119"/>
        <v>0</v>
      </c>
      <c r="AM837" s="2">
        <f t="shared" si="120"/>
        <v>0</v>
      </c>
      <c r="AN837" s="2">
        <f t="shared" si="121"/>
        <v>0</v>
      </c>
      <c r="AO837" s="2">
        <f t="shared" si="122"/>
        <v>0</v>
      </c>
      <c r="AP837" s="2">
        <f t="shared" si="123"/>
        <v>0</v>
      </c>
      <c r="AQ837" s="25">
        <f t="shared" si="124"/>
        <v>0</v>
      </c>
    </row>
    <row r="838" spans="1:43">
      <c r="A838" s="24">
        <v>46136</v>
      </c>
      <c r="B838" s="23">
        <f t="shared" si="117"/>
        <v>46113</v>
      </c>
      <c r="C838" s="2" t="s">
        <v>63</v>
      </c>
      <c r="D838" s="2" t="s">
        <v>1452</v>
      </c>
      <c r="E838" s="2">
        <v>2480</v>
      </c>
      <c r="F838" s="2">
        <v>186</v>
      </c>
      <c r="G838" s="2">
        <v>182</v>
      </c>
      <c r="H838" s="2">
        <f t="shared" si="125"/>
        <v>4</v>
      </c>
      <c r="I838" s="2">
        <v>4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/>
      <c r="AJ838" s="2" t="s">
        <v>1567</v>
      </c>
      <c r="AK838" s="2">
        <f t="shared" si="118"/>
        <v>4</v>
      </c>
      <c r="AL838" s="2">
        <f t="shared" si="119"/>
        <v>0</v>
      </c>
      <c r="AM838" s="2">
        <f t="shared" si="120"/>
        <v>0</v>
      </c>
      <c r="AN838" s="2">
        <f t="shared" si="121"/>
        <v>0</v>
      </c>
      <c r="AO838" s="2">
        <f t="shared" si="122"/>
        <v>0</v>
      </c>
      <c r="AP838" s="2">
        <f t="shared" si="123"/>
        <v>0</v>
      </c>
      <c r="AQ838" s="25">
        <f t="shared" si="124"/>
        <v>0</v>
      </c>
    </row>
    <row r="839" spans="1:43">
      <c r="A839" s="24">
        <v>46136</v>
      </c>
      <c r="B839" s="23">
        <f t="shared" si="117"/>
        <v>46113</v>
      </c>
      <c r="C839" s="2" t="s">
        <v>95</v>
      </c>
      <c r="D839" s="2" t="s">
        <v>1554</v>
      </c>
      <c r="E839" s="2">
        <v>10047</v>
      </c>
      <c r="F839" s="2">
        <v>598</v>
      </c>
      <c r="G839" s="2">
        <v>596</v>
      </c>
      <c r="H839" s="2">
        <f t="shared" si="125"/>
        <v>2</v>
      </c>
      <c r="I839" s="2">
        <v>1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1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/>
      <c r="AJ839" s="2" t="s">
        <v>1567</v>
      </c>
      <c r="AK839" s="2">
        <f t="shared" si="118"/>
        <v>1</v>
      </c>
      <c r="AL839" s="2">
        <f t="shared" si="119"/>
        <v>0</v>
      </c>
      <c r="AM839" s="2">
        <f t="shared" si="120"/>
        <v>0</v>
      </c>
      <c r="AN839" s="2">
        <f t="shared" si="121"/>
        <v>1</v>
      </c>
      <c r="AO839" s="2">
        <f t="shared" si="122"/>
        <v>0</v>
      </c>
      <c r="AP839" s="2">
        <f t="shared" si="123"/>
        <v>0</v>
      </c>
      <c r="AQ839" s="25">
        <f t="shared" si="124"/>
        <v>0</v>
      </c>
    </row>
    <row r="840" spans="1:43">
      <c r="A840" s="24">
        <v>46136</v>
      </c>
      <c r="B840" s="23">
        <f t="shared" si="117"/>
        <v>46113</v>
      </c>
      <c r="C840" s="2" t="s">
        <v>95</v>
      </c>
      <c r="D840" s="2" t="s">
        <v>1557</v>
      </c>
      <c r="E840" s="2">
        <v>10047</v>
      </c>
      <c r="F840" s="2">
        <v>237</v>
      </c>
      <c r="G840" s="2">
        <v>237</v>
      </c>
      <c r="H840" s="2">
        <f t="shared" si="125"/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/>
      <c r="AJ840" s="2" t="s">
        <v>1567</v>
      </c>
      <c r="AK840" s="2">
        <f t="shared" si="118"/>
        <v>0</v>
      </c>
      <c r="AL840" s="2">
        <f t="shared" si="119"/>
        <v>0</v>
      </c>
      <c r="AM840" s="2">
        <f t="shared" si="120"/>
        <v>0</v>
      </c>
      <c r="AN840" s="2">
        <f t="shared" si="121"/>
        <v>0</v>
      </c>
      <c r="AO840" s="2">
        <f t="shared" si="122"/>
        <v>0</v>
      </c>
      <c r="AP840" s="2">
        <f t="shared" si="123"/>
        <v>0</v>
      </c>
      <c r="AQ840" s="25">
        <f t="shared" si="124"/>
        <v>0</v>
      </c>
    </row>
    <row r="841" spans="1:43">
      <c r="A841" s="24">
        <v>46136</v>
      </c>
      <c r="B841" s="23">
        <f t="shared" si="117"/>
        <v>46113</v>
      </c>
      <c r="C841" s="2" t="s">
        <v>95</v>
      </c>
      <c r="D841" s="2" t="s">
        <v>1541</v>
      </c>
      <c r="E841" s="2">
        <v>10047</v>
      </c>
      <c r="F841" s="2">
        <v>40</v>
      </c>
      <c r="G841" s="2">
        <v>40</v>
      </c>
      <c r="H841" s="2">
        <f t="shared" si="125"/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/>
      <c r="AJ841" s="2" t="s">
        <v>1567</v>
      </c>
      <c r="AK841" s="2">
        <f t="shared" si="118"/>
        <v>0</v>
      </c>
      <c r="AL841" s="2">
        <f t="shared" si="119"/>
        <v>0</v>
      </c>
      <c r="AM841" s="2">
        <f t="shared" si="120"/>
        <v>0</v>
      </c>
      <c r="AN841" s="2">
        <f t="shared" si="121"/>
        <v>0</v>
      </c>
      <c r="AO841" s="2">
        <f t="shared" si="122"/>
        <v>0</v>
      </c>
      <c r="AP841" s="2">
        <f t="shared" si="123"/>
        <v>0</v>
      </c>
      <c r="AQ841" s="25">
        <f t="shared" si="124"/>
        <v>0</v>
      </c>
    </row>
    <row r="842" spans="1:43">
      <c r="A842" s="24">
        <v>46136</v>
      </c>
      <c r="B842" s="23">
        <f t="shared" si="117"/>
        <v>46113</v>
      </c>
      <c r="C842" s="2" t="s">
        <v>46</v>
      </c>
      <c r="D842" s="2" t="s">
        <v>1287</v>
      </c>
      <c r="E842" s="2">
        <v>1636</v>
      </c>
      <c r="F842" s="2">
        <v>248</v>
      </c>
      <c r="G842" s="2">
        <v>248</v>
      </c>
      <c r="H842" s="2">
        <f t="shared" si="125"/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/>
      <c r="AJ842" s="2" t="s">
        <v>1567</v>
      </c>
      <c r="AK842" s="2">
        <f t="shared" si="118"/>
        <v>0</v>
      </c>
      <c r="AL842" s="2">
        <f t="shared" si="119"/>
        <v>0</v>
      </c>
      <c r="AM842" s="2">
        <f t="shared" si="120"/>
        <v>0</v>
      </c>
      <c r="AN842" s="2">
        <f t="shared" si="121"/>
        <v>0</v>
      </c>
      <c r="AO842" s="2">
        <f t="shared" si="122"/>
        <v>0</v>
      </c>
      <c r="AP842" s="2">
        <f t="shared" si="123"/>
        <v>0</v>
      </c>
      <c r="AQ842" s="25">
        <f t="shared" si="124"/>
        <v>0</v>
      </c>
    </row>
    <row r="843" spans="1:43">
      <c r="A843" s="24">
        <v>46136</v>
      </c>
      <c r="B843" s="23">
        <f t="shared" si="117"/>
        <v>46113</v>
      </c>
      <c r="C843" s="2" t="s">
        <v>95</v>
      </c>
      <c r="D843" s="2" t="s">
        <v>542</v>
      </c>
      <c r="E843" s="2">
        <v>2596</v>
      </c>
      <c r="F843" s="2">
        <v>259</v>
      </c>
      <c r="G843" s="2">
        <v>254</v>
      </c>
      <c r="H843" s="2">
        <f t="shared" si="125"/>
        <v>5</v>
      </c>
      <c r="I843" s="2">
        <v>5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/>
      <c r="AJ843" s="2" t="s">
        <v>1567</v>
      </c>
      <c r="AK843" s="2">
        <f t="shared" si="118"/>
        <v>5</v>
      </c>
      <c r="AL843" s="2">
        <f t="shared" si="119"/>
        <v>0</v>
      </c>
      <c r="AM843" s="2">
        <f t="shared" si="120"/>
        <v>0</v>
      </c>
      <c r="AN843" s="2">
        <f t="shared" si="121"/>
        <v>0</v>
      </c>
      <c r="AO843" s="2">
        <f t="shared" si="122"/>
        <v>0</v>
      </c>
      <c r="AP843" s="2">
        <f t="shared" si="123"/>
        <v>0</v>
      </c>
      <c r="AQ843" s="25">
        <f t="shared" si="124"/>
        <v>0</v>
      </c>
    </row>
    <row r="844" spans="1:43">
      <c r="A844" s="24">
        <v>46136</v>
      </c>
      <c r="B844" s="23">
        <f t="shared" si="117"/>
        <v>46113</v>
      </c>
      <c r="C844" s="2" t="s">
        <v>46</v>
      </c>
      <c r="D844" s="2" t="s">
        <v>530</v>
      </c>
      <c r="E844" s="2">
        <v>2649</v>
      </c>
      <c r="F844" s="2">
        <v>36</v>
      </c>
      <c r="G844" s="2">
        <v>36</v>
      </c>
      <c r="H844" s="2">
        <f t="shared" si="125"/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/>
      <c r="AJ844" s="2" t="s">
        <v>1567</v>
      </c>
      <c r="AK844" s="2">
        <f t="shared" si="118"/>
        <v>0</v>
      </c>
      <c r="AL844" s="2">
        <f t="shared" si="119"/>
        <v>0</v>
      </c>
      <c r="AM844" s="2">
        <f t="shared" si="120"/>
        <v>0</v>
      </c>
      <c r="AN844" s="2">
        <f t="shared" si="121"/>
        <v>0</v>
      </c>
      <c r="AO844" s="2">
        <f t="shared" si="122"/>
        <v>0</v>
      </c>
      <c r="AP844" s="2">
        <f t="shared" si="123"/>
        <v>0</v>
      </c>
      <c r="AQ844" s="25">
        <f t="shared" si="124"/>
        <v>0</v>
      </c>
    </row>
    <row r="845" spans="1:43">
      <c r="A845" s="24">
        <v>46137</v>
      </c>
      <c r="B845" s="23">
        <f t="shared" si="117"/>
        <v>46113</v>
      </c>
      <c r="C845" s="2" t="s">
        <v>62</v>
      </c>
      <c r="D845" s="2" t="s">
        <v>1534</v>
      </c>
      <c r="E845" s="2">
        <v>1927</v>
      </c>
      <c r="F845" s="2">
        <v>34</v>
      </c>
      <c r="G845" s="2">
        <v>32</v>
      </c>
      <c r="H845" s="2">
        <f t="shared" si="125"/>
        <v>2</v>
      </c>
      <c r="I845" s="2">
        <v>2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/>
      <c r="AJ845" s="2" t="s">
        <v>1567</v>
      </c>
      <c r="AK845" s="2">
        <f t="shared" si="118"/>
        <v>2</v>
      </c>
      <c r="AL845" s="2">
        <f t="shared" si="119"/>
        <v>0</v>
      </c>
      <c r="AM845" s="2">
        <f t="shared" si="120"/>
        <v>0</v>
      </c>
      <c r="AN845" s="2">
        <f t="shared" si="121"/>
        <v>0</v>
      </c>
      <c r="AO845" s="2">
        <f t="shared" si="122"/>
        <v>0</v>
      </c>
      <c r="AP845" s="2">
        <f t="shared" si="123"/>
        <v>0</v>
      </c>
      <c r="AQ845" s="25">
        <f t="shared" si="124"/>
        <v>0</v>
      </c>
    </row>
    <row r="846" spans="1:43">
      <c r="A846" s="24">
        <v>46137</v>
      </c>
      <c r="B846" s="23">
        <f t="shared" si="117"/>
        <v>46113</v>
      </c>
      <c r="C846" s="2" t="s">
        <v>62</v>
      </c>
      <c r="D846" s="2" t="s">
        <v>1197</v>
      </c>
      <c r="E846" s="2">
        <v>2783</v>
      </c>
      <c r="F846" s="2">
        <v>55</v>
      </c>
      <c r="G846" s="2">
        <v>55</v>
      </c>
      <c r="H846" s="2">
        <f t="shared" si="125"/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/>
      <c r="AJ846" s="2" t="s">
        <v>1567</v>
      </c>
      <c r="AK846" s="2">
        <f t="shared" si="118"/>
        <v>0</v>
      </c>
      <c r="AL846" s="2">
        <f t="shared" si="119"/>
        <v>0</v>
      </c>
      <c r="AM846" s="2">
        <f t="shared" si="120"/>
        <v>0</v>
      </c>
      <c r="AN846" s="2">
        <f t="shared" si="121"/>
        <v>0</v>
      </c>
      <c r="AO846" s="2">
        <f t="shared" si="122"/>
        <v>0</v>
      </c>
      <c r="AP846" s="2">
        <f t="shared" si="123"/>
        <v>0</v>
      </c>
      <c r="AQ846" s="25">
        <f t="shared" si="124"/>
        <v>0</v>
      </c>
    </row>
    <row r="847" spans="1:43">
      <c r="A847" s="24">
        <v>46137</v>
      </c>
      <c r="B847" s="23">
        <f t="shared" si="117"/>
        <v>46113</v>
      </c>
      <c r="C847" s="2" t="s">
        <v>95</v>
      </c>
      <c r="D847" s="2" t="s">
        <v>1541</v>
      </c>
      <c r="E847" s="2">
        <v>10047</v>
      </c>
      <c r="F847" s="2">
        <v>141</v>
      </c>
      <c r="G847" s="2">
        <v>140</v>
      </c>
      <c r="H847" s="2">
        <f t="shared" si="125"/>
        <v>1</v>
      </c>
      <c r="I847" s="2">
        <v>1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/>
      <c r="AJ847" s="2" t="s">
        <v>1567</v>
      </c>
      <c r="AK847" s="2">
        <f t="shared" si="118"/>
        <v>1</v>
      </c>
      <c r="AL847" s="2">
        <f t="shared" si="119"/>
        <v>0</v>
      </c>
      <c r="AM847" s="2">
        <f t="shared" si="120"/>
        <v>0</v>
      </c>
      <c r="AN847" s="2">
        <f t="shared" si="121"/>
        <v>0</v>
      </c>
      <c r="AO847" s="2">
        <f t="shared" si="122"/>
        <v>0</v>
      </c>
      <c r="AP847" s="2">
        <f t="shared" si="123"/>
        <v>0</v>
      </c>
      <c r="AQ847" s="25">
        <f t="shared" si="124"/>
        <v>0</v>
      </c>
    </row>
    <row r="848" spans="1:43">
      <c r="A848" s="24">
        <v>46137</v>
      </c>
      <c r="B848" s="23">
        <f t="shared" si="117"/>
        <v>46113</v>
      </c>
      <c r="C848" s="2" t="s">
        <v>95</v>
      </c>
      <c r="D848" s="2" t="s">
        <v>1557</v>
      </c>
      <c r="E848" s="2">
        <v>10047</v>
      </c>
      <c r="F848" s="2">
        <v>166</v>
      </c>
      <c r="G848" s="2">
        <v>166</v>
      </c>
      <c r="H848" s="2">
        <f t="shared" si="125"/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/>
      <c r="AJ848" s="2" t="s">
        <v>1567</v>
      </c>
      <c r="AK848" s="2">
        <f t="shared" si="118"/>
        <v>0</v>
      </c>
      <c r="AL848" s="2">
        <f t="shared" si="119"/>
        <v>0</v>
      </c>
      <c r="AM848" s="2">
        <f t="shared" si="120"/>
        <v>0</v>
      </c>
      <c r="AN848" s="2">
        <f t="shared" si="121"/>
        <v>0</v>
      </c>
      <c r="AO848" s="2">
        <f t="shared" si="122"/>
        <v>0</v>
      </c>
      <c r="AP848" s="2">
        <f t="shared" si="123"/>
        <v>0</v>
      </c>
      <c r="AQ848" s="25">
        <f t="shared" si="124"/>
        <v>0</v>
      </c>
    </row>
    <row r="849" spans="1:43">
      <c r="A849" s="24">
        <v>46137</v>
      </c>
      <c r="B849" s="23">
        <f t="shared" si="117"/>
        <v>46113</v>
      </c>
      <c r="C849" s="2" t="s">
        <v>63</v>
      </c>
      <c r="D849" s="2" t="s">
        <v>508</v>
      </c>
      <c r="E849" s="2">
        <v>2565</v>
      </c>
      <c r="F849" s="2">
        <v>67</v>
      </c>
      <c r="G849" s="2">
        <v>66</v>
      </c>
      <c r="H849" s="2">
        <f t="shared" si="125"/>
        <v>1</v>
      </c>
      <c r="I849" s="2">
        <v>1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/>
      <c r="AJ849" s="2" t="s">
        <v>1567</v>
      </c>
      <c r="AK849" s="2">
        <f t="shared" si="118"/>
        <v>1</v>
      </c>
      <c r="AL849" s="2">
        <f t="shared" si="119"/>
        <v>0</v>
      </c>
      <c r="AM849" s="2">
        <f t="shared" si="120"/>
        <v>0</v>
      </c>
      <c r="AN849" s="2">
        <f t="shared" si="121"/>
        <v>0</v>
      </c>
      <c r="AO849" s="2">
        <f t="shared" si="122"/>
        <v>0</v>
      </c>
      <c r="AP849" s="2">
        <f t="shared" si="123"/>
        <v>0</v>
      </c>
      <c r="AQ849" s="25">
        <f t="shared" si="124"/>
        <v>0</v>
      </c>
    </row>
    <row r="850" spans="1:43">
      <c r="A850" s="24">
        <v>46137</v>
      </c>
      <c r="B850" s="23">
        <f t="shared" si="117"/>
        <v>46113</v>
      </c>
      <c r="C850" s="2" t="s">
        <v>133</v>
      </c>
      <c r="D850" s="2" t="s">
        <v>1482</v>
      </c>
      <c r="E850" s="2">
        <v>95225</v>
      </c>
      <c r="F850" s="2">
        <v>165</v>
      </c>
      <c r="G850" s="2">
        <v>145</v>
      </c>
      <c r="H850" s="2">
        <f t="shared" si="125"/>
        <v>20</v>
      </c>
      <c r="I850" s="2">
        <v>0</v>
      </c>
      <c r="J850" s="2">
        <v>0</v>
      </c>
      <c r="K850" s="2">
        <v>20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/>
      <c r="AJ850" s="2" t="s">
        <v>1567</v>
      </c>
      <c r="AK850" s="2">
        <f t="shared" si="118"/>
        <v>0</v>
      </c>
      <c r="AL850" s="2">
        <f t="shared" si="119"/>
        <v>20</v>
      </c>
      <c r="AM850" s="2">
        <f t="shared" si="120"/>
        <v>0</v>
      </c>
      <c r="AN850" s="2">
        <f t="shared" si="121"/>
        <v>0</v>
      </c>
      <c r="AO850" s="2">
        <f t="shared" si="122"/>
        <v>0</v>
      </c>
      <c r="AP850" s="2">
        <f t="shared" si="123"/>
        <v>0</v>
      </c>
      <c r="AQ850" s="25">
        <f t="shared" si="124"/>
        <v>0</v>
      </c>
    </row>
    <row r="851" spans="1:43">
      <c r="A851" s="24">
        <v>46137</v>
      </c>
      <c r="B851" s="23">
        <f t="shared" si="117"/>
        <v>46113</v>
      </c>
      <c r="C851" s="2" t="s">
        <v>133</v>
      </c>
      <c r="D851" s="2" t="s">
        <v>1189</v>
      </c>
      <c r="E851" s="2">
        <v>95095</v>
      </c>
      <c r="F851" s="2">
        <v>61</v>
      </c>
      <c r="G851" s="2">
        <v>61</v>
      </c>
      <c r="H851" s="2">
        <f t="shared" si="125"/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/>
      <c r="AJ851" s="2" t="s">
        <v>1567</v>
      </c>
      <c r="AK851" s="2">
        <f t="shared" si="118"/>
        <v>0</v>
      </c>
      <c r="AL851" s="2">
        <f t="shared" si="119"/>
        <v>0</v>
      </c>
      <c r="AM851" s="2">
        <f t="shared" si="120"/>
        <v>0</v>
      </c>
      <c r="AN851" s="2">
        <f t="shared" si="121"/>
        <v>0</v>
      </c>
      <c r="AO851" s="2">
        <f t="shared" si="122"/>
        <v>0</v>
      </c>
      <c r="AP851" s="2">
        <f t="shared" si="123"/>
        <v>0</v>
      </c>
      <c r="AQ851" s="25">
        <f t="shared" si="124"/>
        <v>0</v>
      </c>
    </row>
    <row r="852" spans="1:43">
      <c r="A852" s="24">
        <v>46137</v>
      </c>
      <c r="B852" s="23">
        <f t="shared" si="117"/>
        <v>46113</v>
      </c>
      <c r="C852" s="2" t="s">
        <v>62</v>
      </c>
      <c r="D852" s="2" t="s">
        <v>450</v>
      </c>
      <c r="E852" s="2">
        <v>1823</v>
      </c>
      <c r="F852" s="2">
        <v>193</v>
      </c>
      <c r="G852" s="2">
        <v>193</v>
      </c>
      <c r="H852" s="2">
        <f t="shared" si="125"/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/>
      <c r="AJ852" s="2" t="s">
        <v>1567</v>
      </c>
      <c r="AK852" s="2">
        <f t="shared" si="118"/>
        <v>0</v>
      </c>
      <c r="AL852" s="2">
        <f t="shared" si="119"/>
        <v>0</v>
      </c>
      <c r="AM852" s="2">
        <f t="shared" si="120"/>
        <v>0</v>
      </c>
      <c r="AN852" s="2">
        <f t="shared" si="121"/>
        <v>0</v>
      </c>
      <c r="AO852" s="2">
        <f t="shared" si="122"/>
        <v>0</v>
      </c>
      <c r="AP852" s="2">
        <f t="shared" si="123"/>
        <v>0</v>
      </c>
      <c r="AQ852" s="25">
        <f t="shared" si="124"/>
        <v>0</v>
      </c>
    </row>
    <row r="853" spans="1:43">
      <c r="A853" s="24">
        <v>46137</v>
      </c>
      <c r="B853" s="23">
        <f t="shared" si="117"/>
        <v>46113</v>
      </c>
      <c r="C853" s="2" t="s">
        <v>95</v>
      </c>
      <c r="D853" s="2" t="s">
        <v>1193</v>
      </c>
      <c r="E853" s="2">
        <v>2687</v>
      </c>
      <c r="F853" s="2">
        <v>25</v>
      </c>
      <c r="G853" s="2">
        <v>23</v>
      </c>
      <c r="H853" s="2">
        <f t="shared" si="125"/>
        <v>2</v>
      </c>
      <c r="I853" s="2">
        <v>2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/>
      <c r="AJ853" s="2" t="s">
        <v>1567</v>
      </c>
      <c r="AK853" s="2">
        <f t="shared" si="118"/>
        <v>2</v>
      </c>
      <c r="AL853" s="2">
        <f t="shared" si="119"/>
        <v>0</v>
      </c>
      <c r="AM853" s="2">
        <f t="shared" si="120"/>
        <v>0</v>
      </c>
      <c r="AN853" s="2">
        <f t="shared" si="121"/>
        <v>0</v>
      </c>
      <c r="AO853" s="2">
        <f t="shared" si="122"/>
        <v>0</v>
      </c>
      <c r="AP853" s="2">
        <f t="shared" si="123"/>
        <v>0</v>
      </c>
      <c r="AQ853" s="25">
        <f t="shared" si="124"/>
        <v>0</v>
      </c>
    </row>
    <row r="854" spans="1:43">
      <c r="A854" s="24">
        <v>46137</v>
      </c>
      <c r="B854" s="23">
        <f t="shared" si="117"/>
        <v>46113</v>
      </c>
      <c r="C854" s="2" t="s">
        <v>95</v>
      </c>
      <c r="D854" s="2" t="s">
        <v>475</v>
      </c>
      <c r="E854" s="2">
        <v>2727</v>
      </c>
      <c r="F854" s="2">
        <v>72</v>
      </c>
      <c r="G854" s="2">
        <v>69</v>
      </c>
      <c r="H854" s="2">
        <f t="shared" si="125"/>
        <v>3</v>
      </c>
      <c r="I854" s="2">
        <v>3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/>
      <c r="AJ854" s="2" t="s">
        <v>1567</v>
      </c>
      <c r="AK854" s="2">
        <f t="shared" si="118"/>
        <v>3</v>
      </c>
      <c r="AL854" s="2">
        <f t="shared" si="119"/>
        <v>0</v>
      </c>
      <c r="AM854" s="2">
        <f t="shared" si="120"/>
        <v>0</v>
      </c>
      <c r="AN854" s="2">
        <f t="shared" si="121"/>
        <v>0</v>
      </c>
      <c r="AO854" s="2">
        <f t="shared" si="122"/>
        <v>0</v>
      </c>
      <c r="AP854" s="2">
        <f t="shared" si="123"/>
        <v>0</v>
      </c>
      <c r="AQ854" s="25">
        <f t="shared" si="124"/>
        <v>0</v>
      </c>
    </row>
    <row r="855" spans="1:43">
      <c r="A855" s="24">
        <v>46137</v>
      </c>
      <c r="B855" s="23">
        <f t="shared" si="117"/>
        <v>46113</v>
      </c>
      <c r="C855" s="2" t="s">
        <v>95</v>
      </c>
      <c r="D855" s="2" t="s">
        <v>558</v>
      </c>
      <c r="E855" s="2">
        <v>2577</v>
      </c>
      <c r="F855" s="2">
        <v>87</v>
      </c>
      <c r="G855" s="2">
        <v>82</v>
      </c>
      <c r="H855" s="2">
        <f t="shared" si="125"/>
        <v>5</v>
      </c>
      <c r="I855" s="2">
        <v>5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/>
      <c r="AJ855" s="2" t="s">
        <v>1567</v>
      </c>
      <c r="AK855" s="2">
        <f t="shared" si="118"/>
        <v>5</v>
      </c>
      <c r="AL855" s="2">
        <f t="shared" si="119"/>
        <v>0</v>
      </c>
      <c r="AM855" s="2">
        <f t="shared" si="120"/>
        <v>0</v>
      </c>
      <c r="AN855" s="2">
        <f t="shared" si="121"/>
        <v>0</v>
      </c>
      <c r="AO855" s="2">
        <f t="shared" si="122"/>
        <v>0</v>
      </c>
      <c r="AP855" s="2">
        <f t="shared" si="123"/>
        <v>0</v>
      </c>
      <c r="AQ855" s="25">
        <f t="shared" si="124"/>
        <v>0</v>
      </c>
    </row>
    <row r="856" spans="1:43">
      <c r="A856" s="24">
        <v>46137</v>
      </c>
      <c r="B856" s="23">
        <f t="shared" si="117"/>
        <v>46113</v>
      </c>
      <c r="C856" s="2" t="s">
        <v>95</v>
      </c>
      <c r="D856" s="2" t="s">
        <v>558</v>
      </c>
      <c r="E856" s="2">
        <v>2577</v>
      </c>
      <c r="F856" s="2">
        <v>20</v>
      </c>
      <c r="G856" s="2">
        <v>19</v>
      </c>
      <c r="H856" s="2">
        <f t="shared" si="125"/>
        <v>1</v>
      </c>
      <c r="I856" s="2">
        <v>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/>
      <c r="AJ856" s="2" t="s">
        <v>1567</v>
      </c>
      <c r="AK856" s="2">
        <f t="shared" si="118"/>
        <v>1</v>
      </c>
      <c r="AL856" s="2">
        <f t="shared" si="119"/>
        <v>0</v>
      </c>
      <c r="AM856" s="2">
        <f t="shared" si="120"/>
        <v>0</v>
      </c>
      <c r="AN856" s="2">
        <f t="shared" si="121"/>
        <v>0</v>
      </c>
      <c r="AO856" s="2">
        <f t="shared" si="122"/>
        <v>0</v>
      </c>
      <c r="AP856" s="2">
        <f t="shared" si="123"/>
        <v>0</v>
      </c>
      <c r="AQ856" s="25">
        <f t="shared" si="124"/>
        <v>0</v>
      </c>
    </row>
    <row r="857" spans="1:43">
      <c r="A857" s="24">
        <v>46137</v>
      </c>
      <c r="B857" s="23">
        <f t="shared" si="117"/>
        <v>46113</v>
      </c>
      <c r="C857" s="2" t="s">
        <v>95</v>
      </c>
      <c r="D857" s="2" t="s">
        <v>451</v>
      </c>
      <c r="E857" s="2">
        <v>1698</v>
      </c>
      <c r="F857" s="2">
        <v>86</v>
      </c>
      <c r="G857" s="2">
        <v>85</v>
      </c>
      <c r="H857" s="2">
        <f t="shared" si="125"/>
        <v>1</v>
      </c>
      <c r="I857" s="2">
        <v>1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/>
      <c r="AJ857" s="2" t="s">
        <v>1567</v>
      </c>
      <c r="AK857" s="2">
        <f t="shared" si="118"/>
        <v>1</v>
      </c>
      <c r="AL857" s="2">
        <f t="shared" si="119"/>
        <v>0</v>
      </c>
      <c r="AM857" s="2">
        <f t="shared" si="120"/>
        <v>0</v>
      </c>
      <c r="AN857" s="2">
        <f t="shared" si="121"/>
        <v>0</v>
      </c>
      <c r="AO857" s="2">
        <f t="shared" si="122"/>
        <v>0</v>
      </c>
      <c r="AP857" s="2">
        <f t="shared" si="123"/>
        <v>0</v>
      </c>
      <c r="AQ857" s="25">
        <f t="shared" si="124"/>
        <v>0</v>
      </c>
    </row>
    <row r="858" spans="1:43">
      <c r="A858" s="24">
        <v>46137</v>
      </c>
      <c r="B858" s="23">
        <f t="shared" si="117"/>
        <v>46113</v>
      </c>
      <c r="C858" s="2" t="s">
        <v>62</v>
      </c>
      <c r="D858" s="2" t="s">
        <v>1555</v>
      </c>
      <c r="E858" s="2">
        <v>2786</v>
      </c>
      <c r="F858" s="2">
        <v>161</v>
      </c>
      <c r="G858" s="2">
        <v>158</v>
      </c>
      <c r="H858" s="2">
        <f t="shared" si="125"/>
        <v>3</v>
      </c>
      <c r="I858" s="2">
        <v>3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/>
      <c r="AJ858" s="2" t="s">
        <v>77</v>
      </c>
      <c r="AK858" s="2">
        <f t="shared" si="118"/>
        <v>3</v>
      </c>
      <c r="AL858" s="2">
        <f t="shared" si="119"/>
        <v>0</v>
      </c>
      <c r="AM858" s="2">
        <f t="shared" si="120"/>
        <v>0</v>
      </c>
      <c r="AN858" s="2">
        <f t="shared" si="121"/>
        <v>0</v>
      </c>
      <c r="AO858" s="2">
        <f t="shared" si="122"/>
        <v>0</v>
      </c>
      <c r="AP858" s="2">
        <f t="shared" si="123"/>
        <v>0</v>
      </c>
      <c r="AQ858" s="25">
        <f t="shared" si="124"/>
        <v>0</v>
      </c>
    </row>
    <row r="859" spans="1:43">
      <c r="A859" s="24">
        <v>46137</v>
      </c>
      <c r="B859" s="23">
        <f t="shared" si="117"/>
        <v>46113</v>
      </c>
      <c r="C859" s="2" t="s">
        <v>55</v>
      </c>
      <c r="D859" s="2" t="s">
        <v>485</v>
      </c>
      <c r="E859" s="2">
        <v>2648</v>
      </c>
      <c r="F859" s="2">
        <v>76</v>
      </c>
      <c r="G859" s="2">
        <v>71</v>
      </c>
      <c r="H859" s="2">
        <f t="shared" si="125"/>
        <v>5</v>
      </c>
      <c r="I859" s="2">
        <v>5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/>
      <c r="AJ859" s="2" t="s">
        <v>77</v>
      </c>
      <c r="AK859" s="2">
        <f t="shared" si="118"/>
        <v>5</v>
      </c>
      <c r="AL859" s="2">
        <f t="shared" si="119"/>
        <v>0</v>
      </c>
      <c r="AM859" s="2">
        <f t="shared" si="120"/>
        <v>0</v>
      </c>
      <c r="AN859" s="2">
        <f t="shared" si="121"/>
        <v>0</v>
      </c>
      <c r="AO859" s="2">
        <f t="shared" si="122"/>
        <v>0</v>
      </c>
      <c r="AP859" s="2">
        <f t="shared" si="123"/>
        <v>0</v>
      </c>
      <c r="AQ859" s="25">
        <f t="shared" si="124"/>
        <v>0</v>
      </c>
    </row>
    <row r="860" spans="1:43">
      <c r="A860" s="24">
        <v>46137</v>
      </c>
      <c r="B860" s="23">
        <f t="shared" si="117"/>
        <v>46113</v>
      </c>
      <c r="C860" s="2" t="s">
        <v>160</v>
      </c>
      <c r="D860" s="2" t="s">
        <v>487</v>
      </c>
      <c r="E860" s="2">
        <v>2651</v>
      </c>
      <c r="F860" s="2">
        <v>209</v>
      </c>
      <c r="G860" s="2">
        <v>192</v>
      </c>
      <c r="H860" s="2">
        <f t="shared" si="125"/>
        <v>17</v>
      </c>
      <c r="I860" s="2">
        <v>16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1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/>
      <c r="AJ860" s="2" t="s">
        <v>77</v>
      </c>
      <c r="AK860" s="2">
        <f t="shared" si="118"/>
        <v>16</v>
      </c>
      <c r="AL860" s="2">
        <f t="shared" si="119"/>
        <v>0</v>
      </c>
      <c r="AM860" s="2">
        <f t="shared" si="120"/>
        <v>0</v>
      </c>
      <c r="AN860" s="2">
        <f t="shared" si="121"/>
        <v>1</v>
      </c>
      <c r="AO860" s="2">
        <f t="shared" si="122"/>
        <v>0</v>
      </c>
      <c r="AP860" s="2">
        <f t="shared" si="123"/>
        <v>0</v>
      </c>
      <c r="AQ860" s="25">
        <f t="shared" si="124"/>
        <v>0</v>
      </c>
    </row>
    <row r="861" spans="1:43">
      <c r="A861" s="24">
        <v>46137</v>
      </c>
      <c r="B861" s="23">
        <f t="shared" si="117"/>
        <v>46113</v>
      </c>
      <c r="C861" s="2" t="s">
        <v>160</v>
      </c>
      <c r="D861" s="2" t="s">
        <v>1540</v>
      </c>
      <c r="E861" s="2">
        <v>1767</v>
      </c>
      <c r="F861" s="2">
        <v>232</v>
      </c>
      <c r="G861" s="2">
        <v>228</v>
      </c>
      <c r="H861" s="2">
        <f t="shared" si="125"/>
        <v>4</v>
      </c>
      <c r="I861" s="2">
        <v>4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/>
      <c r="AJ861" s="2" t="s">
        <v>77</v>
      </c>
      <c r="AK861" s="2">
        <f t="shared" si="118"/>
        <v>4</v>
      </c>
      <c r="AL861" s="2">
        <f t="shared" si="119"/>
        <v>0</v>
      </c>
      <c r="AM861" s="2">
        <f t="shared" si="120"/>
        <v>0</v>
      </c>
      <c r="AN861" s="2">
        <f t="shared" si="121"/>
        <v>0</v>
      </c>
      <c r="AO861" s="2">
        <f t="shared" si="122"/>
        <v>0</v>
      </c>
      <c r="AP861" s="2">
        <f t="shared" si="123"/>
        <v>0</v>
      </c>
      <c r="AQ861" s="25">
        <f t="shared" si="124"/>
        <v>0</v>
      </c>
    </row>
    <row r="862" spans="1:43">
      <c r="A862" s="24">
        <v>46137</v>
      </c>
      <c r="B862" s="23">
        <f t="shared" si="117"/>
        <v>46113</v>
      </c>
      <c r="C862" s="2" t="s">
        <v>160</v>
      </c>
      <c r="D862" s="2" t="s">
        <v>487</v>
      </c>
      <c r="E862" s="2">
        <v>2651</v>
      </c>
      <c r="F862" s="2">
        <v>174</v>
      </c>
      <c r="G862" s="2">
        <v>148</v>
      </c>
      <c r="H862" s="2">
        <f t="shared" si="125"/>
        <v>26</v>
      </c>
      <c r="I862" s="2">
        <v>2</v>
      </c>
      <c r="J862" s="2">
        <v>0</v>
      </c>
      <c r="K862" s="2">
        <v>0</v>
      </c>
      <c r="L862" s="2">
        <v>0</v>
      </c>
      <c r="M862" s="2">
        <v>20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4</v>
      </c>
      <c r="AE862" s="2">
        <v>0</v>
      </c>
      <c r="AF862" s="2">
        <v>0</v>
      </c>
      <c r="AG862" s="2">
        <v>0</v>
      </c>
      <c r="AH862" s="2">
        <v>0</v>
      </c>
      <c r="AI862" s="2"/>
      <c r="AJ862" s="2" t="s">
        <v>80</v>
      </c>
      <c r="AK862" s="2">
        <f t="shared" si="118"/>
        <v>2</v>
      </c>
      <c r="AL862" s="2">
        <f t="shared" si="119"/>
        <v>20</v>
      </c>
      <c r="AM862" s="2">
        <f t="shared" si="120"/>
        <v>0</v>
      </c>
      <c r="AN862" s="2">
        <f t="shared" si="121"/>
        <v>0</v>
      </c>
      <c r="AO862" s="2">
        <f t="shared" si="122"/>
        <v>0</v>
      </c>
      <c r="AP862" s="2">
        <f t="shared" si="123"/>
        <v>4</v>
      </c>
      <c r="AQ862" s="25">
        <f t="shared" si="124"/>
        <v>0</v>
      </c>
    </row>
    <row r="863" spans="1:43">
      <c r="A863" s="24">
        <v>46137</v>
      </c>
      <c r="B863" s="23">
        <f t="shared" si="117"/>
        <v>46113</v>
      </c>
      <c r="C863" s="2" t="s">
        <v>55</v>
      </c>
      <c r="D863" s="2" t="s">
        <v>1289</v>
      </c>
      <c r="E863" s="2">
        <v>2570</v>
      </c>
      <c r="F863" s="2">
        <v>18</v>
      </c>
      <c r="G863" s="2">
        <v>18</v>
      </c>
      <c r="H863" s="2">
        <f t="shared" si="125"/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/>
      <c r="AJ863" s="2" t="s">
        <v>80</v>
      </c>
      <c r="AK863" s="2">
        <f t="shared" si="118"/>
        <v>0</v>
      </c>
      <c r="AL863" s="2">
        <f t="shared" si="119"/>
        <v>0</v>
      </c>
      <c r="AM863" s="2">
        <f t="shared" si="120"/>
        <v>0</v>
      </c>
      <c r="AN863" s="2">
        <f t="shared" si="121"/>
        <v>0</v>
      </c>
      <c r="AO863" s="2">
        <f t="shared" si="122"/>
        <v>0</v>
      </c>
      <c r="AP863" s="2">
        <f t="shared" si="123"/>
        <v>0</v>
      </c>
      <c r="AQ863" s="25">
        <f t="shared" si="124"/>
        <v>0</v>
      </c>
    </row>
    <row r="864" spans="1:43">
      <c r="A864" s="24">
        <v>46137</v>
      </c>
      <c r="B864" s="23">
        <f t="shared" si="117"/>
        <v>46113</v>
      </c>
      <c r="C864" s="2" t="s">
        <v>62</v>
      </c>
      <c r="D864" s="2" t="s">
        <v>473</v>
      </c>
      <c r="E864" s="2">
        <v>2621</v>
      </c>
      <c r="F864" s="2">
        <v>537</v>
      </c>
      <c r="G864" s="2">
        <v>524</v>
      </c>
      <c r="H864" s="2">
        <f t="shared" si="125"/>
        <v>13</v>
      </c>
      <c r="I864" s="2">
        <v>6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6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1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/>
      <c r="AJ864" s="2" t="s">
        <v>80</v>
      </c>
      <c r="AK864" s="2">
        <f t="shared" si="118"/>
        <v>6</v>
      </c>
      <c r="AL864" s="2">
        <f t="shared" si="119"/>
        <v>6</v>
      </c>
      <c r="AM864" s="2">
        <f t="shared" si="120"/>
        <v>1</v>
      </c>
      <c r="AN864" s="2">
        <f t="shared" si="121"/>
        <v>0</v>
      </c>
      <c r="AO864" s="2">
        <f t="shared" si="122"/>
        <v>0</v>
      </c>
      <c r="AP864" s="2">
        <f t="shared" si="123"/>
        <v>0</v>
      </c>
      <c r="AQ864" s="25">
        <f t="shared" si="124"/>
        <v>0</v>
      </c>
    </row>
    <row r="865" spans="1:43">
      <c r="A865" s="24">
        <v>46137</v>
      </c>
      <c r="B865" s="23">
        <f t="shared" si="117"/>
        <v>46113</v>
      </c>
      <c r="C865" s="2" t="s">
        <v>97</v>
      </c>
      <c r="D865" s="2" t="s">
        <v>1470</v>
      </c>
      <c r="E865" s="2">
        <v>3333</v>
      </c>
      <c r="F865" s="2">
        <v>45</v>
      </c>
      <c r="G865" s="2">
        <v>43</v>
      </c>
      <c r="H865" s="2">
        <f t="shared" si="125"/>
        <v>2</v>
      </c>
      <c r="I865" s="2">
        <v>2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/>
      <c r="AJ865" s="2" t="s">
        <v>80</v>
      </c>
      <c r="AK865" s="2">
        <f t="shared" si="118"/>
        <v>2</v>
      </c>
      <c r="AL865" s="2">
        <f t="shared" si="119"/>
        <v>0</v>
      </c>
      <c r="AM865" s="2">
        <f t="shared" si="120"/>
        <v>0</v>
      </c>
      <c r="AN865" s="2">
        <f t="shared" si="121"/>
        <v>0</v>
      </c>
      <c r="AO865" s="2">
        <f t="shared" si="122"/>
        <v>0</v>
      </c>
      <c r="AP865" s="2">
        <f t="shared" si="123"/>
        <v>0</v>
      </c>
      <c r="AQ865" s="25">
        <f t="shared" si="124"/>
        <v>0</v>
      </c>
    </row>
    <row r="866" spans="1:43">
      <c r="A866" s="24">
        <v>46137</v>
      </c>
      <c r="B866" s="23">
        <f t="shared" si="117"/>
        <v>46113</v>
      </c>
      <c r="C866" s="2" t="s">
        <v>55</v>
      </c>
      <c r="D866" s="2" t="s">
        <v>1540</v>
      </c>
      <c r="E866" s="2">
        <v>1767</v>
      </c>
      <c r="F866" s="2">
        <v>600</v>
      </c>
      <c r="G866" s="2">
        <v>600</v>
      </c>
      <c r="H866" s="2">
        <f t="shared" si="125"/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/>
      <c r="AJ866" s="2" t="s">
        <v>80</v>
      </c>
      <c r="AK866" s="2">
        <f t="shared" si="118"/>
        <v>0</v>
      </c>
      <c r="AL866" s="2">
        <f t="shared" si="119"/>
        <v>0</v>
      </c>
      <c r="AM866" s="2">
        <f t="shared" si="120"/>
        <v>0</v>
      </c>
      <c r="AN866" s="2">
        <f t="shared" si="121"/>
        <v>0</v>
      </c>
      <c r="AO866" s="2">
        <f t="shared" si="122"/>
        <v>0</v>
      </c>
      <c r="AP866" s="2">
        <f t="shared" si="123"/>
        <v>0</v>
      </c>
      <c r="AQ866" s="25">
        <f t="shared" si="124"/>
        <v>0</v>
      </c>
    </row>
    <row r="867" spans="1:43">
      <c r="A867" s="24">
        <v>46137</v>
      </c>
      <c r="B867" s="23">
        <f t="shared" si="117"/>
        <v>46113</v>
      </c>
      <c r="C867" s="2" t="s">
        <v>55</v>
      </c>
      <c r="D867" s="2" t="s">
        <v>1540</v>
      </c>
      <c r="E867" s="2">
        <v>1767</v>
      </c>
      <c r="F867" s="2">
        <v>174</v>
      </c>
      <c r="G867" s="2">
        <v>161</v>
      </c>
      <c r="H867" s="2">
        <f t="shared" si="125"/>
        <v>13</v>
      </c>
      <c r="I867" s="2">
        <v>13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/>
      <c r="AJ867" s="2" t="s">
        <v>80</v>
      </c>
      <c r="AK867" s="2">
        <f t="shared" si="118"/>
        <v>13</v>
      </c>
      <c r="AL867" s="2">
        <f t="shared" si="119"/>
        <v>0</v>
      </c>
      <c r="AM867" s="2">
        <f t="shared" si="120"/>
        <v>0</v>
      </c>
      <c r="AN867" s="2">
        <f t="shared" si="121"/>
        <v>0</v>
      </c>
      <c r="AO867" s="2">
        <f t="shared" si="122"/>
        <v>0</v>
      </c>
      <c r="AP867" s="2">
        <f t="shared" si="123"/>
        <v>0</v>
      </c>
      <c r="AQ867" s="25">
        <f t="shared" si="124"/>
        <v>0</v>
      </c>
    </row>
    <row r="868" spans="1:43">
      <c r="A868" s="24">
        <v>46137</v>
      </c>
      <c r="B868" s="23">
        <f t="shared" si="117"/>
        <v>46113</v>
      </c>
      <c r="C868" s="2" t="s">
        <v>114</v>
      </c>
      <c r="D868" s="2" t="s">
        <v>444</v>
      </c>
      <c r="E868" s="2">
        <v>2575</v>
      </c>
      <c r="F868" s="2">
        <v>405</v>
      </c>
      <c r="G868" s="2">
        <v>404</v>
      </c>
      <c r="H868" s="2">
        <f t="shared" si="125"/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1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/>
      <c r="AJ868" s="2" t="s">
        <v>103</v>
      </c>
      <c r="AK868" s="2">
        <f t="shared" si="118"/>
        <v>0</v>
      </c>
      <c r="AL868" s="2">
        <f t="shared" si="119"/>
        <v>0</v>
      </c>
      <c r="AM868" s="2">
        <f t="shared" si="120"/>
        <v>0</v>
      </c>
      <c r="AN868" s="2">
        <f t="shared" si="121"/>
        <v>1</v>
      </c>
      <c r="AO868" s="2">
        <f t="shared" si="122"/>
        <v>0</v>
      </c>
      <c r="AP868" s="2">
        <f t="shared" si="123"/>
        <v>0</v>
      </c>
      <c r="AQ868" s="25">
        <f t="shared" si="124"/>
        <v>0</v>
      </c>
    </row>
    <row r="869" spans="1:43">
      <c r="A869" s="24">
        <v>46137</v>
      </c>
      <c r="B869" s="23">
        <f t="shared" si="117"/>
        <v>46113</v>
      </c>
      <c r="C869" s="2" t="s">
        <v>63</v>
      </c>
      <c r="D869" s="2" t="s">
        <v>1538</v>
      </c>
      <c r="E869" s="2">
        <v>10059</v>
      </c>
      <c r="F869" s="2">
        <v>384</v>
      </c>
      <c r="G869" s="2">
        <v>384</v>
      </c>
      <c r="H869" s="2">
        <f t="shared" si="125"/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/>
      <c r="AJ869" s="2" t="s">
        <v>1568</v>
      </c>
      <c r="AK869" s="2">
        <f t="shared" si="118"/>
        <v>0</v>
      </c>
      <c r="AL869" s="2">
        <f t="shared" si="119"/>
        <v>0</v>
      </c>
      <c r="AM869" s="2">
        <f t="shared" si="120"/>
        <v>0</v>
      </c>
      <c r="AN869" s="2">
        <f t="shared" si="121"/>
        <v>0</v>
      </c>
      <c r="AO869" s="2">
        <f t="shared" si="122"/>
        <v>0</v>
      </c>
      <c r="AP869" s="2">
        <f t="shared" si="123"/>
        <v>0</v>
      </c>
      <c r="AQ869" s="25">
        <f t="shared" si="124"/>
        <v>0</v>
      </c>
    </row>
    <row r="870" spans="1:43">
      <c r="A870" s="24">
        <v>46137</v>
      </c>
      <c r="B870" s="23">
        <f t="shared" si="117"/>
        <v>46113</v>
      </c>
      <c r="C870" s="2" t="s">
        <v>62</v>
      </c>
      <c r="D870" s="2" t="s">
        <v>570</v>
      </c>
      <c r="E870" s="2">
        <v>1806</v>
      </c>
      <c r="F870" s="2">
        <v>233</v>
      </c>
      <c r="G870" s="2">
        <v>233</v>
      </c>
      <c r="H870" s="2">
        <f t="shared" si="125"/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/>
      <c r="AJ870" s="2" t="s">
        <v>1568</v>
      </c>
      <c r="AK870" s="2">
        <f t="shared" si="118"/>
        <v>0</v>
      </c>
      <c r="AL870" s="2">
        <f t="shared" si="119"/>
        <v>0</v>
      </c>
      <c r="AM870" s="2">
        <f t="shared" si="120"/>
        <v>0</v>
      </c>
      <c r="AN870" s="2">
        <f t="shared" si="121"/>
        <v>0</v>
      </c>
      <c r="AO870" s="2">
        <f t="shared" si="122"/>
        <v>0</v>
      </c>
      <c r="AP870" s="2">
        <f t="shared" si="123"/>
        <v>0</v>
      </c>
      <c r="AQ870" s="25">
        <f t="shared" si="124"/>
        <v>0</v>
      </c>
    </row>
    <row r="871" spans="1:43">
      <c r="A871" s="24">
        <v>46137</v>
      </c>
      <c r="B871" s="23">
        <f t="shared" si="117"/>
        <v>46113</v>
      </c>
      <c r="C871" s="2" t="s">
        <v>63</v>
      </c>
      <c r="D871" s="2" t="s">
        <v>451</v>
      </c>
      <c r="E871" s="2">
        <v>1698</v>
      </c>
      <c r="F871" s="2">
        <v>301</v>
      </c>
      <c r="G871" s="2">
        <v>240</v>
      </c>
      <c r="H871" s="2">
        <f t="shared" si="125"/>
        <v>61</v>
      </c>
      <c r="I871" s="2">
        <v>36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12</v>
      </c>
      <c r="R871" s="2">
        <v>1</v>
      </c>
      <c r="S871" s="2">
        <v>2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10</v>
      </c>
      <c r="AI871" s="2"/>
      <c r="AJ871" s="2" t="s">
        <v>1568</v>
      </c>
      <c r="AK871" s="2">
        <f t="shared" si="118"/>
        <v>36</v>
      </c>
      <c r="AL871" s="2">
        <f t="shared" si="119"/>
        <v>15</v>
      </c>
      <c r="AM871" s="2">
        <f t="shared" si="120"/>
        <v>0</v>
      </c>
      <c r="AN871" s="2">
        <f t="shared" si="121"/>
        <v>10</v>
      </c>
      <c r="AO871" s="2">
        <f t="shared" si="122"/>
        <v>0</v>
      </c>
      <c r="AP871" s="2">
        <f t="shared" si="123"/>
        <v>0</v>
      </c>
      <c r="AQ871" s="25">
        <f t="shared" si="124"/>
        <v>0</v>
      </c>
    </row>
    <row r="872" spans="1:43">
      <c r="A872" s="24">
        <v>46137</v>
      </c>
      <c r="B872" s="23">
        <f t="shared" si="117"/>
        <v>46113</v>
      </c>
      <c r="C872" s="2" t="s">
        <v>62</v>
      </c>
      <c r="D872" s="2" t="s">
        <v>1453</v>
      </c>
      <c r="E872" s="2">
        <v>1823</v>
      </c>
      <c r="F872" s="2">
        <v>336</v>
      </c>
      <c r="G872" s="2">
        <v>332</v>
      </c>
      <c r="H872" s="2">
        <f t="shared" si="125"/>
        <v>4</v>
      </c>
      <c r="I872" s="2">
        <v>4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/>
      <c r="AJ872" s="2" t="s">
        <v>1568</v>
      </c>
      <c r="AK872" s="2">
        <f t="shared" si="118"/>
        <v>4</v>
      </c>
      <c r="AL872" s="2">
        <f t="shared" si="119"/>
        <v>0</v>
      </c>
      <c r="AM872" s="2">
        <f t="shared" si="120"/>
        <v>0</v>
      </c>
      <c r="AN872" s="2">
        <f t="shared" si="121"/>
        <v>0</v>
      </c>
      <c r="AO872" s="2">
        <f t="shared" si="122"/>
        <v>0</v>
      </c>
      <c r="AP872" s="2">
        <f t="shared" si="123"/>
        <v>0</v>
      </c>
      <c r="AQ872" s="25">
        <f t="shared" si="124"/>
        <v>0</v>
      </c>
    </row>
    <row r="873" spans="1:43">
      <c r="A873" s="24">
        <v>46137</v>
      </c>
      <c r="B873" s="23">
        <f t="shared" si="117"/>
        <v>46113</v>
      </c>
      <c r="C873" s="2" t="s">
        <v>63</v>
      </c>
      <c r="D873" s="2" t="s">
        <v>469</v>
      </c>
      <c r="E873" s="2">
        <v>2606</v>
      </c>
      <c r="F873" s="2">
        <v>401</v>
      </c>
      <c r="G873" s="2">
        <v>393</v>
      </c>
      <c r="H873" s="2">
        <f t="shared" si="125"/>
        <v>8</v>
      </c>
      <c r="I873" s="2">
        <v>7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1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/>
      <c r="AJ873" s="2" t="s">
        <v>1568</v>
      </c>
      <c r="AK873" s="2">
        <f t="shared" si="118"/>
        <v>7</v>
      </c>
      <c r="AL873" s="2">
        <f t="shared" si="119"/>
        <v>1</v>
      </c>
      <c r="AM873" s="2">
        <f t="shared" si="120"/>
        <v>0</v>
      </c>
      <c r="AN873" s="2">
        <f t="shared" si="121"/>
        <v>0</v>
      </c>
      <c r="AO873" s="2">
        <f t="shared" si="122"/>
        <v>0</v>
      </c>
      <c r="AP873" s="2">
        <f t="shared" si="123"/>
        <v>0</v>
      </c>
      <c r="AQ873" s="25">
        <f t="shared" si="124"/>
        <v>0</v>
      </c>
    </row>
    <row r="874" spans="1:43">
      <c r="A874" s="24">
        <v>46137</v>
      </c>
      <c r="B874" s="23">
        <f t="shared" si="117"/>
        <v>46113</v>
      </c>
      <c r="C874" s="2" t="s">
        <v>82</v>
      </c>
      <c r="D874" s="2" t="s">
        <v>469</v>
      </c>
      <c r="E874" s="2">
        <v>2606</v>
      </c>
      <c r="F874" s="2">
        <v>174</v>
      </c>
      <c r="G874" s="2">
        <v>174</v>
      </c>
      <c r="H874" s="2">
        <f t="shared" si="125"/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/>
      <c r="AJ874" s="2" t="s">
        <v>93</v>
      </c>
      <c r="AK874" s="2">
        <f t="shared" si="118"/>
        <v>0</v>
      </c>
      <c r="AL874" s="2">
        <f t="shared" si="119"/>
        <v>0</v>
      </c>
      <c r="AM874" s="2">
        <f t="shared" si="120"/>
        <v>0</v>
      </c>
      <c r="AN874" s="2">
        <f t="shared" si="121"/>
        <v>0</v>
      </c>
      <c r="AO874" s="2">
        <f t="shared" si="122"/>
        <v>0</v>
      </c>
      <c r="AP874" s="2">
        <f t="shared" si="123"/>
        <v>0</v>
      </c>
      <c r="AQ874" s="25">
        <f t="shared" si="124"/>
        <v>0</v>
      </c>
    </row>
    <row r="875" spans="1:43">
      <c r="A875" s="24">
        <v>46137</v>
      </c>
      <c r="B875" s="23">
        <f t="shared" si="117"/>
        <v>46113</v>
      </c>
      <c r="C875" s="2" t="s">
        <v>160</v>
      </c>
      <c r="D875" s="2" t="s">
        <v>577</v>
      </c>
      <c r="E875" s="2">
        <v>1521</v>
      </c>
      <c r="F875" s="2">
        <v>69</v>
      </c>
      <c r="G875" s="2">
        <v>67</v>
      </c>
      <c r="H875" s="2">
        <f t="shared" si="125"/>
        <v>2</v>
      </c>
      <c r="I875" s="2">
        <v>2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/>
      <c r="AJ875" s="2" t="s">
        <v>93</v>
      </c>
      <c r="AK875" s="2">
        <f t="shared" si="118"/>
        <v>2</v>
      </c>
      <c r="AL875" s="2">
        <f t="shared" si="119"/>
        <v>0</v>
      </c>
      <c r="AM875" s="2">
        <f t="shared" si="120"/>
        <v>0</v>
      </c>
      <c r="AN875" s="2">
        <f t="shared" si="121"/>
        <v>0</v>
      </c>
      <c r="AO875" s="2">
        <f t="shared" si="122"/>
        <v>0</v>
      </c>
      <c r="AP875" s="2">
        <f t="shared" si="123"/>
        <v>0</v>
      </c>
      <c r="AQ875" s="25">
        <f t="shared" si="124"/>
        <v>0</v>
      </c>
    </row>
    <row r="876" spans="1:43">
      <c r="A876" s="24">
        <v>46137</v>
      </c>
      <c r="B876" s="23">
        <f t="shared" si="117"/>
        <v>46113</v>
      </c>
      <c r="C876" s="2" t="s">
        <v>82</v>
      </c>
      <c r="D876" s="2" t="s">
        <v>428</v>
      </c>
      <c r="E876" s="2">
        <v>1824</v>
      </c>
      <c r="F876" s="2">
        <v>206</v>
      </c>
      <c r="G876" s="2">
        <v>199</v>
      </c>
      <c r="H876" s="2">
        <f t="shared" si="125"/>
        <v>7</v>
      </c>
      <c r="I876" s="2">
        <v>2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1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4</v>
      </c>
      <c r="AE876" s="2">
        <v>0</v>
      </c>
      <c r="AF876" s="2">
        <v>0</v>
      </c>
      <c r="AG876" s="2">
        <v>0</v>
      </c>
      <c r="AH876" s="2">
        <v>0</v>
      </c>
      <c r="AI876" s="2"/>
      <c r="AJ876" s="2" t="s">
        <v>93</v>
      </c>
      <c r="AK876" s="2">
        <f t="shared" si="118"/>
        <v>2</v>
      </c>
      <c r="AL876" s="2">
        <f t="shared" si="119"/>
        <v>1</v>
      </c>
      <c r="AM876" s="2">
        <f t="shared" si="120"/>
        <v>0</v>
      </c>
      <c r="AN876" s="2">
        <f t="shared" si="121"/>
        <v>0</v>
      </c>
      <c r="AO876" s="2">
        <f t="shared" si="122"/>
        <v>0</v>
      </c>
      <c r="AP876" s="2">
        <f t="shared" si="123"/>
        <v>4</v>
      </c>
      <c r="AQ876" s="25">
        <f t="shared" si="124"/>
        <v>0</v>
      </c>
    </row>
    <row r="877" spans="1:43">
      <c r="A877" s="24">
        <v>46137</v>
      </c>
      <c r="B877" s="23">
        <f t="shared" si="117"/>
        <v>46113</v>
      </c>
      <c r="C877" s="2" t="s">
        <v>160</v>
      </c>
      <c r="D877" s="2" t="s">
        <v>503</v>
      </c>
      <c r="E877" s="2">
        <v>1805</v>
      </c>
      <c r="F877" s="2">
        <v>173</v>
      </c>
      <c r="G877" s="2">
        <v>169</v>
      </c>
      <c r="H877" s="2">
        <f t="shared" si="125"/>
        <v>4</v>
      </c>
      <c r="I877" s="2">
        <v>2</v>
      </c>
      <c r="J877" s="2">
        <v>2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/>
      <c r="AJ877" s="2" t="s">
        <v>93</v>
      </c>
      <c r="AK877" s="2">
        <f t="shared" si="118"/>
        <v>2</v>
      </c>
      <c r="AL877" s="2">
        <f t="shared" si="119"/>
        <v>2</v>
      </c>
      <c r="AM877" s="2">
        <f t="shared" si="120"/>
        <v>0</v>
      </c>
      <c r="AN877" s="2">
        <f t="shared" si="121"/>
        <v>0</v>
      </c>
      <c r="AO877" s="2">
        <f t="shared" si="122"/>
        <v>0</v>
      </c>
      <c r="AP877" s="2">
        <f t="shared" si="123"/>
        <v>0</v>
      </c>
      <c r="AQ877" s="25">
        <f t="shared" si="124"/>
        <v>0</v>
      </c>
    </row>
    <row r="878" spans="1:43">
      <c r="A878" s="24">
        <v>46137</v>
      </c>
      <c r="B878" s="23">
        <f t="shared" si="117"/>
        <v>46113</v>
      </c>
      <c r="C878" s="2" t="s">
        <v>82</v>
      </c>
      <c r="D878" s="2" t="s">
        <v>579</v>
      </c>
      <c r="E878" s="2">
        <v>2576</v>
      </c>
      <c r="F878" s="2">
        <v>329</v>
      </c>
      <c r="G878" s="2">
        <v>327</v>
      </c>
      <c r="H878" s="2">
        <f t="shared" si="125"/>
        <v>2</v>
      </c>
      <c r="I878" s="2">
        <v>2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/>
      <c r="AJ878" s="2" t="s">
        <v>93</v>
      </c>
      <c r="AK878" s="2">
        <f t="shared" si="118"/>
        <v>2</v>
      </c>
      <c r="AL878" s="2">
        <f t="shared" si="119"/>
        <v>0</v>
      </c>
      <c r="AM878" s="2">
        <f t="shared" si="120"/>
        <v>0</v>
      </c>
      <c r="AN878" s="2">
        <f t="shared" si="121"/>
        <v>0</v>
      </c>
      <c r="AO878" s="2">
        <f t="shared" si="122"/>
        <v>0</v>
      </c>
      <c r="AP878" s="2">
        <f t="shared" si="123"/>
        <v>0</v>
      </c>
      <c r="AQ878" s="25">
        <f t="shared" si="124"/>
        <v>0</v>
      </c>
    </row>
    <row r="879" spans="1:43">
      <c r="A879" s="24">
        <v>46137</v>
      </c>
      <c r="B879" s="23">
        <f t="shared" si="117"/>
        <v>46113</v>
      </c>
      <c r="C879" s="2" t="s">
        <v>160</v>
      </c>
      <c r="D879" s="2" t="s">
        <v>548</v>
      </c>
      <c r="E879" s="2">
        <v>1805</v>
      </c>
      <c r="F879" s="2">
        <v>88</v>
      </c>
      <c r="G879" s="2">
        <v>80</v>
      </c>
      <c r="H879" s="2">
        <f t="shared" si="125"/>
        <v>8</v>
      </c>
      <c r="I879" s="2">
        <v>7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1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/>
      <c r="AJ879" s="2" t="s">
        <v>93</v>
      </c>
      <c r="AK879" s="2">
        <f t="shared" si="118"/>
        <v>7</v>
      </c>
      <c r="AL879" s="2">
        <f t="shared" si="119"/>
        <v>1</v>
      </c>
      <c r="AM879" s="2">
        <f t="shared" si="120"/>
        <v>0</v>
      </c>
      <c r="AN879" s="2">
        <f t="shared" si="121"/>
        <v>0</v>
      </c>
      <c r="AO879" s="2">
        <f t="shared" si="122"/>
        <v>0</v>
      </c>
      <c r="AP879" s="2">
        <f t="shared" si="123"/>
        <v>0</v>
      </c>
      <c r="AQ879" s="25">
        <f t="shared" si="124"/>
        <v>0</v>
      </c>
    </row>
    <row r="880" spans="1:43">
      <c r="A880" s="24">
        <v>46137</v>
      </c>
      <c r="B880" s="23">
        <f t="shared" si="117"/>
        <v>46113</v>
      </c>
      <c r="C880" s="2" t="s">
        <v>82</v>
      </c>
      <c r="D880" s="2" t="s">
        <v>428</v>
      </c>
      <c r="E880" s="2">
        <v>1824</v>
      </c>
      <c r="F880" s="2">
        <v>32</v>
      </c>
      <c r="G880" s="2">
        <v>32</v>
      </c>
      <c r="H880" s="2">
        <f t="shared" si="125"/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/>
      <c r="AJ880" s="2" t="s">
        <v>93</v>
      </c>
      <c r="AK880" s="2">
        <f t="shared" si="118"/>
        <v>0</v>
      </c>
      <c r="AL880" s="2">
        <f t="shared" si="119"/>
        <v>0</v>
      </c>
      <c r="AM880" s="2">
        <f t="shared" si="120"/>
        <v>0</v>
      </c>
      <c r="AN880" s="2">
        <f t="shared" si="121"/>
        <v>0</v>
      </c>
      <c r="AO880" s="2">
        <f t="shared" si="122"/>
        <v>0</v>
      </c>
      <c r="AP880" s="2">
        <f t="shared" si="123"/>
        <v>0</v>
      </c>
      <c r="AQ880" s="25">
        <f t="shared" si="124"/>
        <v>0</v>
      </c>
    </row>
    <row r="881" spans="1:43">
      <c r="A881" s="24">
        <v>46137</v>
      </c>
      <c r="B881" s="23">
        <f t="shared" si="117"/>
        <v>46113</v>
      </c>
      <c r="C881" s="2" t="s">
        <v>82</v>
      </c>
      <c r="D881" s="2" t="s">
        <v>579</v>
      </c>
      <c r="E881" s="2">
        <v>2576</v>
      </c>
      <c r="F881" s="2">
        <v>50</v>
      </c>
      <c r="G881" s="2">
        <v>50</v>
      </c>
      <c r="H881" s="2">
        <f t="shared" si="125"/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/>
      <c r="AJ881" s="2" t="s">
        <v>93</v>
      </c>
      <c r="AK881" s="2">
        <f t="shared" si="118"/>
        <v>0</v>
      </c>
      <c r="AL881" s="2">
        <f t="shared" si="119"/>
        <v>0</v>
      </c>
      <c r="AM881" s="2">
        <f t="shared" si="120"/>
        <v>0</v>
      </c>
      <c r="AN881" s="2">
        <f t="shared" si="121"/>
        <v>0</v>
      </c>
      <c r="AO881" s="2">
        <f t="shared" si="122"/>
        <v>0</v>
      </c>
      <c r="AP881" s="2">
        <f t="shared" si="123"/>
        <v>0</v>
      </c>
      <c r="AQ881" s="25">
        <f t="shared" si="124"/>
        <v>0</v>
      </c>
    </row>
    <row r="882" spans="1:43">
      <c r="A882" s="24">
        <v>46137</v>
      </c>
      <c r="B882" s="23">
        <f t="shared" si="117"/>
        <v>46113</v>
      </c>
      <c r="C882" s="2" t="s">
        <v>160</v>
      </c>
      <c r="D882" s="2" t="s">
        <v>549</v>
      </c>
      <c r="E882" s="2">
        <v>1870</v>
      </c>
      <c r="F882" s="2">
        <v>26</v>
      </c>
      <c r="G882" s="2">
        <v>26</v>
      </c>
      <c r="H882" s="2">
        <f t="shared" si="125"/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/>
      <c r="AJ882" s="2" t="s">
        <v>93</v>
      </c>
      <c r="AK882" s="2">
        <f t="shared" si="118"/>
        <v>0</v>
      </c>
      <c r="AL882" s="2">
        <f t="shared" si="119"/>
        <v>0</v>
      </c>
      <c r="AM882" s="2">
        <f t="shared" si="120"/>
        <v>0</v>
      </c>
      <c r="AN882" s="2">
        <f t="shared" si="121"/>
        <v>0</v>
      </c>
      <c r="AO882" s="2">
        <f t="shared" si="122"/>
        <v>0</v>
      </c>
      <c r="AP882" s="2">
        <f t="shared" si="123"/>
        <v>0</v>
      </c>
      <c r="AQ882" s="25">
        <f t="shared" si="124"/>
        <v>0</v>
      </c>
    </row>
    <row r="883" spans="1:43">
      <c r="A883" s="24">
        <v>46137</v>
      </c>
      <c r="B883" s="23">
        <f t="shared" si="117"/>
        <v>46113</v>
      </c>
      <c r="C883" s="2" t="s">
        <v>160</v>
      </c>
      <c r="D883" s="2" t="s">
        <v>452</v>
      </c>
      <c r="E883" s="2">
        <v>1805</v>
      </c>
      <c r="F883" s="2">
        <v>324</v>
      </c>
      <c r="G883" s="2">
        <v>300</v>
      </c>
      <c r="H883" s="2">
        <f t="shared" si="125"/>
        <v>24</v>
      </c>
      <c r="I883" s="2">
        <v>7</v>
      </c>
      <c r="J883" s="2">
        <v>0</v>
      </c>
      <c r="K883" s="2">
        <v>13</v>
      </c>
      <c r="L883" s="2">
        <v>0</v>
      </c>
      <c r="M883" s="2">
        <v>0</v>
      </c>
      <c r="N883" s="2">
        <v>0</v>
      </c>
      <c r="O883" s="2">
        <v>3</v>
      </c>
      <c r="P883" s="2">
        <v>0</v>
      </c>
      <c r="Q883" s="2">
        <v>0</v>
      </c>
      <c r="R883" s="2">
        <v>1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/>
      <c r="AJ883" s="2" t="s">
        <v>93</v>
      </c>
      <c r="AK883" s="2">
        <f t="shared" si="118"/>
        <v>7</v>
      </c>
      <c r="AL883" s="2">
        <f t="shared" si="119"/>
        <v>17</v>
      </c>
      <c r="AM883" s="2">
        <f t="shared" si="120"/>
        <v>0</v>
      </c>
      <c r="AN883" s="2">
        <f t="shared" si="121"/>
        <v>0</v>
      </c>
      <c r="AO883" s="2">
        <f t="shared" si="122"/>
        <v>0</v>
      </c>
      <c r="AP883" s="2">
        <f t="shared" si="123"/>
        <v>0</v>
      </c>
      <c r="AQ883" s="25">
        <f t="shared" si="124"/>
        <v>0</v>
      </c>
    </row>
    <row r="884" spans="1:43">
      <c r="A884" s="24">
        <v>46137</v>
      </c>
      <c r="B884" s="23">
        <f t="shared" si="117"/>
        <v>46113</v>
      </c>
      <c r="C884" s="2" t="s">
        <v>133</v>
      </c>
      <c r="D884" s="2" t="s">
        <v>470</v>
      </c>
      <c r="E884" s="2">
        <v>95156</v>
      </c>
      <c r="F884" s="2">
        <v>53</v>
      </c>
      <c r="G884" s="2">
        <v>52</v>
      </c>
      <c r="H884" s="2">
        <f t="shared" si="125"/>
        <v>1</v>
      </c>
      <c r="I884" s="2">
        <v>1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/>
      <c r="AJ884" s="2" t="s">
        <v>1566</v>
      </c>
      <c r="AK884" s="2">
        <f t="shared" si="118"/>
        <v>1</v>
      </c>
      <c r="AL884" s="2">
        <f t="shared" si="119"/>
        <v>0</v>
      </c>
      <c r="AM884" s="2">
        <f t="shared" si="120"/>
        <v>0</v>
      </c>
      <c r="AN884" s="2">
        <f t="shared" si="121"/>
        <v>0</v>
      </c>
      <c r="AO884" s="2">
        <f t="shared" si="122"/>
        <v>0</v>
      </c>
      <c r="AP884" s="2">
        <f t="shared" si="123"/>
        <v>0</v>
      </c>
      <c r="AQ884" s="25">
        <f t="shared" si="124"/>
        <v>0</v>
      </c>
    </row>
    <row r="885" spans="1:43">
      <c r="A885" s="24">
        <v>46137</v>
      </c>
      <c r="B885" s="23">
        <f t="shared" si="117"/>
        <v>46113</v>
      </c>
      <c r="C885" s="2" t="s">
        <v>1484</v>
      </c>
      <c r="D885" s="2" t="s">
        <v>1540</v>
      </c>
      <c r="E885" s="2">
        <v>1767</v>
      </c>
      <c r="F885" s="2">
        <v>1206</v>
      </c>
      <c r="G885" s="2">
        <v>1173</v>
      </c>
      <c r="H885" s="2">
        <f t="shared" si="125"/>
        <v>33</v>
      </c>
      <c r="I885" s="2">
        <v>25</v>
      </c>
      <c r="J885" s="2">
        <v>0</v>
      </c>
      <c r="K885" s="2">
        <v>1</v>
      </c>
      <c r="L885" s="2">
        <v>0</v>
      </c>
      <c r="M885" s="2">
        <v>1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6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/>
      <c r="AJ885" s="2" t="s">
        <v>1566</v>
      </c>
      <c r="AK885" s="2">
        <f t="shared" si="118"/>
        <v>25</v>
      </c>
      <c r="AL885" s="2">
        <f t="shared" si="119"/>
        <v>2</v>
      </c>
      <c r="AM885" s="2">
        <f t="shared" si="120"/>
        <v>6</v>
      </c>
      <c r="AN885" s="2">
        <f t="shared" si="121"/>
        <v>0</v>
      </c>
      <c r="AO885" s="2">
        <f t="shared" si="122"/>
        <v>0</v>
      </c>
      <c r="AP885" s="2">
        <f t="shared" si="123"/>
        <v>0</v>
      </c>
      <c r="AQ885" s="25">
        <f t="shared" si="124"/>
        <v>0</v>
      </c>
    </row>
    <row r="886" spans="1:43">
      <c r="A886" s="24">
        <v>46137</v>
      </c>
      <c r="B886" s="23">
        <f t="shared" si="117"/>
        <v>46113</v>
      </c>
      <c r="C886" s="2" t="s">
        <v>97</v>
      </c>
      <c r="D886" s="2" t="s">
        <v>480</v>
      </c>
      <c r="E886" s="2">
        <v>1870</v>
      </c>
      <c r="F886" s="2">
        <v>244</v>
      </c>
      <c r="G886" s="2">
        <v>242</v>
      </c>
      <c r="H886" s="2">
        <f t="shared" si="125"/>
        <v>2</v>
      </c>
      <c r="I886" s="2">
        <v>0</v>
      </c>
      <c r="J886" s="2">
        <v>0</v>
      </c>
      <c r="K886" s="2">
        <v>2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/>
      <c r="AJ886" s="2" t="s">
        <v>110</v>
      </c>
      <c r="AK886" s="2">
        <f t="shared" si="118"/>
        <v>0</v>
      </c>
      <c r="AL886" s="2">
        <f t="shared" si="119"/>
        <v>2</v>
      </c>
      <c r="AM886" s="2">
        <f t="shared" si="120"/>
        <v>0</v>
      </c>
      <c r="AN886" s="2">
        <f t="shared" si="121"/>
        <v>0</v>
      </c>
      <c r="AO886" s="2">
        <f t="shared" si="122"/>
        <v>0</v>
      </c>
      <c r="AP886" s="2">
        <f t="shared" si="123"/>
        <v>0</v>
      </c>
      <c r="AQ886" s="25">
        <f t="shared" si="124"/>
        <v>0</v>
      </c>
    </row>
    <row r="887" spans="1:43">
      <c r="A887" s="24">
        <v>46137</v>
      </c>
      <c r="B887" s="23">
        <f t="shared" si="117"/>
        <v>46113</v>
      </c>
      <c r="C887" s="2" t="s">
        <v>97</v>
      </c>
      <c r="D887" s="2" t="s">
        <v>480</v>
      </c>
      <c r="E887" s="2">
        <v>1870</v>
      </c>
      <c r="F887" s="2">
        <v>31</v>
      </c>
      <c r="G887" s="2">
        <v>30</v>
      </c>
      <c r="H887" s="2">
        <f t="shared" si="125"/>
        <v>1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1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/>
      <c r="AJ887" s="2" t="s">
        <v>110</v>
      </c>
      <c r="AK887" s="2">
        <f t="shared" si="118"/>
        <v>0</v>
      </c>
      <c r="AL887" s="2">
        <f t="shared" si="119"/>
        <v>0</v>
      </c>
      <c r="AM887" s="2">
        <f t="shared" si="120"/>
        <v>0</v>
      </c>
      <c r="AN887" s="2">
        <f t="shared" si="121"/>
        <v>1</v>
      </c>
      <c r="AO887" s="2">
        <f t="shared" si="122"/>
        <v>0</v>
      </c>
      <c r="AP887" s="2">
        <f t="shared" si="123"/>
        <v>0</v>
      </c>
      <c r="AQ887" s="25">
        <f t="shared" si="124"/>
        <v>0</v>
      </c>
    </row>
    <row r="888" spans="1:43">
      <c r="A888" s="24">
        <v>46137</v>
      </c>
      <c r="B888" s="23">
        <f t="shared" si="117"/>
        <v>46113</v>
      </c>
      <c r="C888" s="2" t="s">
        <v>97</v>
      </c>
      <c r="D888" s="2" t="s">
        <v>548</v>
      </c>
      <c r="E888" s="2">
        <v>1805</v>
      </c>
      <c r="F888" s="2">
        <v>65</v>
      </c>
      <c r="G888" s="2">
        <v>65</v>
      </c>
      <c r="H888" s="2">
        <f t="shared" si="125"/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/>
      <c r="AJ888" s="2" t="s">
        <v>110</v>
      </c>
      <c r="AK888" s="2">
        <f t="shared" si="118"/>
        <v>0</v>
      </c>
      <c r="AL888" s="2">
        <f t="shared" si="119"/>
        <v>0</v>
      </c>
      <c r="AM888" s="2">
        <f t="shared" si="120"/>
        <v>0</v>
      </c>
      <c r="AN888" s="2">
        <f t="shared" si="121"/>
        <v>0</v>
      </c>
      <c r="AO888" s="2">
        <f t="shared" si="122"/>
        <v>0</v>
      </c>
      <c r="AP888" s="2">
        <f t="shared" si="123"/>
        <v>0</v>
      </c>
      <c r="AQ888" s="25">
        <f t="shared" si="124"/>
        <v>0</v>
      </c>
    </row>
    <row r="889" spans="1:43">
      <c r="A889" s="24">
        <v>46137</v>
      </c>
      <c r="B889" s="23">
        <f t="shared" si="117"/>
        <v>46113</v>
      </c>
      <c r="C889" s="2" t="s">
        <v>97</v>
      </c>
      <c r="D889" s="2" t="s">
        <v>548</v>
      </c>
      <c r="E889" s="2">
        <v>1805</v>
      </c>
      <c r="F889" s="2">
        <v>20</v>
      </c>
      <c r="G889" s="2">
        <v>19</v>
      </c>
      <c r="H889" s="2">
        <f t="shared" si="125"/>
        <v>1</v>
      </c>
      <c r="I889" s="2">
        <v>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/>
      <c r="AJ889" s="2" t="s">
        <v>110</v>
      </c>
      <c r="AK889" s="2">
        <f t="shared" si="118"/>
        <v>1</v>
      </c>
      <c r="AL889" s="2">
        <f t="shared" si="119"/>
        <v>0</v>
      </c>
      <c r="AM889" s="2">
        <f t="shared" si="120"/>
        <v>0</v>
      </c>
      <c r="AN889" s="2">
        <f t="shared" si="121"/>
        <v>0</v>
      </c>
      <c r="AO889" s="2">
        <f t="shared" si="122"/>
        <v>0</v>
      </c>
      <c r="AP889" s="2">
        <f t="shared" si="123"/>
        <v>0</v>
      </c>
      <c r="AQ889" s="25">
        <f t="shared" si="124"/>
        <v>0</v>
      </c>
    </row>
    <row r="890" spans="1:43">
      <c r="A890" s="24">
        <v>46137</v>
      </c>
      <c r="B890" s="23">
        <f t="shared" si="117"/>
        <v>46113</v>
      </c>
      <c r="C890" s="2" t="s">
        <v>97</v>
      </c>
      <c r="D890" s="2" t="s">
        <v>1470</v>
      </c>
      <c r="E890" s="2">
        <v>3333</v>
      </c>
      <c r="F890" s="2">
        <v>24</v>
      </c>
      <c r="G890" s="2">
        <v>24</v>
      </c>
      <c r="H890" s="2">
        <f t="shared" si="125"/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/>
      <c r="AJ890" s="2" t="s">
        <v>110</v>
      </c>
      <c r="AK890" s="2">
        <f t="shared" si="118"/>
        <v>0</v>
      </c>
      <c r="AL890" s="2">
        <f t="shared" si="119"/>
        <v>0</v>
      </c>
      <c r="AM890" s="2">
        <f t="shared" si="120"/>
        <v>0</v>
      </c>
      <c r="AN890" s="2">
        <f t="shared" si="121"/>
        <v>0</v>
      </c>
      <c r="AO890" s="2">
        <f t="shared" si="122"/>
        <v>0</v>
      </c>
      <c r="AP890" s="2">
        <f t="shared" si="123"/>
        <v>0</v>
      </c>
      <c r="AQ890" s="25">
        <f t="shared" si="124"/>
        <v>0</v>
      </c>
    </row>
    <row r="891" spans="1:43">
      <c r="A891" s="24">
        <v>46139</v>
      </c>
      <c r="B891" s="23">
        <f t="shared" si="117"/>
        <v>46113</v>
      </c>
      <c r="C891" s="2" t="s">
        <v>160</v>
      </c>
      <c r="D891" s="2" t="s">
        <v>538</v>
      </c>
      <c r="E891" s="2">
        <v>1849</v>
      </c>
      <c r="F891" s="2">
        <v>20</v>
      </c>
      <c r="G891" s="2">
        <v>8</v>
      </c>
      <c r="H891" s="2">
        <f t="shared" si="125"/>
        <v>12</v>
      </c>
      <c r="I891" s="2">
        <v>0</v>
      </c>
      <c r="J891" s="2">
        <v>11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1</v>
      </c>
      <c r="AE891" s="2">
        <v>0</v>
      </c>
      <c r="AF891" s="2">
        <v>0</v>
      </c>
      <c r="AG891" s="2">
        <v>0</v>
      </c>
      <c r="AH891" s="2">
        <v>0</v>
      </c>
      <c r="AI891" s="2"/>
      <c r="AJ891" s="2" t="s">
        <v>80</v>
      </c>
      <c r="AK891" s="2">
        <f t="shared" si="118"/>
        <v>0</v>
      </c>
      <c r="AL891" s="2">
        <f t="shared" si="119"/>
        <v>11</v>
      </c>
      <c r="AM891" s="2">
        <f t="shared" si="120"/>
        <v>0</v>
      </c>
      <c r="AN891" s="2">
        <f t="shared" si="121"/>
        <v>0</v>
      </c>
      <c r="AO891" s="2">
        <f t="shared" si="122"/>
        <v>0</v>
      </c>
      <c r="AP891" s="2">
        <f t="shared" si="123"/>
        <v>1</v>
      </c>
      <c r="AQ891" s="25">
        <f t="shared" si="124"/>
        <v>0</v>
      </c>
    </row>
    <row r="892" spans="1:43">
      <c r="A892" s="24">
        <v>46139</v>
      </c>
      <c r="B892" s="23">
        <f t="shared" si="117"/>
        <v>46113</v>
      </c>
      <c r="C892" s="2" t="s">
        <v>160</v>
      </c>
      <c r="D892" s="2" t="s">
        <v>538</v>
      </c>
      <c r="E892" s="2">
        <v>1849</v>
      </c>
      <c r="F892" s="2">
        <v>87</v>
      </c>
      <c r="G892" s="2">
        <v>40</v>
      </c>
      <c r="H892" s="2">
        <f t="shared" si="125"/>
        <v>47</v>
      </c>
      <c r="I892" s="2">
        <v>0</v>
      </c>
      <c r="J892" s="2">
        <v>27</v>
      </c>
      <c r="K892" s="2">
        <v>0</v>
      </c>
      <c r="L892" s="2">
        <v>0</v>
      </c>
      <c r="M892" s="2">
        <v>20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/>
      <c r="AJ892" s="2" t="s">
        <v>80</v>
      </c>
      <c r="AK892" s="2">
        <f t="shared" si="118"/>
        <v>0</v>
      </c>
      <c r="AL892" s="2">
        <f t="shared" si="119"/>
        <v>47</v>
      </c>
      <c r="AM892" s="2">
        <f t="shared" si="120"/>
        <v>0</v>
      </c>
      <c r="AN892" s="2">
        <f t="shared" si="121"/>
        <v>0</v>
      </c>
      <c r="AO892" s="2">
        <f t="shared" si="122"/>
        <v>0</v>
      </c>
      <c r="AP892" s="2">
        <f t="shared" si="123"/>
        <v>0</v>
      </c>
      <c r="AQ892" s="25">
        <f t="shared" si="124"/>
        <v>0</v>
      </c>
    </row>
    <row r="893" spans="1:43">
      <c r="A893" s="24">
        <v>46139</v>
      </c>
      <c r="B893" s="23">
        <f t="shared" si="117"/>
        <v>46113</v>
      </c>
      <c r="C893" s="2" t="s">
        <v>160</v>
      </c>
      <c r="D893" s="2" t="s">
        <v>538</v>
      </c>
      <c r="E893" s="2">
        <v>1849</v>
      </c>
      <c r="F893" s="2">
        <v>16</v>
      </c>
      <c r="G893" s="2">
        <v>16</v>
      </c>
      <c r="H893" s="2">
        <f t="shared" si="125"/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/>
      <c r="AJ893" s="2" t="s">
        <v>80</v>
      </c>
      <c r="AK893" s="2">
        <f t="shared" si="118"/>
        <v>0</v>
      </c>
      <c r="AL893" s="2">
        <f t="shared" si="119"/>
        <v>0</v>
      </c>
      <c r="AM893" s="2">
        <f t="shared" si="120"/>
        <v>0</v>
      </c>
      <c r="AN893" s="2">
        <f t="shared" si="121"/>
        <v>0</v>
      </c>
      <c r="AO893" s="2">
        <f t="shared" si="122"/>
        <v>0</v>
      </c>
      <c r="AP893" s="2">
        <f t="shared" si="123"/>
        <v>0</v>
      </c>
      <c r="AQ893" s="25">
        <f t="shared" si="124"/>
        <v>0</v>
      </c>
    </row>
    <row r="894" spans="1:43">
      <c r="A894" s="24">
        <v>46139</v>
      </c>
      <c r="B894" s="23">
        <f t="shared" si="117"/>
        <v>46113</v>
      </c>
      <c r="C894" s="2" t="s">
        <v>62</v>
      </c>
      <c r="D894" s="2" t="s">
        <v>1556</v>
      </c>
      <c r="E894" s="2">
        <v>2786</v>
      </c>
      <c r="F894" s="2">
        <v>818</v>
      </c>
      <c r="G894" s="2">
        <v>785</v>
      </c>
      <c r="H894" s="2">
        <f t="shared" si="125"/>
        <v>33</v>
      </c>
      <c r="I894" s="2">
        <v>8</v>
      </c>
      <c r="J894" s="2">
        <v>0</v>
      </c>
      <c r="K894" s="2">
        <v>0</v>
      </c>
      <c r="L894" s="2">
        <v>0</v>
      </c>
      <c r="M894" s="2">
        <v>25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/>
      <c r="AJ894" s="2" t="s">
        <v>80</v>
      </c>
      <c r="AK894" s="2">
        <f t="shared" si="118"/>
        <v>8</v>
      </c>
      <c r="AL894" s="2">
        <f t="shared" si="119"/>
        <v>25</v>
      </c>
      <c r="AM894" s="2">
        <f t="shared" si="120"/>
        <v>0</v>
      </c>
      <c r="AN894" s="2">
        <f t="shared" si="121"/>
        <v>0</v>
      </c>
      <c r="AO894" s="2">
        <f t="shared" si="122"/>
        <v>0</v>
      </c>
      <c r="AP894" s="2">
        <f t="shared" si="123"/>
        <v>0</v>
      </c>
      <c r="AQ894" s="25">
        <f t="shared" si="124"/>
        <v>0</v>
      </c>
    </row>
    <row r="895" spans="1:43">
      <c r="A895" s="24">
        <v>46139</v>
      </c>
      <c r="B895" s="23">
        <f t="shared" si="117"/>
        <v>46113</v>
      </c>
      <c r="C895" s="2" t="s">
        <v>72</v>
      </c>
      <c r="D895" s="2" t="s">
        <v>576</v>
      </c>
      <c r="E895" s="2">
        <v>2497</v>
      </c>
      <c r="F895" s="2">
        <v>106</v>
      </c>
      <c r="G895" s="2">
        <v>103</v>
      </c>
      <c r="H895" s="2">
        <f t="shared" si="125"/>
        <v>3</v>
      </c>
      <c r="I895" s="2">
        <v>2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1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/>
      <c r="AJ895" s="2" t="s">
        <v>80</v>
      </c>
      <c r="AK895" s="2">
        <f t="shared" si="118"/>
        <v>2</v>
      </c>
      <c r="AL895" s="2">
        <f t="shared" si="119"/>
        <v>1</v>
      </c>
      <c r="AM895" s="2">
        <f t="shared" si="120"/>
        <v>0</v>
      </c>
      <c r="AN895" s="2">
        <f t="shared" si="121"/>
        <v>0</v>
      </c>
      <c r="AO895" s="2">
        <f t="shared" si="122"/>
        <v>0</v>
      </c>
      <c r="AP895" s="2">
        <f t="shared" si="123"/>
        <v>0</v>
      </c>
      <c r="AQ895" s="25">
        <f t="shared" si="124"/>
        <v>0</v>
      </c>
    </row>
    <row r="896" spans="1:43">
      <c r="A896" s="24">
        <v>46139</v>
      </c>
      <c r="B896" s="23">
        <f t="shared" si="117"/>
        <v>46113</v>
      </c>
      <c r="C896" s="2" t="s">
        <v>62</v>
      </c>
      <c r="D896" s="2" t="s">
        <v>431</v>
      </c>
      <c r="E896" s="2">
        <v>1806</v>
      </c>
      <c r="F896" s="2">
        <v>350</v>
      </c>
      <c r="G896" s="2">
        <v>329</v>
      </c>
      <c r="H896" s="2">
        <f t="shared" si="125"/>
        <v>21</v>
      </c>
      <c r="I896" s="2">
        <v>18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3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/>
      <c r="AJ896" s="2" t="s">
        <v>77</v>
      </c>
      <c r="AK896" s="2">
        <f t="shared" si="118"/>
        <v>18</v>
      </c>
      <c r="AL896" s="2">
        <f t="shared" si="119"/>
        <v>3</v>
      </c>
      <c r="AM896" s="2">
        <f t="shared" si="120"/>
        <v>0</v>
      </c>
      <c r="AN896" s="2">
        <f t="shared" si="121"/>
        <v>0</v>
      </c>
      <c r="AO896" s="2">
        <f t="shared" si="122"/>
        <v>0</v>
      </c>
      <c r="AP896" s="2">
        <f t="shared" si="123"/>
        <v>0</v>
      </c>
      <c r="AQ896" s="25">
        <f t="shared" si="124"/>
        <v>0</v>
      </c>
    </row>
    <row r="897" spans="1:43">
      <c r="A897" s="24">
        <v>46139</v>
      </c>
      <c r="B897" s="23">
        <f t="shared" si="117"/>
        <v>46113</v>
      </c>
      <c r="C897" s="2" t="s">
        <v>62</v>
      </c>
      <c r="D897" s="2" t="s">
        <v>431</v>
      </c>
      <c r="E897" s="2">
        <v>1806</v>
      </c>
      <c r="F897" s="2">
        <v>50</v>
      </c>
      <c r="G897" s="2">
        <v>50</v>
      </c>
      <c r="H897" s="2">
        <f t="shared" si="125"/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/>
      <c r="AJ897" s="2" t="s">
        <v>77</v>
      </c>
      <c r="AK897" s="2">
        <f t="shared" si="118"/>
        <v>0</v>
      </c>
      <c r="AL897" s="2">
        <f t="shared" si="119"/>
        <v>0</v>
      </c>
      <c r="AM897" s="2">
        <f t="shared" si="120"/>
        <v>0</v>
      </c>
      <c r="AN897" s="2">
        <f t="shared" si="121"/>
        <v>0</v>
      </c>
      <c r="AO897" s="2">
        <f t="shared" si="122"/>
        <v>0</v>
      </c>
      <c r="AP897" s="2">
        <f t="shared" si="123"/>
        <v>0</v>
      </c>
      <c r="AQ897" s="25">
        <f t="shared" si="124"/>
        <v>0</v>
      </c>
    </row>
    <row r="898" spans="1:43">
      <c r="A898" s="24">
        <v>46139</v>
      </c>
      <c r="B898" s="23">
        <f t="shared" ref="B898:B961" si="126">EOMONTH(A898,-1)+1</f>
        <v>46113</v>
      </c>
      <c r="C898" s="2" t="s">
        <v>160</v>
      </c>
      <c r="D898" s="2" t="s">
        <v>439</v>
      </c>
      <c r="E898" s="2">
        <v>1733</v>
      </c>
      <c r="F898" s="2">
        <v>240</v>
      </c>
      <c r="G898" s="2">
        <v>213</v>
      </c>
      <c r="H898" s="2">
        <f t="shared" si="125"/>
        <v>27</v>
      </c>
      <c r="I898" s="2">
        <v>23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3</v>
      </c>
      <c r="Y898" s="2">
        <v>0</v>
      </c>
      <c r="Z898" s="2">
        <v>1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/>
      <c r="AJ898" s="2" t="s">
        <v>77</v>
      </c>
      <c r="AK898" s="2">
        <f t="shared" ref="AK898:AK961" si="127">+I898+AF898</f>
        <v>23</v>
      </c>
      <c r="AL898" s="2">
        <f t="shared" ref="AL898:AL961" si="128">+J898+K898+O898+N898+P898+R898+S898+Q898+M898+L898</f>
        <v>0</v>
      </c>
      <c r="AM898" s="2">
        <f t="shared" ref="AM898:AM961" si="129">+AB898+AC898</f>
        <v>0</v>
      </c>
      <c r="AN898" s="2">
        <f t="shared" ref="AN898:AN961" si="130">+AH898+AG898+AA898+Z898</f>
        <v>1</v>
      </c>
      <c r="AO898" s="2">
        <f t="shared" ref="AO898:AO961" si="131">+X898+W898+V898+U898+T898+Y898</f>
        <v>3</v>
      </c>
      <c r="AP898" s="2">
        <f t="shared" ref="AP898:AP961" si="132">+AD898</f>
        <v>0</v>
      </c>
      <c r="AQ898" s="25">
        <f t="shared" ref="AQ898:AQ961" si="133">+AE898</f>
        <v>0</v>
      </c>
    </row>
    <row r="899" spans="1:43">
      <c r="A899" s="24">
        <v>46139</v>
      </c>
      <c r="B899" s="23">
        <f t="shared" si="126"/>
        <v>46113</v>
      </c>
      <c r="C899" s="2" t="s">
        <v>62</v>
      </c>
      <c r="D899" s="2" t="s">
        <v>431</v>
      </c>
      <c r="E899" s="2">
        <v>1806</v>
      </c>
      <c r="F899" s="2">
        <v>424</v>
      </c>
      <c r="G899" s="2">
        <v>418</v>
      </c>
      <c r="H899" s="2">
        <f t="shared" ref="H899:H962" si="134">F899-G899</f>
        <v>6</v>
      </c>
      <c r="I899" s="2">
        <v>6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/>
      <c r="AJ899" s="2" t="s">
        <v>77</v>
      </c>
      <c r="AK899" s="2">
        <f t="shared" si="127"/>
        <v>6</v>
      </c>
      <c r="AL899" s="2">
        <f t="shared" si="128"/>
        <v>0</v>
      </c>
      <c r="AM899" s="2">
        <f t="shared" si="129"/>
        <v>0</v>
      </c>
      <c r="AN899" s="2">
        <f t="shared" si="130"/>
        <v>0</v>
      </c>
      <c r="AO899" s="2">
        <f t="shared" si="131"/>
        <v>0</v>
      </c>
      <c r="AP899" s="2">
        <f t="shared" si="132"/>
        <v>0</v>
      </c>
      <c r="AQ899" s="25">
        <f t="shared" si="133"/>
        <v>0</v>
      </c>
    </row>
    <row r="900" spans="1:43">
      <c r="A900" s="24">
        <v>46139</v>
      </c>
      <c r="B900" s="23">
        <f t="shared" si="126"/>
        <v>46113</v>
      </c>
      <c r="C900" s="2" t="s">
        <v>62</v>
      </c>
      <c r="D900" s="2" t="s">
        <v>431</v>
      </c>
      <c r="E900" s="2">
        <v>1806</v>
      </c>
      <c r="F900" s="2">
        <v>50</v>
      </c>
      <c r="G900" s="2">
        <v>48</v>
      </c>
      <c r="H900" s="2">
        <f t="shared" si="134"/>
        <v>2</v>
      </c>
      <c r="I900" s="2">
        <v>2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/>
      <c r="AJ900" s="2" t="s">
        <v>77</v>
      </c>
      <c r="AK900" s="2">
        <f t="shared" si="127"/>
        <v>2</v>
      </c>
      <c r="AL900" s="2">
        <f t="shared" si="128"/>
        <v>0</v>
      </c>
      <c r="AM900" s="2">
        <f t="shared" si="129"/>
        <v>0</v>
      </c>
      <c r="AN900" s="2">
        <f t="shared" si="130"/>
        <v>0</v>
      </c>
      <c r="AO900" s="2">
        <f t="shared" si="131"/>
        <v>0</v>
      </c>
      <c r="AP900" s="2">
        <f t="shared" si="132"/>
        <v>0</v>
      </c>
      <c r="AQ900" s="25">
        <f t="shared" si="133"/>
        <v>0</v>
      </c>
    </row>
    <row r="901" spans="1:43">
      <c r="A901" s="24">
        <v>46139</v>
      </c>
      <c r="B901" s="23">
        <f t="shared" si="126"/>
        <v>46113</v>
      </c>
      <c r="C901" s="2" t="s">
        <v>72</v>
      </c>
      <c r="D901" s="2" t="s">
        <v>446</v>
      </c>
      <c r="E901" s="2">
        <v>2540</v>
      </c>
      <c r="F901" s="2">
        <v>98</v>
      </c>
      <c r="G901" s="2">
        <v>98</v>
      </c>
      <c r="H901" s="2">
        <f t="shared" si="134"/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/>
      <c r="AJ901" s="2" t="s">
        <v>103</v>
      </c>
      <c r="AK901" s="2">
        <f t="shared" si="127"/>
        <v>0</v>
      </c>
      <c r="AL901" s="2">
        <f t="shared" si="128"/>
        <v>0</v>
      </c>
      <c r="AM901" s="2">
        <f t="shared" si="129"/>
        <v>0</v>
      </c>
      <c r="AN901" s="2">
        <f t="shared" si="130"/>
        <v>0</v>
      </c>
      <c r="AO901" s="2">
        <f t="shared" si="131"/>
        <v>0</v>
      </c>
      <c r="AP901" s="2">
        <f t="shared" si="132"/>
        <v>0</v>
      </c>
      <c r="AQ901" s="25">
        <f t="shared" si="133"/>
        <v>0</v>
      </c>
    </row>
    <row r="902" spans="1:43">
      <c r="A902" s="24">
        <v>46139</v>
      </c>
      <c r="B902" s="23">
        <f t="shared" si="126"/>
        <v>46113</v>
      </c>
      <c r="C902" s="2" t="s">
        <v>72</v>
      </c>
      <c r="D902" s="2" t="s">
        <v>429</v>
      </c>
      <c r="E902" s="2">
        <v>2576</v>
      </c>
      <c r="F902" s="2">
        <v>424</v>
      </c>
      <c r="G902" s="2">
        <v>422</v>
      </c>
      <c r="H902" s="2">
        <f t="shared" si="134"/>
        <v>2</v>
      </c>
      <c r="I902" s="2">
        <v>2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/>
      <c r="AJ902" s="2" t="s">
        <v>103</v>
      </c>
      <c r="AK902" s="2">
        <f t="shared" si="127"/>
        <v>2</v>
      </c>
      <c r="AL902" s="2">
        <f t="shared" si="128"/>
        <v>0</v>
      </c>
      <c r="AM902" s="2">
        <f t="shared" si="129"/>
        <v>0</v>
      </c>
      <c r="AN902" s="2">
        <f t="shared" si="130"/>
        <v>0</v>
      </c>
      <c r="AO902" s="2">
        <f t="shared" si="131"/>
        <v>0</v>
      </c>
      <c r="AP902" s="2">
        <f t="shared" si="132"/>
        <v>0</v>
      </c>
      <c r="AQ902" s="25">
        <f t="shared" si="133"/>
        <v>0</v>
      </c>
    </row>
    <row r="903" spans="1:43">
      <c r="A903" s="24">
        <v>46139</v>
      </c>
      <c r="B903" s="23">
        <f t="shared" si="126"/>
        <v>46113</v>
      </c>
      <c r="C903" s="2" t="s">
        <v>82</v>
      </c>
      <c r="D903" s="2" t="s">
        <v>515</v>
      </c>
      <c r="E903" s="2">
        <v>2608</v>
      </c>
      <c r="F903" s="2">
        <v>211</v>
      </c>
      <c r="G903" s="2">
        <v>211</v>
      </c>
      <c r="H903" s="2">
        <f t="shared" si="134"/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/>
      <c r="AJ903" s="2" t="s">
        <v>93</v>
      </c>
      <c r="AK903" s="2">
        <f t="shared" si="127"/>
        <v>0</v>
      </c>
      <c r="AL903" s="2">
        <f t="shared" si="128"/>
        <v>0</v>
      </c>
      <c r="AM903" s="2">
        <f t="shared" si="129"/>
        <v>0</v>
      </c>
      <c r="AN903" s="2">
        <f t="shared" si="130"/>
        <v>0</v>
      </c>
      <c r="AO903" s="2">
        <f t="shared" si="131"/>
        <v>0</v>
      </c>
      <c r="AP903" s="2">
        <f t="shared" si="132"/>
        <v>0</v>
      </c>
      <c r="AQ903" s="25">
        <f t="shared" si="133"/>
        <v>0</v>
      </c>
    </row>
    <row r="904" spans="1:43">
      <c r="A904" s="24">
        <v>46139</v>
      </c>
      <c r="B904" s="23">
        <f t="shared" si="126"/>
        <v>46113</v>
      </c>
      <c r="C904" s="2" t="s">
        <v>160</v>
      </c>
      <c r="D904" s="2" t="s">
        <v>452</v>
      </c>
      <c r="E904" s="2">
        <v>1805</v>
      </c>
      <c r="F904" s="2">
        <v>227</v>
      </c>
      <c r="G904" s="2">
        <v>219</v>
      </c>
      <c r="H904" s="2">
        <f t="shared" si="134"/>
        <v>8</v>
      </c>
      <c r="I904" s="2">
        <v>6</v>
      </c>
      <c r="J904" s="2">
        <v>1</v>
      </c>
      <c r="K904" s="2">
        <v>0</v>
      </c>
      <c r="L904" s="2">
        <v>0</v>
      </c>
      <c r="M904" s="2">
        <v>0</v>
      </c>
      <c r="N904" s="2">
        <v>0</v>
      </c>
      <c r="O904" s="2">
        <v>1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/>
      <c r="AJ904" s="2" t="s">
        <v>93</v>
      </c>
      <c r="AK904" s="2">
        <f t="shared" si="127"/>
        <v>6</v>
      </c>
      <c r="AL904" s="2">
        <f t="shared" si="128"/>
        <v>2</v>
      </c>
      <c r="AM904" s="2">
        <f t="shared" si="129"/>
        <v>0</v>
      </c>
      <c r="AN904" s="2">
        <f t="shared" si="130"/>
        <v>0</v>
      </c>
      <c r="AO904" s="2">
        <f t="shared" si="131"/>
        <v>0</v>
      </c>
      <c r="AP904" s="2">
        <f t="shared" si="132"/>
        <v>0</v>
      </c>
      <c r="AQ904" s="25">
        <f t="shared" si="133"/>
        <v>0</v>
      </c>
    </row>
    <row r="905" spans="1:43">
      <c r="A905" s="24">
        <v>46139</v>
      </c>
      <c r="B905" s="23">
        <f t="shared" si="126"/>
        <v>46113</v>
      </c>
      <c r="C905" s="2" t="s">
        <v>160</v>
      </c>
      <c r="D905" s="2" t="s">
        <v>452</v>
      </c>
      <c r="E905" s="2">
        <v>1805</v>
      </c>
      <c r="F905" s="2">
        <v>32</v>
      </c>
      <c r="G905" s="2">
        <v>31</v>
      </c>
      <c r="H905" s="2">
        <f t="shared" si="134"/>
        <v>1</v>
      </c>
      <c r="I905" s="2">
        <v>0</v>
      </c>
      <c r="J905" s="2">
        <v>0</v>
      </c>
      <c r="K905" s="2">
        <v>0</v>
      </c>
      <c r="L905" s="2">
        <v>0</v>
      </c>
      <c r="M905" s="2">
        <v>1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/>
      <c r="AJ905" s="2" t="s">
        <v>93</v>
      </c>
      <c r="AK905" s="2">
        <f t="shared" si="127"/>
        <v>0</v>
      </c>
      <c r="AL905" s="2">
        <f t="shared" si="128"/>
        <v>1</v>
      </c>
      <c r="AM905" s="2">
        <f t="shared" si="129"/>
        <v>0</v>
      </c>
      <c r="AN905" s="2">
        <f t="shared" si="130"/>
        <v>0</v>
      </c>
      <c r="AO905" s="2">
        <f t="shared" si="131"/>
        <v>0</v>
      </c>
      <c r="AP905" s="2">
        <f t="shared" si="132"/>
        <v>0</v>
      </c>
      <c r="AQ905" s="25">
        <f t="shared" si="133"/>
        <v>0</v>
      </c>
    </row>
    <row r="906" spans="1:43">
      <c r="A906" s="24">
        <v>46139</v>
      </c>
      <c r="B906" s="23">
        <f t="shared" si="126"/>
        <v>46113</v>
      </c>
      <c r="C906" s="2" t="s">
        <v>160</v>
      </c>
      <c r="D906" s="2" t="s">
        <v>503</v>
      </c>
      <c r="E906" s="2">
        <v>1805</v>
      </c>
      <c r="F906" s="2">
        <v>32</v>
      </c>
      <c r="G906" s="2">
        <v>32</v>
      </c>
      <c r="H906" s="2">
        <f t="shared" si="134"/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/>
      <c r="AJ906" s="2" t="s">
        <v>93</v>
      </c>
      <c r="AK906" s="2">
        <f t="shared" si="127"/>
        <v>0</v>
      </c>
      <c r="AL906" s="2">
        <f t="shared" si="128"/>
        <v>0</v>
      </c>
      <c r="AM906" s="2">
        <f t="shared" si="129"/>
        <v>0</v>
      </c>
      <c r="AN906" s="2">
        <f t="shared" si="130"/>
        <v>0</v>
      </c>
      <c r="AO906" s="2">
        <f t="shared" si="131"/>
        <v>0</v>
      </c>
      <c r="AP906" s="2">
        <f t="shared" si="132"/>
        <v>0</v>
      </c>
      <c r="AQ906" s="25">
        <f t="shared" si="133"/>
        <v>0</v>
      </c>
    </row>
    <row r="907" spans="1:43">
      <c r="A907" s="24">
        <v>46139</v>
      </c>
      <c r="B907" s="23">
        <f t="shared" si="126"/>
        <v>46113</v>
      </c>
      <c r="C907" s="2" t="s">
        <v>160</v>
      </c>
      <c r="D907" s="2" t="s">
        <v>549</v>
      </c>
      <c r="E907" s="2">
        <v>1870</v>
      </c>
      <c r="F907" s="2">
        <v>99</v>
      </c>
      <c r="G907" s="2">
        <v>87</v>
      </c>
      <c r="H907" s="2">
        <f t="shared" si="134"/>
        <v>12</v>
      </c>
      <c r="I907" s="2">
        <v>12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/>
      <c r="AJ907" s="2" t="s">
        <v>93</v>
      </c>
      <c r="AK907" s="2">
        <f t="shared" si="127"/>
        <v>12</v>
      </c>
      <c r="AL907" s="2">
        <f t="shared" si="128"/>
        <v>0</v>
      </c>
      <c r="AM907" s="2">
        <f t="shared" si="129"/>
        <v>0</v>
      </c>
      <c r="AN907" s="2">
        <f t="shared" si="130"/>
        <v>0</v>
      </c>
      <c r="AO907" s="2">
        <f t="shared" si="131"/>
        <v>0</v>
      </c>
      <c r="AP907" s="2">
        <f t="shared" si="132"/>
        <v>0</v>
      </c>
      <c r="AQ907" s="25">
        <f t="shared" si="133"/>
        <v>0</v>
      </c>
    </row>
    <row r="908" spans="1:43">
      <c r="A908" s="24">
        <v>46139</v>
      </c>
      <c r="B908" s="23">
        <f t="shared" si="126"/>
        <v>46113</v>
      </c>
      <c r="C908" s="2" t="s">
        <v>160</v>
      </c>
      <c r="D908" s="2" t="s">
        <v>439</v>
      </c>
      <c r="E908" s="2">
        <v>1733</v>
      </c>
      <c r="F908" s="2">
        <v>20</v>
      </c>
      <c r="G908" s="2">
        <v>18</v>
      </c>
      <c r="H908" s="2">
        <f t="shared" si="134"/>
        <v>2</v>
      </c>
      <c r="I908" s="2">
        <v>2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/>
      <c r="AJ908" s="2" t="s">
        <v>93</v>
      </c>
      <c r="AK908" s="2">
        <f t="shared" si="127"/>
        <v>2</v>
      </c>
      <c r="AL908" s="2">
        <f t="shared" si="128"/>
        <v>0</v>
      </c>
      <c r="AM908" s="2">
        <f t="shared" si="129"/>
        <v>0</v>
      </c>
      <c r="AN908" s="2">
        <f t="shared" si="130"/>
        <v>0</v>
      </c>
      <c r="AO908" s="2">
        <f t="shared" si="131"/>
        <v>0</v>
      </c>
      <c r="AP908" s="2">
        <f t="shared" si="132"/>
        <v>0</v>
      </c>
      <c r="AQ908" s="25">
        <f t="shared" si="133"/>
        <v>0</v>
      </c>
    </row>
    <row r="909" spans="1:43">
      <c r="A909" s="24">
        <v>46139</v>
      </c>
      <c r="B909" s="23">
        <f t="shared" si="126"/>
        <v>46113</v>
      </c>
      <c r="C909" s="2" t="s">
        <v>160</v>
      </c>
      <c r="D909" s="2" t="s">
        <v>336</v>
      </c>
      <c r="E909" s="2">
        <v>6310</v>
      </c>
      <c r="F909" s="2">
        <v>36</v>
      </c>
      <c r="G909" s="2">
        <v>29</v>
      </c>
      <c r="H909" s="2">
        <f t="shared" si="134"/>
        <v>7</v>
      </c>
      <c r="I909" s="2">
        <v>6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1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/>
      <c r="AJ909" s="2" t="s">
        <v>93</v>
      </c>
      <c r="AK909" s="2">
        <f t="shared" si="127"/>
        <v>6</v>
      </c>
      <c r="AL909" s="2">
        <f t="shared" si="128"/>
        <v>1</v>
      </c>
      <c r="AM909" s="2">
        <f t="shared" si="129"/>
        <v>0</v>
      </c>
      <c r="AN909" s="2">
        <f t="shared" si="130"/>
        <v>0</v>
      </c>
      <c r="AO909" s="2">
        <f t="shared" si="131"/>
        <v>0</v>
      </c>
      <c r="AP909" s="2">
        <f t="shared" si="132"/>
        <v>0</v>
      </c>
      <c r="AQ909" s="25">
        <f t="shared" si="133"/>
        <v>0</v>
      </c>
    </row>
    <row r="910" spans="1:43">
      <c r="A910" s="24">
        <v>46139</v>
      </c>
      <c r="B910" s="23">
        <f t="shared" si="126"/>
        <v>46113</v>
      </c>
      <c r="C910" s="2" t="s">
        <v>160</v>
      </c>
      <c r="D910" s="2" t="s">
        <v>554</v>
      </c>
      <c r="E910" s="2">
        <v>1733</v>
      </c>
      <c r="F910" s="2">
        <v>283</v>
      </c>
      <c r="G910" s="2">
        <v>274</v>
      </c>
      <c r="H910" s="2">
        <f t="shared" si="134"/>
        <v>9</v>
      </c>
      <c r="I910" s="2">
        <v>2</v>
      </c>
      <c r="J910" s="2">
        <v>0</v>
      </c>
      <c r="K910" s="2">
        <v>0</v>
      </c>
      <c r="L910" s="2">
        <v>0</v>
      </c>
      <c r="M910" s="2">
        <v>2</v>
      </c>
      <c r="N910" s="2">
        <v>0</v>
      </c>
      <c r="O910" s="2">
        <v>1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4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/>
      <c r="AJ910" s="2" t="s">
        <v>93</v>
      </c>
      <c r="AK910" s="2">
        <f t="shared" si="127"/>
        <v>2</v>
      </c>
      <c r="AL910" s="2">
        <f t="shared" si="128"/>
        <v>3</v>
      </c>
      <c r="AM910" s="2">
        <f t="shared" si="129"/>
        <v>0</v>
      </c>
      <c r="AN910" s="2">
        <f t="shared" si="130"/>
        <v>0</v>
      </c>
      <c r="AO910" s="2">
        <f t="shared" si="131"/>
        <v>4</v>
      </c>
      <c r="AP910" s="2">
        <f t="shared" si="132"/>
        <v>0</v>
      </c>
      <c r="AQ910" s="25">
        <f t="shared" si="133"/>
        <v>0</v>
      </c>
    </row>
    <row r="911" spans="1:43">
      <c r="A911" s="24">
        <v>46139</v>
      </c>
      <c r="B911" s="23">
        <f t="shared" si="126"/>
        <v>46113</v>
      </c>
      <c r="C911" s="2" t="s">
        <v>55</v>
      </c>
      <c r="D911" s="2" t="s">
        <v>1203</v>
      </c>
      <c r="E911" s="2">
        <v>2639</v>
      </c>
      <c r="F911" s="2">
        <v>115</v>
      </c>
      <c r="G911" s="2">
        <v>90</v>
      </c>
      <c r="H911" s="2">
        <f t="shared" si="134"/>
        <v>25</v>
      </c>
      <c r="I911" s="2">
        <v>13</v>
      </c>
      <c r="J911" s="2">
        <v>0</v>
      </c>
      <c r="K911" s="2">
        <v>0</v>
      </c>
      <c r="L911" s="2">
        <v>0</v>
      </c>
      <c r="M911" s="2">
        <v>8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4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/>
      <c r="AJ911" s="2" t="s">
        <v>1566</v>
      </c>
      <c r="AK911" s="2">
        <f t="shared" si="127"/>
        <v>13</v>
      </c>
      <c r="AL911" s="2">
        <f t="shared" si="128"/>
        <v>8</v>
      </c>
      <c r="AM911" s="2">
        <f t="shared" si="129"/>
        <v>4</v>
      </c>
      <c r="AN911" s="2">
        <f t="shared" si="130"/>
        <v>0</v>
      </c>
      <c r="AO911" s="2">
        <f t="shared" si="131"/>
        <v>0</v>
      </c>
      <c r="AP911" s="2">
        <f t="shared" si="132"/>
        <v>0</v>
      </c>
      <c r="AQ911" s="25">
        <f t="shared" si="133"/>
        <v>0</v>
      </c>
    </row>
    <row r="912" spans="1:43">
      <c r="A912" s="24">
        <v>46139</v>
      </c>
      <c r="B912" s="23">
        <f t="shared" si="126"/>
        <v>46113</v>
      </c>
      <c r="C912" s="2" t="s">
        <v>55</v>
      </c>
      <c r="D912" s="2" t="s">
        <v>501</v>
      </c>
      <c r="E912" s="2">
        <v>2617</v>
      </c>
      <c r="F912" s="2">
        <v>77</v>
      </c>
      <c r="G912" s="2">
        <v>75</v>
      </c>
      <c r="H912" s="2">
        <f t="shared" si="134"/>
        <v>2</v>
      </c>
      <c r="I912" s="2">
        <v>2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/>
      <c r="AJ912" s="2" t="s">
        <v>1566</v>
      </c>
      <c r="AK912" s="2">
        <f t="shared" si="127"/>
        <v>2</v>
      </c>
      <c r="AL912" s="2">
        <f t="shared" si="128"/>
        <v>0</v>
      </c>
      <c r="AM912" s="2">
        <f t="shared" si="129"/>
        <v>0</v>
      </c>
      <c r="AN912" s="2">
        <f t="shared" si="130"/>
        <v>0</v>
      </c>
      <c r="AO912" s="2">
        <f t="shared" si="131"/>
        <v>0</v>
      </c>
      <c r="AP912" s="2">
        <f t="shared" si="132"/>
        <v>0</v>
      </c>
      <c r="AQ912" s="25">
        <f t="shared" si="133"/>
        <v>0</v>
      </c>
    </row>
    <row r="913" spans="1:43">
      <c r="A913" s="24">
        <v>46139</v>
      </c>
      <c r="B913" s="23">
        <f t="shared" si="126"/>
        <v>46113</v>
      </c>
      <c r="C913" s="2" t="s">
        <v>133</v>
      </c>
      <c r="D913" s="2" t="s">
        <v>470</v>
      </c>
      <c r="E913" s="2">
        <v>95156</v>
      </c>
      <c r="F913" s="2">
        <v>51</v>
      </c>
      <c r="G913" s="2">
        <v>43</v>
      </c>
      <c r="H913" s="2">
        <f t="shared" si="134"/>
        <v>8</v>
      </c>
      <c r="I913" s="2">
        <v>8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/>
      <c r="AJ913" s="2" t="s">
        <v>1566</v>
      </c>
      <c r="AK913" s="2">
        <f t="shared" si="127"/>
        <v>8</v>
      </c>
      <c r="AL913" s="2">
        <f t="shared" si="128"/>
        <v>0</v>
      </c>
      <c r="AM913" s="2">
        <f t="shared" si="129"/>
        <v>0</v>
      </c>
      <c r="AN913" s="2">
        <f t="shared" si="130"/>
        <v>0</v>
      </c>
      <c r="AO913" s="2">
        <f t="shared" si="131"/>
        <v>0</v>
      </c>
      <c r="AP913" s="2">
        <f t="shared" si="132"/>
        <v>0</v>
      </c>
      <c r="AQ913" s="25">
        <f t="shared" si="133"/>
        <v>0</v>
      </c>
    </row>
    <row r="914" spans="1:43">
      <c r="A914" s="24">
        <v>46139</v>
      </c>
      <c r="B914" s="23">
        <f t="shared" si="126"/>
        <v>46113</v>
      </c>
      <c r="C914" s="2" t="s">
        <v>133</v>
      </c>
      <c r="D914" s="2" t="s">
        <v>1483</v>
      </c>
      <c r="E914" s="2">
        <v>2698</v>
      </c>
      <c r="F914" s="2">
        <v>48</v>
      </c>
      <c r="G914" s="2">
        <v>46</v>
      </c>
      <c r="H914" s="2">
        <f t="shared" si="134"/>
        <v>2</v>
      </c>
      <c r="I914" s="2">
        <v>0</v>
      </c>
      <c r="J914" s="2">
        <v>0</v>
      </c>
      <c r="K914" s="2">
        <v>1</v>
      </c>
      <c r="L914" s="2">
        <v>0</v>
      </c>
      <c r="M914" s="2">
        <v>0</v>
      </c>
      <c r="N914" s="2">
        <v>1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/>
      <c r="AJ914" s="2" t="s">
        <v>1566</v>
      </c>
      <c r="AK914" s="2">
        <f t="shared" si="127"/>
        <v>0</v>
      </c>
      <c r="AL914" s="2">
        <f t="shared" si="128"/>
        <v>2</v>
      </c>
      <c r="AM914" s="2">
        <f t="shared" si="129"/>
        <v>0</v>
      </c>
      <c r="AN914" s="2">
        <f t="shared" si="130"/>
        <v>0</v>
      </c>
      <c r="AO914" s="2">
        <f t="shared" si="131"/>
        <v>0</v>
      </c>
      <c r="AP914" s="2">
        <f t="shared" si="132"/>
        <v>0</v>
      </c>
      <c r="AQ914" s="25">
        <f t="shared" si="133"/>
        <v>0</v>
      </c>
    </row>
    <row r="915" spans="1:43">
      <c r="A915" s="24">
        <v>46139</v>
      </c>
      <c r="B915" s="23">
        <f t="shared" si="126"/>
        <v>46113</v>
      </c>
      <c r="C915" s="2" t="s">
        <v>133</v>
      </c>
      <c r="D915" s="2" t="s">
        <v>470</v>
      </c>
      <c r="E915" s="2">
        <v>95156</v>
      </c>
      <c r="F915" s="2">
        <v>19</v>
      </c>
      <c r="G915" s="2">
        <v>13</v>
      </c>
      <c r="H915" s="2">
        <f t="shared" si="134"/>
        <v>6</v>
      </c>
      <c r="I915" s="2">
        <v>5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/>
      <c r="AJ915" s="2" t="s">
        <v>1566</v>
      </c>
      <c r="AK915" s="2">
        <f t="shared" si="127"/>
        <v>5</v>
      </c>
      <c r="AL915" s="2">
        <f t="shared" si="128"/>
        <v>1</v>
      </c>
      <c r="AM915" s="2">
        <f t="shared" si="129"/>
        <v>0</v>
      </c>
      <c r="AN915" s="2">
        <f t="shared" si="130"/>
        <v>0</v>
      </c>
      <c r="AO915" s="2">
        <f t="shared" si="131"/>
        <v>0</v>
      </c>
      <c r="AP915" s="2">
        <f t="shared" si="132"/>
        <v>0</v>
      </c>
      <c r="AQ915" s="25">
        <f t="shared" si="133"/>
        <v>0</v>
      </c>
    </row>
    <row r="916" spans="1:43">
      <c r="A916" s="24">
        <v>46139</v>
      </c>
      <c r="B916" s="23">
        <f t="shared" si="126"/>
        <v>46113</v>
      </c>
      <c r="C916" s="2" t="s">
        <v>1484</v>
      </c>
      <c r="D916" s="2" t="s">
        <v>1540</v>
      </c>
      <c r="E916" s="2">
        <v>1767</v>
      </c>
      <c r="F916" s="2">
        <v>561</v>
      </c>
      <c r="G916" s="2">
        <v>561</v>
      </c>
      <c r="H916" s="2">
        <f t="shared" si="134"/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/>
      <c r="AJ916" s="2" t="s">
        <v>1566</v>
      </c>
      <c r="AK916" s="2">
        <f t="shared" si="127"/>
        <v>0</v>
      </c>
      <c r="AL916" s="2">
        <f t="shared" si="128"/>
        <v>0</v>
      </c>
      <c r="AM916" s="2">
        <f t="shared" si="129"/>
        <v>0</v>
      </c>
      <c r="AN916" s="2">
        <f t="shared" si="130"/>
        <v>0</v>
      </c>
      <c r="AO916" s="2">
        <f t="shared" si="131"/>
        <v>0</v>
      </c>
      <c r="AP916" s="2">
        <f t="shared" si="132"/>
        <v>0</v>
      </c>
      <c r="AQ916" s="25">
        <f t="shared" si="133"/>
        <v>0</v>
      </c>
    </row>
    <row r="917" spans="1:43">
      <c r="A917" s="24">
        <v>46139</v>
      </c>
      <c r="B917" s="23">
        <f t="shared" si="126"/>
        <v>46113</v>
      </c>
      <c r="C917" s="2" t="s">
        <v>133</v>
      </c>
      <c r="D917" s="2" t="s">
        <v>1561</v>
      </c>
      <c r="E917" s="2">
        <v>2784</v>
      </c>
      <c r="F917" s="2">
        <v>50</v>
      </c>
      <c r="G917" s="2">
        <v>50</v>
      </c>
      <c r="H917" s="2">
        <f t="shared" si="134"/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/>
      <c r="AJ917" s="2" t="s">
        <v>1566</v>
      </c>
      <c r="AK917" s="2">
        <f t="shared" si="127"/>
        <v>0</v>
      </c>
      <c r="AL917" s="2">
        <f t="shared" si="128"/>
        <v>0</v>
      </c>
      <c r="AM917" s="2">
        <f t="shared" si="129"/>
        <v>0</v>
      </c>
      <c r="AN917" s="2">
        <f t="shared" si="130"/>
        <v>0</v>
      </c>
      <c r="AO917" s="2">
        <f t="shared" si="131"/>
        <v>0</v>
      </c>
      <c r="AP917" s="2">
        <f t="shared" si="132"/>
        <v>0</v>
      </c>
      <c r="AQ917" s="25">
        <f t="shared" si="133"/>
        <v>0</v>
      </c>
    </row>
    <row r="918" spans="1:43">
      <c r="A918" s="24">
        <v>46139</v>
      </c>
      <c r="B918" s="23">
        <f t="shared" si="126"/>
        <v>46113</v>
      </c>
      <c r="C918" s="2" t="s">
        <v>95</v>
      </c>
      <c r="D918" s="2" t="s">
        <v>583</v>
      </c>
      <c r="E918" s="2">
        <v>2667</v>
      </c>
      <c r="F918" s="2">
        <v>196</v>
      </c>
      <c r="G918" s="2">
        <v>194</v>
      </c>
      <c r="H918" s="2">
        <f t="shared" si="134"/>
        <v>2</v>
      </c>
      <c r="I918" s="2">
        <v>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1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/>
      <c r="AJ918" s="2" t="s">
        <v>1567</v>
      </c>
      <c r="AK918" s="2">
        <f t="shared" si="127"/>
        <v>1</v>
      </c>
      <c r="AL918" s="2">
        <f t="shared" si="128"/>
        <v>1</v>
      </c>
      <c r="AM918" s="2">
        <f t="shared" si="129"/>
        <v>0</v>
      </c>
      <c r="AN918" s="2">
        <f t="shared" si="130"/>
        <v>0</v>
      </c>
      <c r="AO918" s="2">
        <f t="shared" si="131"/>
        <v>0</v>
      </c>
      <c r="AP918" s="2">
        <f t="shared" si="132"/>
        <v>0</v>
      </c>
      <c r="AQ918" s="25">
        <f t="shared" si="133"/>
        <v>0</v>
      </c>
    </row>
    <row r="919" spans="1:43">
      <c r="A919" s="24">
        <v>46139</v>
      </c>
      <c r="B919" s="23">
        <f t="shared" si="126"/>
        <v>46113</v>
      </c>
      <c r="C919" s="2" t="s">
        <v>95</v>
      </c>
      <c r="D919" s="2" t="s">
        <v>451</v>
      </c>
      <c r="E919" s="2">
        <v>1698</v>
      </c>
      <c r="F919" s="2">
        <v>20</v>
      </c>
      <c r="G919" s="2">
        <v>20</v>
      </c>
      <c r="H919" s="2">
        <f t="shared" si="134"/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/>
      <c r="AJ919" s="2" t="s">
        <v>1567</v>
      </c>
      <c r="AK919" s="2">
        <f t="shared" si="127"/>
        <v>0</v>
      </c>
      <c r="AL919" s="2">
        <f t="shared" si="128"/>
        <v>0</v>
      </c>
      <c r="AM919" s="2">
        <f t="shared" si="129"/>
        <v>0</v>
      </c>
      <c r="AN919" s="2">
        <f t="shared" si="130"/>
        <v>0</v>
      </c>
      <c r="AO919" s="2">
        <f t="shared" si="131"/>
        <v>0</v>
      </c>
      <c r="AP919" s="2">
        <f t="shared" si="132"/>
        <v>0</v>
      </c>
      <c r="AQ919" s="25">
        <f t="shared" si="133"/>
        <v>0</v>
      </c>
    </row>
    <row r="920" spans="1:43">
      <c r="A920" s="24">
        <v>46139</v>
      </c>
      <c r="B920" s="23">
        <f t="shared" si="126"/>
        <v>46113</v>
      </c>
      <c r="C920" s="2" t="s">
        <v>46</v>
      </c>
      <c r="D920" s="2" t="s">
        <v>551</v>
      </c>
      <c r="E920" s="2">
        <v>1877</v>
      </c>
      <c r="F920" s="2">
        <v>81</v>
      </c>
      <c r="G920" s="2">
        <v>78</v>
      </c>
      <c r="H920" s="2">
        <f t="shared" si="134"/>
        <v>3</v>
      </c>
      <c r="I920" s="2">
        <v>3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/>
      <c r="AJ920" s="2" t="s">
        <v>1567</v>
      </c>
      <c r="AK920" s="2">
        <f t="shared" si="127"/>
        <v>3</v>
      </c>
      <c r="AL920" s="2">
        <f t="shared" si="128"/>
        <v>0</v>
      </c>
      <c r="AM920" s="2">
        <f t="shared" si="129"/>
        <v>0</v>
      </c>
      <c r="AN920" s="2">
        <f t="shared" si="130"/>
        <v>0</v>
      </c>
      <c r="AO920" s="2">
        <f t="shared" si="131"/>
        <v>0</v>
      </c>
      <c r="AP920" s="2">
        <f t="shared" si="132"/>
        <v>0</v>
      </c>
      <c r="AQ920" s="25">
        <f t="shared" si="133"/>
        <v>0</v>
      </c>
    </row>
    <row r="921" spans="1:43">
      <c r="A921" s="24">
        <v>46139</v>
      </c>
      <c r="B921" s="23">
        <f t="shared" si="126"/>
        <v>46113</v>
      </c>
      <c r="C921" s="2" t="s">
        <v>46</v>
      </c>
      <c r="D921" s="2" t="s">
        <v>556</v>
      </c>
      <c r="E921" s="2">
        <v>1163</v>
      </c>
      <c r="F921" s="2">
        <v>27</v>
      </c>
      <c r="G921" s="2">
        <v>25</v>
      </c>
      <c r="H921" s="2">
        <f t="shared" si="134"/>
        <v>2</v>
      </c>
      <c r="I921" s="2">
        <v>2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/>
      <c r="AJ921" s="2" t="s">
        <v>1567</v>
      </c>
      <c r="AK921" s="2">
        <f t="shared" si="127"/>
        <v>2</v>
      </c>
      <c r="AL921" s="2">
        <f t="shared" si="128"/>
        <v>0</v>
      </c>
      <c r="AM921" s="2">
        <f t="shared" si="129"/>
        <v>0</v>
      </c>
      <c r="AN921" s="2">
        <f t="shared" si="130"/>
        <v>0</v>
      </c>
      <c r="AO921" s="2">
        <f t="shared" si="131"/>
        <v>0</v>
      </c>
      <c r="AP921" s="2">
        <f t="shared" si="132"/>
        <v>0</v>
      </c>
      <c r="AQ921" s="25">
        <f t="shared" si="133"/>
        <v>0</v>
      </c>
    </row>
    <row r="922" spans="1:43">
      <c r="A922" s="24">
        <v>46139</v>
      </c>
      <c r="B922" s="23">
        <f t="shared" si="126"/>
        <v>46113</v>
      </c>
      <c r="C922" s="2" t="s">
        <v>95</v>
      </c>
      <c r="D922" s="2" t="s">
        <v>540</v>
      </c>
      <c r="E922" s="2">
        <v>2579</v>
      </c>
      <c r="F922" s="2">
        <v>93</v>
      </c>
      <c r="G922" s="2">
        <v>91</v>
      </c>
      <c r="H922" s="2">
        <f t="shared" si="134"/>
        <v>2</v>
      </c>
      <c r="I922" s="2">
        <v>2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/>
      <c r="AJ922" s="2" t="s">
        <v>1567</v>
      </c>
      <c r="AK922" s="2">
        <f t="shared" si="127"/>
        <v>2</v>
      </c>
      <c r="AL922" s="2">
        <f t="shared" si="128"/>
        <v>0</v>
      </c>
      <c r="AM922" s="2">
        <f t="shared" si="129"/>
        <v>0</v>
      </c>
      <c r="AN922" s="2">
        <f t="shared" si="130"/>
        <v>0</v>
      </c>
      <c r="AO922" s="2">
        <f t="shared" si="131"/>
        <v>0</v>
      </c>
      <c r="AP922" s="2">
        <f t="shared" si="132"/>
        <v>0</v>
      </c>
      <c r="AQ922" s="25">
        <f t="shared" si="133"/>
        <v>0</v>
      </c>
    </row>
    <row r="923" spans="1:43">
      <c r="A923" s="24">
        <v>46139</v>
      </c>
      <c r="B923" s="23">
        <f t="shared" si="126"/>
        <v>46113</v>
      </c>
      <c r="C923" s="2" t="s">
        <v>95</v>
      </c>
      <c r="D923" s="2" t="s">
        <v>567</v>
      </c>
      <c r="E923" s="2">
        <v>2579</v>
      </c>
      <c r="F923" s="2">
        <v>111</v>
      </c>
      <c r="G923" s="2">
        <v>110</v>
      </c>
      <c r="H923" s="2">
        <f t="shared" si="134"/>
        <v>1</v>
      </c>
      <c r="I923" s="2">
        <v>1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/>
      <c r="AJ923" s="2" t="s">
        <v>1567</v>
      </c>
      <c r="AK923" s="2">
        <f t="shared" si="127"/>
        <v>1</v>
      </c>
      <c r="AL923" s="2">
        <f t="shared" si="128"/>
        <v>0</v>
      </c>
      <c r="AM923" s="2">
        <f t="shared" si="129"/>
        <v>0</v>
      </c>
      <c r="AN923" s="2">
        <f t="shared" si="130"/>
        <v>0</v>
      </c>
      <c r="AO923" s="2">
        <f t="shared" si="131"/>
        <v>0</v>
      </c>
      <c r="AP923" s="2">
        <f t="shared" si="132"/>
        <v>0</v>
      </c>
      <c r="AQ923" s="25">
        <f t="shared" si="133"/>
        <v>0</v>
      </c>
    </row>
    <row r="924" spans="1:43">
      <c r="A924" s="24">
        <v>46139</v>
      </c>
      <c r="B924" s="23">
        <f t="shared" si="126"/>
        <v>46113</v>
      </c>
      <c r="C924" s="2" t="s">
        <v>46</v>
      </c>
      <c r="D924" s="2" t="s">
        <v>492</v>
      </c>
      <c r="E924" s="2">
        <v>1877</v>
      </c>
      <c r="F924" s="2">
        <v>308</v>
      </c>
      <c r="G924" s="2">
        <v>303</v>
      </c>
      <c r="H924" s="2">
        <f t="shared" si="134"/>
        <v>5</v>
      </c>
      <c r="I924" s="2">
        <v>5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/>
      <c r="AJ924" s="2" t="s">
        <v>1567</v>
      </c>
      <c r="AK924" s="2">
        <f t="shared" si="127"/>
        <v>5</v>
      </c>
      <c r="AL924" s="2">
        <f t="shared" si="128"/>
        <v>0</v>
      </c>
      <c r="AM924" s="2">
        <f t="shared" si="129"/>
        <v>0</v>
      </c>
      <c r="AN924" s="2">
        <f t="shared" si="130"/>
        <v>0</v>
      </c>
      <c r="AO924" s="2">
        <f t="shared" si="131"/>
        <v>0</v>
      </c>
      <c r="AP924" s="2">
        <f t="shared" si="132"/>
        <v>0</v>
      </c>
      <c r="AQ924" s="25">
        <f t="shared" si="133"/>
        <v>0</v>
      </c>
    </row>
    <row r="925" spans="1:43">
      <c r="A925" s="24">
        <v>46139</v>
      </c>
      <c r="B925" s="23">
        <f t="shared" si="126"/>
        <v>46113</v>
      </c>
      <c r="C925" s="2" t="s">
        <v>95</v>
      </c>
      <c r="D925" s="2" t="s">
        <v>540</v>
      </c>
      <c r="E925" s="2">
        <v>2579</v>
      </c>
      <c r="F925" s="2">
        <v>20</v>
      </c>
      <c r="G925" s="2">
        <v>20</v>
      </c>
      <c r="H925" s="2">
        <f t="shared" si="134"/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/>
      <c r="AJ925" s="2" t="s">
        <v>1567</v>
      </c>
      <c r="AK925" s="2">
        <f t="shared" si="127"/>
        <v>0</v>
      </c>
      <c r="AL925" s="2">
        <f t="shared" si="128"/>
        <v>0</v>
      </c>
      <c r="AM925" s="2">
        <f t="shared" si="129"/>
        <v>0</v>
      </c>
      <c r="AN925" s="2">
        <f t="shared" si="130"/>
        <v>0</v>
      </c>
      <c r="AO925" s="2">
        <f t="shared" si="131"/>
        <v>0</v>
      </c>
      <c r="AP925" s="2">
        <f t="shared" si="132"/>
        <v>0</v>
      </c>
      <c r="AQ925" s="25">
        <f t="shared" si="133"/>
        <v>0</v>
      </c>
    </row>
    <row r="926" spans="1:43">
      <c r="A926" s="24">
        <v>46139</v>
      </c>
      <c r="B926" s="23">
        <f t="shared" si="126"/>
        <v>46113</v>
      </c>
      <c r="C926" s="2" t="s">
        <v>95</v>
      </c>
      <c r="D926" s="2" t="s">
        <v>567</v>
      </c>
      <c r="E926" s="2">
        <v>2579</v>
      </c>
      <c r="F926" s="2">
        <v>20</v>
      </c>
      <c r="G926" s="2">
        <v>20</v>
      </c>
      <c r="H926" s="2">
        <f t="shared" si="134"/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/>
      <c r="AJ926" s="2" t="s">
        <v>1567</v>
      </c>
      <c r="AK926" s="2">
        <f t="shared" si="127"/>
        <v>0</v>
      </c>
      <c r="AL926" s="2">
        <f t="shared" si="128"/>
        <v>0</v>
      </c>
      <c r="AM926" s="2">
        <f t="shared" si="129"/>
        <v>0</v>
      </c>
      <c r="AN926" s="2">
        <f t="shared" si="130"/>
        <v>0</v>
      </c>
      <c r="AO926" s="2">
        <f t="shared" si="131"/>
        <v>0</v>
      </c>
      <c r="AP926" s="2">
        <f t="shared" si="132"/>
        <v>0</v>
      </c>
      <c r="AQ926" s="25">
        <f t="shared" si="133"/>
        <v>0</v>
      </c>
    </row>
    <row r="927" spans="1:43">
      <c r="A927" s="24">
        <v>46139</v>
      </c>
      <c r="B927" s="23">
        <f t="shared" si="126"/>
        <v>46113</v>
      </c>
      <c r="C927" s="2" t="s">
        <v>95</v>
      </c>
      <c r="D927" s="2" t="s">
        <v>566</v>
      </c>
      <c r="E927" s="2">
        <v>2579</v>
      </c>
      <c r="F927" s="2">
        <v>271</v>
      </c>
      <c r="G927" s="2">
        <v>271</v>
      </c>
      <c r="H927" s="2">
        <f t="shared" si="134"/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/>
      <c r="AJ927" s="2" t="s">
        <v>1567</v>
      </c>
      <c r="AK927" s="2">
        <f t="shared" si="127"/>
        <v>0</v>
      </c>
      <c r="AL927" s="2">
        <f t="shared" si="128"/>
        <v>0</v>
      </c>
      <c r="AM927" s="2">
        <f t="shared" si="129"/>
        <v>0</v>
      </c>
      <c r="AN927" s="2">
        <f t="shared" si="130"/>
        <v>0</v>
      </c>
      <c r="AO927" s="2">
        <f t="shared" si="131"/>
        <v>0</v>
      </c>
      <c r="AP927" s="2">
        <f t="shared" si="132"/>
        <v>0</v>
      </c>
      <c r="AQ927" s="25">
        <f t="shared" si="133"/>
        <v>0</v>
      </c>
    </row>
    <row r="928" spans="1:43">
      <c r="A928" s="24">
        <v>46139</v>
      </c>
      <c r="B928" s="23">
        <f t="shared" si="126"/>
        <v>46113</v>
      </c>
      <c r="C928" s="2" t="s">
        <v>46</v>
      </c>
      <c r="D928" s="2" t="s">
        <v>1509</v>
      </c>
      <c r="E928" s="2">
        <v>1163</v>
      </c>
      <c r="F928" s="2">
        <v>282</v>
      </c>
      <c r="G928" s="2">
        <v>275</v>
      </c>
      <c r="H928" s="2">
        <f t="shared" si="134"/>
        <v>7</v>
      </c>
      <c r="I928" s="2">
        <v>7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/>
      <c r="AJ928" s="2" t="s">
        <v>1567</v>
      </c>
      <c r="AK928" s="2">
        <f t="shared" si="127"/>
        <v>7</v>
      </c>
      <c r="AL928" s="2">
        <f t="shared" si="128"/>
        <v>0</v>
      </c>
      <c r="AM928" s="2">
        <f t="shared" si="129"/>
        <v>0</v>
      </c>
      <c r="AN928" s="2">
        <f t="shared" si="130"/>
        <v>0</v>
      </c>
      <c r="AO928" s="2">
        <f t="shared" si="131"/>
        <v>0</v>
      </c>
      <c r="AP928" s="2">
        <f t="shared" si="132"/>
        <v>0</v>
      </c>
      <c r="AQ928" s="25">
        <f t="shared" si="133"/>
        <v>0</v>
      </c>
    </row>
    <row r="929" spans="1:43">
      <c r="A929" s="24">
        <v>46139</v>
      </c>
      <c r="B929" s="23">
        <f t="shared" si="126"/>
        <v>46113</v>
      </c>
      <c r="C929" s="2" t="s">
        <v>62</v>
      </c>
      <c r="D929" s="2" t="s">
        <v>516</v>
      </c>
      <c r="E929" s="2">
        <v>2621</v>
      </c>
      <c r="F929" s="2">
        <v>47</v>
      </c>
      <c r="G929" s="2">
        <v>46</v>
      </c>
      <c r="H929" s="2">
        <f t="shared" si="134"/>
        <v>1</v>
      </c>
      <c r="I929" s="2">
        <v>1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/>
      <c r="AJ929" s="2" t="s">
        <v>1568</v>
      </c>
      <c r="AK929" s="2">
        <f t="shared" si="127"/>
        <v>1</v>
      </c>
      <c r="AL929" s="2">
        <f t="shared" si="128"/>
        <v>0</v>
      </c>
      <c r="AM929" s="2">
        <f t="shared" si="129"/>
        <v>0</v>
      </c>
      <c r="AN929" s="2">
        <f t="shared" si="130"/>
        <v>0</v>
      </c>
      <c r="AO929" s="2">
        <f t="shared" si="131"/>
        <v>0</v>
      </c>
      <c r="AP929" s="2">
        <f t="shared" si="132"/>
        <v>0</v>
      </c>
      <c r="AQ929" s="25">
        <f t="shared" si="133"/>
        <v>0</v>
      </c>
    </row>
    <row r="930" spans="1:43">
      <c r="A930" s="24">
        <v>46139</v>
      </c>
      <c r="B930" s="23">
        <f t="shared" si="126"/>
        <v>46113</v>
      </c>
      <c r="C930" s="2" t="s">
        <v>62</v>
      </c>
      <c r="D930" s="2" t="s">
        <v>473</v>
      </c>
      <c r="E930" s="2">
        <v>2621</v>
      </c>
      <c r="F930" s="2">
        <v>194</v>
      </c>
      <c r="G930" s="2">
        <v>192</v>
      </c>
      <c r="H930" s="2">
        <f t="shared" si="134"/>
        <v>2</v>
      </c>
      <c r="I930" s="2">
        <v>2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/>
      <c r="AJ930" s="2" t="s">
        <v>1568</v>
      </c>
      <c r="AK930" s="2">
        <f t="shared" si="127"/>
        <v>2</v>
      </c>
      <c r="AL930" s="2">
        <f t="shared" si="128"/>
        <v>0</v>
      </c>
      <c r="AM930" s="2">
        <f t="shared" si="129"/>
        <v>0</v>
      </c>
      <c r="AN930" s="2">
        <f t="shared" si="130"/>
        <v>0</v>
      </c>
      <c r="AO930" s="2">
        <f t="shared" si="131"/>
        <v>0</v>
      </c>
      <c r="AP930" s="2">
        <f t="shared" si="132"/>
        <v>0</v>
      </c>
      <c r="AQ930" s="25">
        <f t="shared" si="133"/>
        <v>0</v>
      </c>
    </row>
    <row r="931" spans="1:43">
      <c r="A931" s="24">
        <v>46139</v>
      </c>
      <c r="B931" s="23">
        <f t="shared" si="126"/>
        <v>46113</v>
      </c>
      <c r="C931" s="2" t="s">
        <v>62</v>
      </c>
      <c r="D931" s="2" t="s">
        <v>461</v>
      </c>
      <c r="E931" s="2">
        <v>1806</v>
      </c>
      <c r="F931" s="2">
        <v>92</v>
      </c>
      <c r="G931" s="2">
        <v>91</v>
      </c>
      <c r="H931" s="2">
        <f t="shared" si="134"/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/>
      <c r="AJ931" s="2" t="s">
        <v>1568</v>
      </c>
      <c r="AK931" s="2">
        <f t="shared" si="127"/>
        <v>1</v>
      </c>
      <c r="AL931" s="2">
        <f t="shared" si="128"/>
        <v>0</v>
      </c>
      <c r="AM931" s="2">
        <f t="shared" si="129"/>
        <v>0</v>
      </c>
      <c r="AN931" s="2">
        <f t="shared" si="130"/>
        <v>0</v>
      </c>
      <c r="AO931" s="2">
        <f t="shared" si="131"/>
        <v>0</v>
      </c>
      <c r="AP931" s="2">
        <f t="shared" si="132"/>
        <v>0</v>
      </c>
      <c r="AQ931" s="25">
        <f t="shared" si="133"/>
        <v>0</v>
      </c>
    </row>
    <row r="932" spans="1:43">
      <c r="A932" s="24">
        <v>46139</v>
      </c>
      <c r="B932" s="23">
        <f t="shared" si="126"/>
        <v>46113</v>
      </c>
      <c r="C932" s="2" t="s">
        <v>62</v>
      </c>
      <c r="D932" s="2" t="s">
        <v>453</v>
      </c>
      <c r="E932" s="2">
        <v>2370</v>
      </c>
      <c r="F932" s="2">
        <v>43</v>
      </c>
      <c r="G932" s="2">
        <v>40</v>
      </c>
      <c r="H932" s="2">
        <f t="shared" si="134"/>
        <v>3</v>
      </c>
      <c r="I932" s="2">
        <v>0</v>
      </c>
      <c r="J932" s="2">
        <v>0</v>
      </c>
      <c r="K932" s="2">
        <v>3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/>
      <c r="AJ932" s="2" t="s">
        <v>1568</v>
      </c>
      <c r="AK932" s="2">
        <f t="shared" si="127"/>
        <v>0</v>
      </c>
      <c r="AL932" s="2">
        <f t="shared" si="128"/>
        <v>3</v>
      </c>
      <c r="AM932" s="2">
        <f t="shared" si="129"/>
        <v>0</v>
      </c>
      <c r="AN932" s="2">
        <f t="shared" si="130"/>
        <v>0</v>
      </c>
      <c r="AO932" s="2">
        <f t="shared" si="131"/>
        <v>0</v>
      </c>
      <c r="AP932" s="2">
        <f t="shared" si="132"/>
        <v>0</v>
      </c>
      <c r="AQ932" s="25">
        <f t="shared" si="133"/>
        <v>0</v>
      </c>
    </row>
    <row r="933" spans="1:43">
      <c r="A933" s="24">
        <v>46139</v>
      </c>
      <c r="B933" s="23">
        <f t="shared" si="126"/>
        <v>46113</v>
      </c>
      <c r="C933" s="2" t="s">
        <v>62</v>
      </c>
      <c r="D933" s="2" t="s">
        <v>473</v>
      </c>
      <c r="E933" s="2">
        <v>2621</v>
      </c>
      <c r="F933" s="2">
        <v>32</v>
      </c>
      <c r="G933" s="2">
        <v>32</v>
      </c>
      <c r="H933" s="2">
        <f t="shared" si="134"/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/>
      <c r="AJ933" s="2" t="s">
        <v>1568</v>
      </c>
      <c r="AK933" s="2">
        <f t="shared" si="127"/>
        <v>0</v>
      </c>
      <c r="AL933" s="2">
        <f t="shared" si="128"/>
        <v>0</v>
      </c>
      <c r="AM933" s="2">
        <f t="shared" si="129"/>
        <v>0</v>
      </c>
      <c r="AN933" s="2">
        <f t="shared" si="130"/>
        <v>0</v>
      </c>
      <c r="AO933" s="2">
        <f t="shared" si="131"/>
        <v>0</v>
      </c>
      <c r="AP933" s="2">
        <f t="shared" si="132"/>
        <v>0</v>
      </c>
      <c r="AQ933" s="25">
        <f t="shared" si="133"/>
        <v>0</v>
      </c>
    </row>
    <row r="934" spans="1:43">
      <c r="A934" s="24">
        <v>46139</v>
      </c>
      <c r="B934" s="23">
        <f t="shared" si="126"/>
        <v>46113</v>
      </c>
      <c r="C934" s="2" t="s">
        <v>62</v>
      </c>
      <c r="D934" s="2" t="s">
        <v>1555</v>
      </c>
      <c r="E934" s="2">
        <v>2786</v>
      </c>
      <c r="F934" s="2">
        <v>612</v>
      </c>
      <c r="G934" s="2">
        <v>605</v>
      </c>
      <c r="H934" s="2">
        <f t="shared" si="134"/>
        <v>7</v>
      </c>
      <c r="I934" s="2">
        <v>4</v>
      </c>
      <c r="J934" s="2">
        <v>1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2</v>
      </c>
      <c r="AE934" s="2">
        <v>0</v>
      </c>
      <c r="AF934" s="2">
        <v>0</v>
      </c>
      <c r="AG934" s="2">
        <v>0</v>
      </c>
      <c r="AH934" s="2">
        <v>0</v>
      </c>
      <c r="AI934" s="2"/>
      <c r="AJ934" s="2" t="s">
        <v>1568</v>
      </c>
      <c r="AK934" s="2">
        <f t="shared" si="127"/>
        <v>4</v>
      </c>
      <c r="AL934" s="2">
        <f t="shared" si="128"/>
        <v>1</v>
      </c>
      <c r="AM934" s="2">
        <f t="shared" si="129"/>
        <v>0</v>
      </c>
      <c r="AN934" s="2">
        <f t="shared" si="130"/>
        <v>0</v>
      </c>
      <c r="AO934" s="2">
        <f t="shared" si="131"/>
        <v>0</v>
      </c>
      <c r="AP934" s="2">
        <f t="shared" si="132"/>
        <v>2</v>
      </c>
      <c r="AQ934" s="25">
        <f t="shared" si="133"/>
        <v>0</v>
      </c>
    </row>
    <row r="935" spans="1:43">
      <c r="A935" s="24">
        <v>46139</v>
      </c>
      <c r="B935" s="23">
        <f t="shared" si="126"/>
        <v>46113</v>
      </c>
      <c r="C935" s="2" t="s">
        <v>62</v>
      </c>
      <c r="D935" s="2" t="s">
        <v>516</v>
      </c>
      <c r="E935" s="2">
        <v>2621</v>
      </c>
      <c r="F935" s="2">
        <v>20</v>
      </c>
      <c r="G935" s="2">
        <v>20</v>
      </c>
      <c r="H935" s="2">
        <f t="shared" si="134"/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/>
      <c r="AJ935" s="2" t="s">
        <v>1568</v>
      </c>
      <c r="AK935" s="2">
        <f t="shared" si="127"/>
        <v>0</v>
      </c>
      <c r="AL935" s="2">
        <f t="shared" si="128"/>
        <v>0</v>
      </c>
      <c r="AM935" s="2">
        <f t="shared" si="129"/>
        <v>0</v>
      </c>
      <c r="AN935" s="2">
        <f t="shared" si="130"/>
        <v>0</v>
      </c>
      <c r="AO935" s="2">
        <f t="shared" si="131"/>
        <v>0</v>
      </c>
      <c r="AP935" s="2">
        <f t="shared" si="132"/>
        <v>0</v>
      </c>
      <c r="AQ935" s="25">
        <f t="shared" si="133"/>
        <v>0</v>
      </c>
    </row>
    <row r="936" spans="1:43">
      <c r="A936" s="24">
        <v>46139</v>
      </c>
      <c r="B936" s="23">
        <f t="shared" si="126"/>
        <v>46113</v>
      </c>
      <c r="C936" s="2" t="s">
        <v>66</v>
      </c>
      <c r="D936" s="2" t="s">
        <v>1287</v>
      </c>
      <c r="E936" s="2">
        <v>1636</v>
      </c>
      <c r="F936" s="2">
        <v>535</v>
      </c>
      <c r="G936" s="2">
        <v>532</v>
      </c>
      <c r="H936" s="2">
        <f t="shared" si="134"/>
        <v>3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2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/>
      <c r="AJ936" s="2" t="s">
        <v>110</v>
      </c>
      <c r="AK936" s="2">
        <f t="shared" si="127"/>
        <v>1</v>
      </c>
      <c r="AL936" s="2">
        <f t="shared" si="128"/>
        <v>2</v>
      </c>
      <c r="AM936" s="2">
        <f t="shared" si="129"/>
        <v>0</v>
      </c>
      <c r="AN936" s="2">
        <f t="shared" si="130"/>
        <v>0</v>
      </c>
      <c r="AO936" s="2">
        <f t="shared" si="131"/>
        <v>0</v>
      </c>
      <c r="AP936" s="2">
        <f t="shared" si="132"/>
        <v>0</v>
      </c>
      <c r="AQ936" s="25">
        <f t="shared" si="133"/>
        <v>0</v>
      </c>
    </row>
    <row r="937" spans="1:43">
      <c r="A937" s="24">
        <v>46139</v>
      </c>
      <c r="B937" s="23">
        <f t="shared" si="126"/>
        <v>46113</v>
      </c>
      <c r="C937" s="2" t="s">
        <v>66</v>
      </c>
      <c r="D937" s="2" t="s">
        <v>1287</v>
      </c>
      <c r="E937" s="2">
        <v>1636</v>
      </c>
      <c r="F937" s="2">
        <v>80</v>
      </c>
      <c r="G937" s="2">
        <v>80</v>
      </c>
      <c r="H937" s="2">
        <f t="shared" si="134"/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/>
      <c r="AJ937" s="2" t="s">
        <v>110</v>
      </c>
      <c r="AK937" s="2">
        <f t="shared" si="127"/>
        <v>0</v>
      </c>
      <c r="AL937" s="2">
        <f t="shared" si="128"/>
        <v>0</v>
      </c>
      <c r="AM937" s="2">
        <f t="shared" si="129"/>
        <v>0</v>
      </c>
      <c r="AN937" s="2">
        <f t="shared" si="130"/>
        <v>0</v>
      </c>
      <c r="AO937" s="2">
        <f t="shared" si="131"/>
        <v>0</v>
      </c>
      <c r="AP937" s="2">
        <f t="shared" si="132"/>
        <v>0</v>
      </c>
      <c r="AQ937" s="25">
        <f t="shared" si="133"/>
        <v>0</v>
      </c>
    </row>
    <row r="938" spans="1:43">
      <c r="A938" s="24">
        <v>46139</v>
      </c>
      <c r="B938" s="23">
        <f t="shared" si="126"/>
        <v>46113</v>
      </c>
      <c r="C938" s="2" t="s">
        <v>97</v>
      </c>
      <c r="D938" s="2" t="s">
        <v>479</v>
      </c>
      <c r="E938" s="2">
        <v>1734</v>
      </c>
      <c r="F938" s="2">
        <v>48</v>
      </c>
      <c r="G938" s="2">
        <v>48</v>
      </c>
      <c r="H938" s="2">
        <f t="shared" si="134"/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/>
      <c r="AJ938" s="2" t="s">
        <v>110</v>
      </c>
      <c r="AK938" s="2">
        <f t="shared" si="127"/>
        <v>0</v>
      </c>
      <c r="AL938" s="2">
        <f t="shared" si="128"/>
        <v>0</v>
      </c>
      <c r="AM938" s="2">
        <f t="shared" si="129"/>
        <v>0</v>
      </c>
      <c r="AN938" s="2">
        <f t="shared" si="130"/>
        <v>0</v>
      </c>
      <c r="AO938" s="2">
        <f t="shared" si="131"/>
        <v>0</v>
      </c>
      <c r="AP938" s="2">
        <f t="shared" si="132"/>
        <v>0</v>
      </c>
      <c r="AQ938" s="25">
        <f t="shared" si="133"/>
        <v>0</v>
      </c>
    </row>
    <row r="939" spans="1:43">
      <c r="A939" s="24">
        <v>46139</v>
      </c>
      <c r="B939" s="23">
        <f t="shared" si="126"/>
        <v>46113</v>
      </c>
      <c r="C939" s="2" t="s">
        <v>66</v>
      </c>
      <c r="D939" s="2" t="s">
        <v>1290</v>
      </c>
      <c r="E939" s="2">
        <v>1636</v>
      </c>
      <c r="F939" s="2">
        <v>76</v>
      </c>
      <c r="G939" s="2">
        <v>76</v>
      </c>
      <c r="H939" s="2">
        <f t="shared" si="134"/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/>
      <c r="AJ939" s="2" t="s">
        <v>110</v>
      </c>
      <c r="AK939" s="2">
        <f t="shared" si="127"/>
        <v>0</v>
      </c>
      <c r="AL939" s="2">
        <f t="shared" si="128"/>
        <v>0</v>
      </c>
      <c r="AM939" s="2">
        <f t="shared" si="129"/>
        <v>0</v>
      </c>
      <c r="AN939" s="2">
        <f t="shared" si="130"/>
        <v>0</v>
      </c>
      <c r="AO939" s="2">
        <f t="shared" si="131"/>
        <v>0</v>
      </c>
      <c r="AP939" s="2">
        <f t="shared" si="132"/>
        <v>0</v>
      </c>
      <c r="AQ939" s="25">
        <f t="shared" si="133"/>
        <v>0</v>
      </c>
    </row>
    <row r="940" spans="1:43">
      <c r="A940" s="24">
        <v>46139</v>
      </c>
      <c r="B940" s="23">
        <f t="shared" si="126"/>
        <v>46113</v>
      </c>
      <c r="C940" s="2" t="s">
        <v>66</v>
      </c>
      <c r="D940" s="2" t="s">
        <v>1290</v>
      </c>
      <c r="E940" s="2">
        <v>1636</v>
      </c>
      <c r="F940" s="2">
        <v>20</v>
      </c>
      <c r="G940" s="2">
        <v>20</v>
      </c>
      <c r="H940" s="2">
        <f t="shared" si="134"/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/>
      <c r="AJ940" s="2" t="s">
        <v>110</v>
      </c>
      <c r="AK940" s="2">
        <f t="shared" si="127"/>
        <v>0</v>
      </c>
      <c r="AL940" s="2">
        <f t="shared" si="128"/>
        <v>0</v>
      </c>
      <c r="AM940" s="2">
        <f t="shared" si="129"/>
        <v>0</v>
      </c>
      <c r="AN940" s="2">
        <f t="shared" si="130"/>
        <v>0</v>
      </c>
      <c r="AO940" s="2">
        <f t="shared" si="131"/>
        <v>0</v>
      </c>
      <c r="AP940" s="2">
        <f t="shared" si="132"/>
        <v>0</v>
      </c>
      <c r="AQ940" s="25">
        <f t="shared" si="133"/>
        <v>0</v>
      </c>
    </row>
    <row r="941" spans="1:43">
      <c r="A941" s="24">
        <v>46139</v>
      </c>
      <c r="B941" s="23">
        <f t="shared" si="126"/>
        <v>46113</v>
      </c>
      <c r="C941" s="2" t="s">
        <v>66</v>
      </c>
      <c r="D941" s="2" t="s">
        <v>519</v>
      </c>
      <c r="E941" s="2">
        <v>2652</v>
      </c>
      <c r="F941" s="2">
        <v>360</v>
      </c>
      <c r="G941" s="2">
        <v>359</v>
      </c>
      <c r="H941" s="2">
        <f t="shared" si="134"/>
        <v>1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1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/>
      <c r="AJ941" s="2" t="s">
        <v>110</v>
      </c>
      <c r="AK941" s="2">
        <f t="shared" si="127"/>
        <v>0</v>
      </c>
      <c r="AL941" s="2">
        <f t="shared" si="128"/>
        <v>0</v>
      </c>
      <c r="AM941" s="2">
        <f t="shared" si="129"/>
        <v>1</v>
      </c>
      <c r="AN941" s="2">
        <f t="shared" si="130"/>
        <v>0</v>
      </c>
      <c r="AO941" s="2">
        <f t="shared" si="131"/>
        <v>0</v>
      </c>
      <c r="AP941" s="2">
        <f t="shared" si="132"/>
        <v>0</v>
      </c>
      <c r="AQ941" s="25">
        <f t="shared" si="133"/>
        <v>0</v>
      </c>
    </row>
    <row r="942" spans="1:43">
      <c r="A942" s="24">
        <v>46139</v>
      </c>
      <c r="B942" s="23">
        <f t="shared" si="126"/>
        <v>46113</v>
      </c>
      <c r="C942" s="2" t="s">
        <v>66</v>
      </c>
      <c r="D942" s="2" t="s">
        <v>582</v>
      </c>
      <c r="E942" s="2">
        <v>1767</v>
      </c>
      <c r="F942" s="2">
        <v>153</v>
      </c>
      <c r="G942" s="2">
        <v>153</v>
      </c>
      <c r="H942" s="2">
        <f t="shared" si="134"/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/>
      <c r="AJ942" s="2" t="s">
        <v>110</v>
      </c>
      <c r="AK942" s="2">
        <f t="shared" si="127"/>
        <v>0</v>
      </c>
      <c r="AL942" s="2">
        <f t="shared" si="128"/>
        <v>0</v>
      </c>
      <c r="AM942" s="2">
        <f t="shared" si="129"/>
        <v>0</v>
      </c>
      <c r="AN942" s="2">
        <f t="shared" si="130"/>
        <v>0</v>
      </c>
      <c r="AO942" s="2">
        <f t="shared" si="131"/>
        <v>0</v>
      </c>
      <c r="AP942" s="2">
        <f t="shared" si="132"/>
        <v>0</v>
      </c>
      <c r="AQ942" s="25">
        <f t="shared" si="133"/>
        <v>0</v>
      </c>
    </row>
    <row r="943" spans="1:43">
      <c r="A943" s="24">
        <v>46139</v>
      </c>
      <c r="B943" s="23">
        <f t="shared" si="126"/>
        <v>46113</v>
      </c>
      <c r="C943" s="2" t="s">
        <v>66</v>
      </c>
      <c r="D943" s="2" t="s">
        <v>582</v>
      </c>
      <c r="E943" s="2">
        <v>1767</v>
      </c>
      <c r="F943" s="2">
        <v>32</v>
      </c>
      <c r="G943" s="2">
        <v>32</v>
      </c>
      <c r="H943" s="2">
        <f t="shared" si="134"/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/>
      <c r="AJ943" s="2" t="s">
        <v>110</v>
      </c>
      <c r="AK943" s="2">
        <f t="shared" si="127"/>
        <v>0</v>
      </c>
      <c r="AL943" s="2">
        <f t="shared" si="128"/>
        <v>0</v>
      </c>
      <c r="AM943" s="2">
        <f t="shared" si="129"/>
        <v>0</v>
      </c>
      <c r="AN943" s="2">
        <f t="shared" si="130"/>
        <v>0</v>
      </c>
      <c r="AO943" s="2">
        <f t="shared" si="131"/>
        <v>0</v>
      </c>
      <c r="AP943" s="2">
        <f t="shared" si="132"/>
        <v>0</v>
      </c>
      <c r="AQ943" s="25">
        <f t="shared" si="133"/>
        <v>0</v>
      </c>
    </row>
    <row r="944" spans="1:43">
      <c r="A944" s="24">
        <v>46139</v>
      </c>
      <c r="B944" s="23">
        <f t="shared" si="126"/>
        <v>46113</v>
      </c>
      <c r="C944" s="2" t="s">
        <v>66</v>
      </c>
      <c r="D944" s="2" t="s">
        <v>1540</v>
      </c>
      <c r="E944" s="2">
        <v>1767</v>
      </c>
      <c r="F944" s="2">
        <v>66</v>
      </c>
      <c r="G944" s="2">
        <v>66</v>
      </c>
      <c r="H944" s="2">
        <f t="shared" si="134"/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/>
      <c r="AJ944" s="2" t="s">
        <v>110</v>
      </c>
      <c r="AK944" s="2">
        <f t="shared" si="127"/>
        <v>0</v>
      </c>
      <c r="AL944" s="2">
        <f t="shared" si="128"/>
        <v>0</v>
      </c>
      <c r="AM944" s="2">
        <f t="shared" si="129"/>
        <v>0</v>
      </c>
      <c r="AN944" s="2">
        <f t="shared" si="130"/>
        <v>0</v>
      </c>
      <c r="AO944" s="2">
        <f t="shared" si="131"/>
        <v>0</v>
      </c>
      <c r="AP944" s="2">
        <f t="shared" si="132"/>
        <v>0</v>
      </c>
      <c r="AQ944" s="25">
        <f t="shared" si="133"/>
        <v>0</v>
      </c>
    </row>
    <row r="945" spans="1:43">
      <c r="A945" s="24">
        <v>46140</v>
      </c>
      <c r="B945" s="23">
        <f t="shared" si="126"/>
        <v>46113</v>
      </c>
      <c r="C945" s="2" t="s">
        <v>63</v>
      </c>
      <c r="D945" s="2" t="s">
        <v>1450</v>
      </c>
      <c r="E945" s="2">
        <v>2480</v>
      </c>
      <c r="F945" s="2">
        <v>247</v>
      </c>
      <c r="G945" s="2">
        <v>241</v>
      </c>
      <c r="H945" s="2">
        <f t="shared" si="134"/>
        <v>6</v>
      </c>
      <c r="I945" s="2">
        <v>5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1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/>
      <c r="AJ945" s="2" t="s">
        <v>77</v>
      </c>
      <c r="AK945" s="2">
        <f t="shared" si="127"/>
        <v>5</v>
      </c>
      <c r="AL945" s="2">
        <f t="shared" si="128"/>
        <v>0</v>
      </c>
      <c r="AM945" s="2">
        <f t="shared" si="129"/>
        <v>0</v>
      </c>
      <c r="AN945" s="2">
        <f t="shared" si="130"/>
        <v>1</v>
      </c>
      <c r="AO945" s="2">
        <f t="shared" si="131"/>
        <v>0</v>
      </c>
      <c r="AP945" s="2">
        <f t="shared" si="132"/>
        <v>0</v>
      </c>
      <c r="AQ945" s="25">
        <f t="shared" si="133"/>
        <v>0</v>
      </c>
    </row>
    <row r="946" spans="1:43">
      <c r="A946" s="24">
        <v>46140</v>
      </c>
      <c r="B946" s="23">
        <f t="shared" si="126"/>
        <v>46113</v>
      </c>
      <c r="C946" s="2" t="s">
        <v>63</v>
      </c>
      <c r="D946" s="2" t="s">
        <v>1450</v>
      </c>
      <c r="E946" s="2">
        <v>2480</v>
      </c>
      <c r="F946" s="2">
        <v>32</v>
      </c>
      <c r="G946" s="2">
        <v>30</v>
      </c>
      <c r="H946" s="2">
        <f t="shared" si="134"/>
        <v>2</v>
      </c>
      <c r="I946" s="2">
        <v>2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/>
      <c r="AJ946" s="2" t="s">
        <v>77</v>
      </c>
      <c r="AK946" s="2">
        <f t="shared" si="127"/>
        <v>2</v>
      </c>
      <c r="AL946" s="2">
        <f t="shared" si="128"/>
        <v>0</v>
      </c>
      <c r="AM946" s="2">
        <f t="shared" si="129"/>
        <v>0</v>
      </c>
      <c r="AN946" s="2">
        <f t="shared" si="130"/>
        <v>0</v>
      </c>
      <c r="AO946" s="2">
        <f t="shared" si="131"/>
        <v>0</v>
      </c>
      <c r="AP946" s="2">
        <f t="shared" si="132"/>
        <v>0</v>
      </c>
      <c r="AQ946" s="25">
        <f t="shared" si="133"/>
        <v>0</v>
      </c>
    </row>
    <row r="947" spans="1:43">
      <c r="A947" s="24">
        <v>46140</v>
      </c>
      <c r="B947" s="23">
        <f t="shared" si="126"/>
        <v>46113</v>
      </c>
      <c r="C947" s="2" t="s">
        <v>160</v>
      </c>
      <c r="D947" s="2" t="s">
        <v>439</v>
      </c>
      <c r="E947" s="2">
        <v>1733</v>
      </c>
      <c r="F947" s="2">
        <v>122</v>
      </c>
      <c r="G947" s="2">
        <v>103</v>
      </c>
      <c r="H947" s="2">
        <f t="shared" si="134"/>
        <v>19</v>
      </c>
      <c r="I947" s="2">
        <v>12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2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3</v>
      </c>
      <c r="Y947" s="2">
        <v>0</v>
      </c>
      <c r="Z947" s="2">
        <v>2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/>
      <c r="AJ947" s="2" t="s">
        <v>77</v>
      </c>
      <c r="AK947" s="2">
        <f t="shared" si="127"/>
        <v>12</v>
      </c>
      <c r="AL947" s="2">
        <f t="shared" si="128"/>
        <v>2</v>
      </c>
      <c r="AM947" s="2">
        <f t="shared" si="129"/>
        <v>0</v>
      </c>
      <c r="AN947" s="2">
        <f t="shared" si="130"/>
        <v>2</v>
      </c>
      <c r="AO947" s="2">
        <f t="shared" si="131"/>
        <v>3</v>
      </c>
      <c r="AP947" s="2">
        <f t="shared" si="132"/>
        <v>0</v>
      </c>
      <c r="AQ947" s="25">
        <f t="shared" si="133"/>
        <v>0</v>
      </c>
    </row>
    <row r="948" spans="1:43">
      <c r="A948" s="24">
        <v>46140</v>
      </c>
      <c r="B948" s="23">
        <f t="shared" si="126"/>
        <v>46113</v>
      </c>
      <c r="C948" s="2" t="s">
        <v>62</v>
      </c>
      <c r="D948" s="2" t="s">
        <v>450</v>
      </c>
      <c r="E948" s="2">
        <v>1823</v>
      </c>
      <c r="F948" s="2">
        <v>214</v>
      </c>
      <c r="G948" s="2">
        <v>213</v>
      </c>
      <c r="H948" s="2">
        <f t="shared" si="134"/>
        <v>1</v>
      </c>
      <c r="I948" s="2">
        <v>1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/>
      <c r="AJ948" s="2" t="s">
        <v>77</v>
      </c>
      <c r="AK948" s="2">
        <f t="shared" si="127"/>
        <v>1</v>
      </c>
      <c r="AL948" s="2">
        <f t="shared" si="128"/>
        <v>0</v>
      </c>
      <c r="AM948" s="2">
        <f t="shared" si="129"/>
        <v>0</v>
      </c>
      <c r="AN948" s="2">
        <f t="shared" si="130"/>
        <v>0</v>
      </c>
      <c r="AO948" s="2">
        <f t="shared" si="131"/>
        <v>0</v>
      </c>
      <c r="AP948" s="2">
        <f t="shared" si="132"/>
        <v>0</v>
      </c>
      <c r="AQ948" s="25">
        <f t="shared" si="133"/>
        <v>0</v>
      </c>
    </row>
    <row r="949" spans="1:43">
      <c r="A949" s="24">
        <v>46140</v>
      </c>
      <c r="B949" s="23">
        <f t="shared" si="126"/>
        <v>46113</v>
      </c>
      <c r="C949" s="2" t="s">
        <v>62</v>
      </c>
      <c r="D949" s="2" t="s">
        <v>461</v>
      </c>
      <c r="E949" s="2">
        <v>1806</v>
      </c>
      <c r="F949" s="2">
        <v>79</v>
      </c>
      <c r="G949" s="2">
        <v>79</v>
      </c>
      <c r="H949" s="2">
        <f t="shared" si="134"/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/>
      <c r="AJ949" s="2" t="s">
        <v>77</v>
      </c>
      <c r="AK949" s="2">
        <f t="shared" si="127"/>
        <v>0</v>
      </c>
      <c r="AL949" s="2">
        <f t="shared" si="128"/>
        <v>0</v>
      </c>
      <c r="AM949" s="2">
        <f t="shared" si="129"/>
        <v>0</v>
      </c>
      <c r="AN949" s="2">
        <f t="shared" si="130"/>
        <v>0</v>
      </c>
      <c r="AO949" s="2">
        <f t="shared" si="131"/>
        <v>0</v>
      </c>
      <c r="AP949" s="2">
        <f t="shared" si="132"/>
        <v>0</v>
      </c>
      <c r="AQ949" s="25">
        <f t="shared" si="133"/>
        <v>0</v>
      </c>
    </row>
    <row r="950" spans="1:43">
      <c r="A950" s="24">
        <v>46140</v>
      </c>
      <c r="B950" s="23">
        <f t="shared" si="126"/>
        <v>46113</v>
      </c>
      <c r="C950" s="2" t="s">
        <v>63</v>
      </c>
      <c r="D950" s="2" t="s">
        <v>505</v>
      </c>
      <c r="E950" s="2">
        <v>2589</v>
      </c>
      <c r="F950" s="2">
        <v>50</v>
      </c>
      <c r="G950" s="2">
        <v>50</v>
      </c>
      <c r="H950" s="2">
        <f t="shared" si="134"/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/>
      <c r="AJ950" s="2" t="s">
        <v>80</v>
      </c>
      <c r="AK950" s="2">
        <f t="shared" si="127"/>
        <v>0</v>
      </c>
      <c r="AL950" s="2">
        <f t="shared" si="128"/>
        <v>0</v>
      </c>
      <c r="AM950" s="2">
        <f t="shared" si="129"/>
        <v>0</v>
      </c>
      <c r="AN950" s="2">
        <f t="shared" si="130"/>
        <v>0</v>
      </c>
      <c r="AO950" s="2">
        <f t="shared" si="131"/>
        <v>0</v>
      </c>
      <c r="AP950" s="2">
        <f t="shared" si="132"/>
        <v>0</v>
      </c>
      <c r="AQ950" s="25">
        <f t="shared" si="133"/>
        <v>0</v>
      </c>
    </row>
    <row r="951" spans="1:43">
      <c r="A951" s="24">
        <v>46140</v>
      </c>
      <c r="B951" s="23">
        <f t="shared" si="126"/>
        <v>46113</v>
      </c>
      <c r="C951" s="2" t="s">
        <v>114</v>
      </c>
      <c r="D951" s="2" t="s">
        <v>533</v>
      </c>
      <c r="E951" s="2">
        <v>2575</v>
      </c>
      <c r="F951" s="2">
        <v>20</v>
      </c>
      <c r="G951" s="2">
        <v>18</v>
      </c>
      <c r="H951" s="2">
        <f t="shared" si="134"/>
        <v>2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2</v>
      </c>
      <c r="AI951" s="2"/>
      <c r="AJ951" s="2" t="s">
        <v>80</v>
      </c>
      <c r="AK951" s="2">
        <f t="shared" si="127"/>
        <v>0</v>
      </c>
      <c r="AL951" s="2">
        <f t="shared" si="128"/>
        <v>0</v>
      </c>
      <c r="AM951" s="2">
        <f t="shared" si="129"/>
        <v>0</v>
      </c>
      <c r="AN951" s="2">
        <f t="shared" si="130"/>
        <v>2</v>
      </c>
      <c r="AO951" s="2">
        <f t="shared" si="131"/>
        <v>0</v>
      </c>
      <c r="AP951" s="2">
        <f t="shared" si="132"/>
        <v>0</v>
      </c>
      <c r="AQ951" s="25">
        <f t="shared" si="133"/>
        <v>0</v>
      </c>
    </row>
    <row r="952" spans="1:43">
      <c r="A952" s="24">
        <v>46140</v>
      </c>
      <c r="B952" s="23">
        <f t="shared" si="126"/>
        <v>46113</v>
      </c>
      <c r="C952" s="2" t="s">
        <v>133</v>
      </c>
      <c r="D952" s="2" t="s">
        <v>1482</v>
      </c>
      <c r="E952" s="2">
        <v>95225</v>
      </c>
      <c r="F952" s="2">
        <v>160</v>
      </c>
      <c r="G952" s="2">
        <v>159</v>
      </c>
      <c r="H952" s="2">
        <f t="shared" si="134"/>
        <v>1</v>
      </c>
      <c r="I952" s="2">
        <v>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/>
      <c r="AJ952" s="2" t="s">
        <v>80</v>
      </c>
      <c r="AK952" s="2">
        <f t="shared" si="127"/>
        <v>1</v>
      </c>
      <c r="AL952" s="2">
        <f t="shared" si="128"/>
        <v>0</v>
      </c>
      <c r="AM952" s="2">
        <f t="shared" si="129"/>
        <v>0</v>
      </c>
      <c r="AN952" s="2">
        <f t="shared" si="130"/>
        <v>0</v>
      </c>
      <c r="AO952" s="2">
        <f t="shared" si="131"/>
        <v>0</v>
      </c>
      <c r="AP952" s="2">
        <f t="shared" si="132"/>
        <v>0</v>
      </c>
      <c r="AQ952" s="25">
        <f t="shared" si="133"/>
        <v>0</v>
      </c>
    </row>
    <row r="953" spans="1:43">
      <c r="A953" s="24">
        <v>46140</v>
      </c>
      <c r="B953" s="23">
        <f t="shared" si="126"/>
        <v>46113</v>
      </c>
      <c r="C953" s="2" t="s">
        <v>63</v>
      </c>
      <c r="D953" s="2" t="s">
        <v>1381</v>
      </c>
      <c r="E953" s="2">
        <v>2480</v>
      </c>
      <c r="F953" s="2">
        <v>395</v>
      </c>
      <c r="G953" s="2">
        <v>395</v>
      </c>
      <c r="H953" s="2">
        <f t="shared" si="134"/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/>
      <c r="AJ953" s="2" t="s">
        <v>80</v>
      </c>
      <c r="AK953" s="2">
        <f t="shared" si="127"/>
        <v>0</v>
      </c>
      <c r="AL953" s="2">
        <f t="shared" si="128"/>
        <v>0</v>
      </c>
      <c r="AM953" s="2">
        <f t="shared" si="129"/>
        <v>0</v>
      </c>
      <c r="AN953" s="2">
        <f t="shared" si="130"/>
        <v>0</v>
      </c>
      <c r="AO953" s="2">
        <f t="shared" si="131"/>
        <v>0</v>
      </c>
      <c r="AP953" s="2">
        <f t="shared" si="132"/>
        <v>0</v>
      </c>
      <c r="AQ953" s="25">
        <f t="shared" si="133"/>
        <v>0</v>
      </c>
    </row>
    <row r="954" spans="1:43">
      <c r="A954" s="24">
        <v>46140</v>
      </c>
      <c r="B954" s="23">
        <f t="shared" si="126"/>
        <v>46113</v>
      </c>
      <c r="C954" s="2" t="s">
        <v>114</v>
      </c>
      <c r="D954" s="2" t="s">
        <v>540</v>
      </c>
      <c r="E954" s="2">
        <v>2579</v>
      </c>
      <c r="F954" s="2">
        <v>124</v>
      </c>
      <c r="G954" s="2">
        <v>114</v>
      </c>
      <c r="H954" s="2">
        <f t="shared" si="134"/>
        <v>10</v>
      </c>
      <c r="I954" s="2">
        <v>5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1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4</v>
      </c>
      <c r="AI954" s="2"/>
      <c r="AJ954" s="2" t="s">
        <v>80</v>
      </c>
      <c r="AK954" s="2">
        <f t="shared" si="127"/>
        <v>5</v>
      </c>
      <c r="AL954" s="2">
        <f t="shared" si="128"/>
        <v>1</v>
      </c>
      <c r="AM954" s="2">
        <f t="shared" si="129"/>
        <v>0</v>
      </c>
      <c r="AN954" s="2">
        <f t="shared" si="130"/>
        <v>4</v>
      </c>
      <c r="AO954" s="2">
        <f t="shared" si="131"/>
        <v>0</v>
      </c>
      <c r="AP954" s="2">
        <f t="shared" si="132"/>
        <v>0</v>
      </c>
      <c r="AQ954" s="25">
        <f t="shared" si="133"/>
        <v>0</v>
      </c>
    </row>
    <row r="955" spans="1:43">
      <c r="A955" s="24">
        <v>46140</v>
      </c>
      <c r="B955" s="23">
        <f t="shared" si="126"/>
        <v>46113</v>
      </c>
      <c r="C955" s="2" t="s">
        <v>72</v>
      </c>
      <c r="D955" s="2" t="s">
        <v>576</v>
      </c>
      <c r="E955" s="2">
        <v>2497</v>
      </c>
      <c r="F955" s="2">
        <v>23</v>
      </c>
      <c r="G955" s="2">
        <v>23</v>
      </c>
      <c r="H955" s="2">
        <f t="shared" si="134"/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/>
      <c r="AJ955" s="2" t="s">
        <v>80</v>
      </c>
      <c r="AK955" s="2">
        <f t="shared" si="127"/>
        <v>0</v>
      </c>
      <c r="AL955" s="2">
        <f t="shared" si="128"/>
        <v>0</v>
      </c>
      <c r="AM955" s="2">
        <f t="shared" si="129"/>
        <v>0</v>
      </c>
      <c r="AN955" s="2">
        <f t="shared" si="130"/>
        <v>0</v>
      </c>
      <c r="AO955" s="2">
        <f t="shared" si="131"/>
        <v>0</v>
      </c>
      <c r="AP955" s="2">
        <f t="shared" si="132"/>
        <v>0</v>
      </c>
      <c r="AQ955" s="25">
        <f t="shared" si="133"/>
        <v>0</v>
      </c>
    </row>
    <row r="956" spans="1:43">
      <c r="A956" s="24">
        <v>46140</v>
      </c>
      <c r="B956" s="23">
        <f t="shared" si="126"/>
        <v>46113</v>
      </c>
      <c r="C956" s="2" t="s">
        <v>82</v>
      </c>
      <c r="D956" s="2" t="s">
        <v>527</v>
      </c>
      <c r="E956" s="2">
        <v>2622</v>
      </c>
      <c r="F956" s="2">
        <v>434</v>
      </c>
      <c r="G956" s="2">
        <v>424</v>
      </c>
      <c r="H956" s="2">
        <f t="shared" si="134"/>
        <v>10</v>
      </c>
      <c r="I956" s="2">
        <v>0</v>
      </c>
      <c r="J956" s="2">
        <v>0</v>
      </c>
      <c r="K956" s="2">
        <v>0</v>
      </c>
      <c r="L956" s="2">
        <v>0</v>
      </c>
      <c r="M956" s="2">
        <v>10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/>
      <c r="AJ956" s="2" t="s">
        <v>80</v>
      </c>
      <c r="AK956" s="2">
        <f t="shared" si="127"/>
        <v>0</v>
      </c>
      <c r="AL956" s="2">
        <f t="shared" si="128"/>
        <v>10</v>
      </c>
      <c r="AM956" s="2">
        <f t="shared" si="129"/>
        <v>0</v>
      </c>
      <c r="AN956" s="2">
        <f t="shared" si="130"/>
        <v>0</v>
      </c>
      <c r="AO956" s="2">
        <f t="shared" si="131"/>
        <v>0</v>
      </c>
      <c r="AP956" s="2">
        <f t="shared" si="132"/>
        <v>0</v>
      </c>
      <c r="AQ956" s="25">
        <f t="shared" si="133"/>
        <v>0</v>
      </c>
    </row>
    <row r="957" spans="1:43">
      <c r="A957" s="24">
        <v>46140</v>
      </c>
      <c r="B957" s="23">
        <f t="shared" si="126"/>
        <v>46113</v>
      </c>
      <c r="C957" s="2" t="s">
        <v>114</v>
      </c>
      <c r="D957" s="2" t="s">
        <v>444</v>
      </c>
      <c r="E957" s="2">
        <v>2575</v>
      </c>
      <c r="F957" s="2">
        <v>186</v>
      </c>
      <c r="G957" s="2">
        <v>185</v>
      </c>
      <c r="H957" s="2">
        <f t="shared" si="134"/>
        <v>1</v>
      </c>
      <c r="I957" s="2">
        <v>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/>
      <c r="AJ957" s="2" t="s">
        <v>80</v>
      </c>
      <c r="AK957" s="2">
        <f t="shared" si="127"/>
        <v>1</v>
      </c>
      <c r="AL957" s="2">
        <f t="shared" si="128"/>
        <v>0</v>
      </c>
      <c r="AM957" s="2">
        <f t="shared" si="129"/>
        <v>0</v>
      </c>
      <c r="AN957" s="2">
        <f t="shared" si="130"/>
        <v>0</v>
      </c>
      <c r="AO957" s="2">
        <f t="shared" si="131"/>
        <v>0</v>
      </c>
      <c r="AP957" s="2">
        <f t="shared" si="132"/>
        <v>0</v>
      </c>
      <c r="AQ957" s="25">
        <f t="shared" si="133"/>
        <v>0</v>
      </c>
    </row>
    <row r="958" spans="1:43">
      <c r="A958" s="24">
        <v>46140</v>
      </c>
      <c r="B958" s="23">
        <f t="shared" si="126"/>
        <v>46113</v>
      </c>
      <c r="C958" s="2" t="s">
        <v>114</v>
      </c>
      <c r="D958" s="2" t="s">
        <v>444</v>
      </c>
      <c r="E958" s="2">
        <v>2575</v>
      </c>
      <c r="F958" s="2">
        <v>33</v>
      </c>
      <c r="G958" s="2">
        <v>33</v>
      </c>
      <c r="H958" s="2">
        <f t="shared" si="134"/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/>
      <c r="AJ958" s="2" t="s">
        <v>80</v>
      </c>
      <c r="AK958" s="2">
        <f t="shared" si="127"/>
        <v>0</v>
      </c>
      <c r="AL958" s="2">
        <f t="shared" si="128"/>
        <v>0</v>
      </c>
      <c r="AM958" s="2">
        <f t="shared" si="129"/>
        <v>0</v>
      </c>
      <c r="AN958" s="2">
        <f t="shared" si="130"/>
        <v>0</v>
      </c>
      <c r="AO958" s="2">
        <f t="shared" si="131"/>
        <v>0</v>
      </c>
      <c r="AP958" s="2">
        <f t="shared" si="132"/>
        <v>0</v>
      </c>
      <c r="AQ958" s="25">
        <f t="shared" si="133"/>
        <v>0</v>
      </c>
    </row>
    <row r="959" spans="1:43">
      <c r="A959" s="24">
        <v>46140</v>
      </c>
      <c r="B959" s="23">
        <f t="shared" si="126"/>
        <v>46113</v>
      </c>
      <c r="C959" s="2" t="s">
        <v>82</v>
      </c>
      <c r="D959" s="2" t="s">
        <v>459</v>
      </c>
      <c r="E959" s="2">
        <v>1824</v>
      </c>
      <c r="F959" s="2">
        <v>154</v>
      </c>
      <c r="G959" s="2">
        <v>150</v>
      </c>
      <c r="H959" s="2">
        <f t="shared" si="134"/>
        <v>4</v>
      </c>
      <c r="I959" s="2">
        <v>2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2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/>
      <c r="AJ959" s="2" t="s">
        <v>80</v>
      </c>
      <c r="AK959" s="2">
        <f t="shared" si="127"/>
        <v>2</v>
      </c>
      <c r="AL959" s="2">
        <f t="shared" si="128"/>
        <v>2</v>
      </c>
      <c r="AM959" s="2">
        <f t="shared" si="129"/>
        <v>0</v>
      </c>
      <c r="AN959" s="2">
        <f t="shared" si="130"/>
        <v>0</v>
      </c>
      <c r="AO959" s="2">
        <f t="shared" si="131"/>
        <v>0</v>
      </c>
      <c r="AP959" s="2">
        <f t="shared" si="132"/>
        <v>0</v>
      </c>
      <c r="AQ959" s="25">
        <f t="shared" si="133"/>
        <v>0</v>
      </c>
    </row>
    <row r="960" spans="1:43">
      <c r="A960" s="24">
        <v>46140</v>
      </c>
      <c r="B960" s="23">
        <f t="shared" si="126"/>
        <v>46113</v>
      </c>
      <c r="C960" s="2" t="s">
        <v>63</v>
      </c>
      <c r="D960" s="2" t="s">
        <v>469</v>
      </c>
      <c r="E960" s="2">
        <v>2606</v>
      </c>
      <c r="F960" s="2">
        <v>50</v>
      </c>
      <c r="G960" s="2">
        <v>50</v>
      </c>
      <c r="H960" s="2">
        <f t="shared" si="134"/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/>
      <c r="AJ960" s="2" t="s">
        <v>1568</v>
      </c>
      <c r="AK960" s="2">
        <f t="shared" si="127"/>
        <v>0</v>
      </c>
      <c r="AL960" s="2">
        <f t="shared" si="128"/>
        <v>0</v>
      </c>
      <c r="AM960" s="2">
        <f t="shared" si="129"/>
        <v>0</v>
      </c>
      <c r="AN960" s="2">
        <f t="shared" si="130"/>
        <v>0</v>
      </c>
      <c r="AO960" s="2">
        <f t="shared" si="131"/>
        <v>0</v>
      </c>
      <c r="AP960" s="2">
        <f t="shared" si="132"/>
        <v>0</v>
      </c>
      <c r="AQ960" s="25">
        <f t="shared" si="133"/>
        <v>0</v>
      </c>
    </row>
    <row r="961" spans="1:43">
      <c r="A961" s="24">
        <v>46140</v>
      </c>
      <c r="B961" s="23">
        <f t="shared" si="126"/>
        <v>46113</v>
      </c>
      <c r="C961" s="2" t="s">
        <v>63</v>
      </c>
      <c r="D961" s="2" t="s">
        <v>1384</v>
      </c>
      <c r="E961" s="2">
        <v>2480</v>
      </c>
      <c r="F961" s="2">
        <v>97</v>
      </c>
      <c r="G961" s="2">
        <v>91</v>
      </c>
      <c r="H961" s="2">
        <f t="shared" si="134"/>
        <v>6</v>
      </c>
      <c r="I961" s="2">
        <v>6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/>
      <c r="AJ961" s="2" t="s">
        <v>1568</v>
      </c>
      <c r="AK961" s="2">
        <f t="shared" si="127"/>
        <v>6</v>
      </c>
      <c r="AL961" s="2">
        <f t="shared" si="128"/>
        <v>0</v>
      </c>
      <c r="AM961" s="2">
        <f t="shared" si="129"/>
        <v>0</v>
      </c>
      <c r="AN961" s="2">
        <f t="shared" si="130"/>
        <v>0</v>
      </c>
      <c r="AO961" s="2">
        <f t="shared" si="131"/>
        <v>0</v>
      </c>
      <c r="AP961" s="2">
        <f t="shared" si="132"/>
        <v>0</v>
      </c>
      <c r="AQ961" s="25">
        <f t="shared" si="133"/>
        <v>0</v>
      </c>
    </row>
    <row r="962" spans="1:43">
      <c r="A962" s="24">
        <v>46140</v>
      </c>
      <c r="B962" s="23">
        <f t="shared" ref="B962:B1025" si="135">EOMONTH(A962,-1)+1</f>
        <v>46113</v>
      </c>
      <c r="C962" s="2" t="s">
        <v>63</v>
      </c>
      <c r="D962" s="2" t="s">
        <v>508</v>
      </c>
      <c r="E962" s="2">
        <v>2565</v>
      </c>
      <c r="F962" s="2">
        <v>125</v>
      </c>
      <c r="G962" s="2">
        <v>124</v>
      </c>
      <c r="H962" s="2">
        <f t="shared" si="134"/>
        <v>1</v>
      </c>
      <c r="I962" s="2">
        <v>1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/>
      <c r="AJ962" s="2" t="s">
        <v>1568</v>
      </c>
      <c r="AK962" s="2">
        <f t="shared" ref="AK962:AK1025" si="136">+I962+AF962</f>
        <v>1</v>
      </c>
      <c r="AL962" s="2">
        <f t="shared" ref="AL962:AL1025" si="137">+J962+K962+O962+N962+P962+R962+S962+Q962+M962+L962</f>
        <v>0</v>
      </c>
      <c r="AM962" s="2">
        <f t="shared" ref="AM962:AM1025" si="138">+AB962+AC962</f>
        <v>0</v>
      </c>
      <c r="AN962" s="2">
        <f t="shared" ref="AN962:AN1025" si="139">+AH962+AG962+AA962+Z962</f>
        <v>0</v>
      </c>
      <c r="AO962" s="2">
        <f t="shared" ref="AO962:AO1025" si="140">+X962+W962+V962+U962+T962+Y962</f>
        <v>0</v>
      </c>
      <c r="AP962" s="2">
        <f t="shared" ref="AP962:AP1025" si="141">+AD962</f>
        <v>0</v>
      </c>
      <c r="AQ962" s="25">
        <f t="shared" ref="AQ962:AQ1025" si="142">+AE962</f>
        <v>0</v>
      </c>
    </row>
    <row r="963" spans="1:43">
      <c r="A963" s="24">
        <v>46140</v>
      </c>
      <c r="B963" s="23">
        <f t="shared" si="135"/>
        <v>46113</v>
      </c>
      <c r="C963" s="2" t="s">
        <v>63</v>
      </c>
      <c r="D963" s="2" t="s">
        <v>1540</v>
      </c>
      <c r="E963" s="2">
        <v>1767</v>
      </c>
      <c r="F963" s="2">
        <v>967</v>
      </c>
      <c r="G963" s="2">
        <v>960</v>
      </c>
      <c r="H963" s="2">
        <f t="shared" ref="H963:H1026" si="143">F963-G963</f>
        <v>7</v>
      </c>
      <c r="I963" s="2">
        <v>5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1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1</v>
      </c>
      <c r="AI963" s="2"/>
      <c r="AJ963" s="2" t="s">
        <v>1569</v>
      </c>
      <c r="AK963" s="2">
        <f t="shared" si="136"/>
        <v>5</v>
      </c>
      <c r="AL963" s="2">
        <f t="shared" si="137"/>
        <v>0</v>
      </c>
      <c r="AM963" s="2">
        <f t="shared" si="138"/>
        <v>0</v>
      </c>
      <c r="AN963" s="2">
        <f t="shared" si="139"/>
        <v>2</v>
      </c>
      <c r="AO963" s="2">
        <f t="shared" si="140"/>
        <v>0</v>
      </c>
      <c r="AP963" s="2">
        <f t="shared" si="141"/>
        <v>0</v>
      </c>
      <c r="AQ963" s="25">
        <f t="shared" si="142"/>
        <v>0</v>
      </c>
    </row>
    <row r="964" spans="1:43">
      <c r="A964" s="24">
        <v>46140</v>
      </c>
      <c r="B964" s="23">
        <f t="shared" si="135"/>
        <v>46113</v>
      </c>
      <c r="C964" s="2" t="s">
        <v>63</v>
      </c>
      <c r="D964" s="2" t="s">
        <v>432</v>
      </c>
      <c r="E964" s="2">
        <v>2565</v>
      </c>
      <c r="F964" s="2">
        <v>282</v>
      </c>
      <c r="G964" s="2">
        <v>278</v>
      </c>
      <c r="H964" s="2">
        <f t="shared" si="143"/>
        <v>4</v>
      </c>
      <c r="I964" s="2">
        <v>4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/>
      <c r="AJ964" s="2" t="s">
        <v>1568</v>
      </c>
      <c r="AK964" s="2">
        <f t="shared" si="136"/>
        <v>4</v>
      </c>
      <c r="AL964" s="2">
        <f t="shared" si="137"/>
        <v>0</v>
      </c>
      <c r="AM964" s="2">
        <f t="shared" si="138"/>
        <v>0</v>
      </c>
      <c r="AN964" s="2">
        <f t="shared" si="139"/>
        <v>0</v>
      </c>
      <c r="AO964" s="2">
        <f t="shared" si="140"/>
        <v>0</v>
      </c>
      <c r="AP964" s="2">
        <f t="shared" si="141"/>
        <v>0</v>
      </c>
      <c r="AQ964" s="25">
        <f t="shared" si="142"/>
        <v>0</v>
      </c>
    </row>
    <row r="965" spans="1:43">
      <c r="A965" s="24">
        <v>46140</v>
      </c>
      <c r="B965" s="23">
        <f t="shared" si="135"/>
        <v>46113</v>
      </c>
      <c r="C965" s="2" t="s">
        <v>72</v>
      </c>
      <c r="D965" s="2" t="s">
        <v>485</v>
      </c>
      <c r="E965" s="2">
        <v>2648</v>
      </c>
      <c r="F965" s="2">
        <v>66</v>
      </c>
      <c r="G965" s="2">
        <v>65</v>
      </c>
      <c r="H965" s="2">
        <f t="shared" si="143"/>
        <v>1</v>
      </c>
      <c r="I965" s="2">
        <v>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/>
      <c r="AJ965" s="2" t="s">
        <v>103</v>
      </c>
      <c r="AK965" s="2">
        <f t="shared" si="136"/>
        <v>1</v>
      </c>
      <c r="AL965" s="2">
        <f t="shared" si="137"/>
        <v>0</v>
      </c>
      <c r="AM965" s="2">
        <f t="shared" si="138"/>
        <v>0</v>
      </c>
      <c r="AN965" s="2">
        <f t="shared" si="139"/>
        <v>0</v>
      </c>
      <c r="AO965" s="2">
        <f t="shared" si="140"/>
        <v>0</v>
      </c>
      <c r="AP965" s="2">
        <f t="shared" si="141"/>
        <v>0</v>
      </c>
      <c r="AQ965" s="25">
        <f t="shared" si="142"/>
        <v>0</v>
      </c>
    </row>
    <row r="966" spans="1:43">
      <c r="A966" s="24">
        <v>46140</v>
      </c>
      <c r="B966" s="23">
        <f t="shared" si="135"/>
        <v>46113</v>
      </c>
      <c r="C966" s="2" t="s">
        <v>114</v>
      </c>
      <c r="D966" s="2" t="s">
        <v>541</v>
      </c>
      <c r="E966" s="2">
        <v>2579</v>
      </c>
      <c r="F966" s="2">
        <v>914</v>
      </c>
      <c r="G966" s="2">
        <v>904</v>
      </c>
      <c r="H966" s="2">
        <f t="shared" si="143"/>
        <v>10</v>
      </c>
      <c r="I966" s="2">
        <v>3</v>
      </c>
      <c r="J966" s="2">
        <v>0</v>
      </c>
      <c r="K966" s="2">
        <v>1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1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5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/>
      <c r="AJ966" s="2" t="s">
        <v>103</v>
      </c>
      <c r="AK966" s="2">
        <f t="shared" si="136"/>
        <v>3</v>
      </c>
      <c r="AL966" s="2">
        <f t="shared" si="137"/>
        <v>2</v>
      </c>
      <c r="AM966" s="2">
        <f t="shared" si="138"/>
        <v>0</v>
      </c>
      <c r="AN966" s="2">
        <f t="shared" si="139"/>
        <v>5</v>
      </c>
      <c r="AO966" s="2">
        <f t="shared" si="140"/>
        <v>0</v>
      </c>
      <c r="AP966" s="2">
        <f t="shared" si="141"/>
        <v>0</v>
      </c>
      <c r="AQ966" s="25">
        <f t="shared" si="142"/>
        <v>0</v>
      </c>
    </row>
    <row r="967" spans="1:43">
      <c r="A967" s="24">
        <v>46140</v>
      </c>
      <c r="B967" s="23">
        <f t="shared" si="135"/>
        <v>46113</v>
      </c>
      <c r="C967" s="2" t="s">
        <v>114</v>
      </c>
      <c r="D967" s="2" t="s">
        <v>529</v>
      </c>
      <c r="E967" s="2">
        <v>1803</v>
      </c>
      <c r="F967" s="2">
        <v>59</v>
      </c>
      <c r="G967" s="2">
        <v>57</v>
      </c>
      <c r="H967" s="2">
        <f t="shared" si="143"/>
        <v>2</v>
      </c>
      <c r="I967" s="2">
        <v>1</v>
      </c>
      <c r="J967" s="2">
        <v>0</v>
      </c>
      <c r="K967" s="2">
        <v>0</v>
      </c>
      <c r="L967" s="2">
        <v>0</v>
      </c>
      <c r="M967" s="2">
        <v>0</v>
      </c>
      <c r="N967" s="2">
        <v>1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/>
      <c r="AJ967" s="2" t="s">
        <v>103</v>
      </c>
      <c r="AK967" s="2">
        <f t="shared" si="136"/>
        <v>1</v>
      </c>
      <c r="AL967" s="2">
        <f t="shared" si="137"/>
        <v>1</v>
      </c>
      <c r="AM967" s="2">
        <f t="shared" si="138"/>
        <v>0</v>
      </c>
      <c r="AN967" s="2">
        <f t="shared" si="139"/>
        <v>0</v>
      </c>
      <c r="AO967" s="2">
        <f t="shared" si="140"/>
        <v>0</v>
      </c>
      <c r="AP967" s="2">
        <f t="shared" si="141"/>
        <v>0</v>
      </c>
      <c r="AQ967" s="25">
        <f t="shared" si="142"/>
        <v>0</v>
      </c>
    </row>
    <row r="968" spans="1:43">
      <c r="A968" s="24">
        <v>46140</v>
      </c>
      <c r="B968" s="23">
        <f t="shared" si="135"/>
        <v>46113</v>
      </c>
      <c r="C968" s="2" t="s">
        <v>160</v>
      </c>
      <c r="D968" s="2" t="s">
        <v>439</v>
      </c>
      <c r="E968" s="2">
        <v>1733</v>
      </c>
      <c r="F968" s="2">
        <v>308</v>
      </c>
      <c r="G968" s="2">
        <v>300</v>
      </c>
      <c r="H968" s="2">
        <f t="shared" si="143"/>
        <v>8</v>
      </c>
      <c r="I968" s="2">
        <v>7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1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/>
      <c r="AJ968" s="2" t="s">
        <v>93</v>
      </c>
      <c r="AK968" s="2">
        <f t="shared" si="136"/>
        <v>7</v>
      </c>
      <c r="AL968" s="2">
        <f t="shared" si="137"/>
        <v>0</v>
      </c>
      <c r="AM968" s="2">
        <f t="shared" si="138"/>
        <v>0</v>
      </c>
      <c r="AN968" s="2">
        <f t="shared" si="139"/>
        <v>0</v>
      </c>
      <c r="AO968" s="2">
        <f t="shared" si="140"/>
        <v>1</v>
      </c>
      <c r="AP968" s="2">
        <f t="shared" si="141"/>
        <v>0</v>
      </c>
      <c r="AQ968" s="25">
        <f t="shared" si="142"/>
        <v>0</v>
      </c>
    </row>
    <row r="969" spans="1:43">
      <c r="A969" s="24">
        <v>46140</v>
      </c>
      <c r="B969" s="23">
        <f t="shared" si="135"/>
        <v>46113</v>
      </c>
      <c r="C969" s="2" t="s">
        <v>160</v>
      </c>
      <c r="D969" s="2" t="s">
        <v>578</v>
      </c>
      <c r="E969" s="2">
        <v>1734</v>
      </c>
      <c r="F969" s="2">
        <v>146</v>
      </c>
      <c r="G969" s="2">
        <v>142</v>
      </c>
      <c r="H969" s="2">
        <f t="shared" si="143"/>
        <v>4</v>
      </c>
      <c r="I969" s="2">
        <v>2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1</v>
      </c>
      <c r="T969" s="2">
        <v>0</v>
      </c>
      <c r="U969" s="2">
        <v>0</v>
      </c>
      <c r="V969" s="2">
        <v>0</v>
      </c>
      <c r="W969" s="2">
        <v>0</v>
      </c>
      <c r="X969" s="2">
        <v>1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/>
      <c r="AJ969" s="2" t="s">
        <v>93</v>
      </c>
      <c r="AK969" s="2">
        <f t="shared" si="136"/>
        <v>2</v>
      </c>
      <c r="AL969" s="2">
        <f t="shared" si="137"/>
        <v>1</v>
      </c>
      <c r="AM969" s="2">
        <f t="shared" si="138"/>
        <v>0</v>
      </c>
      <c r="AN969" s="2">
        <f t="shared" si="139"/>
        <v>0</v>
      </c>
      <c r="AO969" s="2">
        <f t="shared" si="140"/>
        <v>1</v>
      </c>
      <c r="AP969" s="2">
        <f t="shared" si="141"/>
        <v>0</v>
      </c>
      <c r="AQ969" s="25">
        <f t="shared" si="142"/>
        <v>0</v>
      </c>
    </row>
    <row r="970" spans="1:43">
      <c r="A970" s="24">
        <v>46140</v>
      </c>
      <c r="B970" s="23">
        <f t="shared" si="135"/>
        <v>46113</v>
      </c>
      <c r="C970" s="2" t="s">
        <v>82</v>
      </c>
      <c r="D970" s="2" t="s">
        <v>473</v>
      </c>
      <c r="E970" s="2">
        <v>2621</v>
      </c>
      <c r="F970" s="2">
        <v>264</v>
      </c>
      <c r="G970" s="2">
        <v>264</v>
      </c>
      <c r="H970" s="2">
        <f t="shared" si="143"/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/>
      <c r="AJ970" s="2" t="s">
        <v>93</v>
      </c>
      <c r="AK970" s="2">
        <f t="shared" si="136"/>
        <v>0</v>
      </c>
      <c r="AL970" s="2">
        <f t="shared" si="137"/>
        <v>0</v>
      </c>
      <c r="AM970" s="2">
        <f t="shared" si="138"/>
        <v>0</v>
      </c>
      <c r="AN970" s="2">
        <f t="shared" si="139"/>
        <v>0</v>
      </c>
      <c r="AO970" s="2">
        <f t="shared" si="140"/>
        <v>0</v>
      </c>
      <c r="AP970" s="2">
        <f t="shared" si="141"/>
        <v>0</v>
      </c>
      <c r="AQ970" s="25">
        <f t="shared" si="142"/>
        <v>0</v>
      </c>
    </row>
    <row r="971" spans="1:43">
      <c r="A971" s="24">
        <v>46140</v>
      </c>
      <c r="B971" s="23">
        <f t="shared" si="135"/>
        <v>46113</v>
      </c>
      <c r="C971" s="2" t="s">
        <v>82</v>
      </c>
      <c r="D971" s="2" t="s">
        <v>552</v>
      </c>
      <c r="E971" s="2">
        <v>2620</v>
      </c>
      <c r="F971" s="2">
        <v>355</v>
      </c>
      <c r="G971" s="2">
        <v>355</v>
      </c>
      <c r="H971" s="2">
        <f t="shared" si="143"/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/>
      <c r="AJ971" s="2" t="s">
        <v>93</v>
      </c>
      <c r="AK971" s="2">
        <f t="shared" si="136"/>
        <v>0</v>
      </c>
      <c r="AL971" s="2">
        <f t="shared" si="137"/>
        <v>0</v>
      </c>
      <c r="AM971" s="2">
        <f t="shared" si="138"/>
        <v>0</v>
      </c>
      <c r="AN971" s="2">
        <f t="shared" si="139"/>
        <v>0</v>
      </c>
      <c r="AO971" s="2">
        <f t="shared" si="140"/>
        <v>0</v>
      </c>
      <c r="AP971" s="2">
        <f t="shared" si="141"/>
        <v>0</v>
      </c>
      <c r="AQ971" s="25">
        <f t="shared" si="142"/>
        <v>0</v>
      </c>
    </row>
    <row r="972" spans="1:43">
      <c r="A972" s="24">
        <v>46140</v>
      </c>
      <c r="B972" s="23">
        <f t="shared" si="135"/>
        <v>46113</v>
      </c>
      <c r="C972" s="2" t="s">
        <v>66</v>
      </c>
      <c r="D972" s="2" t="s">
        <v>519</v>
      </c>
      <c r="E972" s="2">
        <v>2652</v>
      </c>
      <c r="F972" s="2">
        <v>124</v>
      </c>
      <c r="G972" s="2">
        <v>124</v>
      </c>
      <c r="H972" s="2">
        <f t="shared" si="143"/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/>
      <c r="AJ972" s="2" t="s">
        <v>110</v>
      </c>
      <c r="AK972" s="2">
        <f t="shared" si="136"/>
        <v>0</v>
      </c>
      <c r="AL972" s="2">
        <f t="shared" si="137"/>
        <v>0</v>
      </c>
      <c r="AM972" s="2">
        <f t="shared" si="138"/>
        <v>0</v>
      </c>
      <c r="AN972" s="2">
        <f t="shared" si="139"/>
        <v>0</v>
      </c>
      <c r="AO972" s="2">
        <f t="shared" si="140"/>
        <v>0</v>
      </c>
      <c r="AP972" s="2">
        <f t="shared" si="141"/>
        <v>0</v>
      </c>
      <c r="AQ972" s="25">
        <f t="shared" si="142"/>
        <v>0</v>
      </c>
    </row>
    <row r="973" spans="1:43">
      <c r="A973" s="24">
        <v>46140</v>
      </c>
      <c r="B973" s="23">
        <f t="shared" si="135"/>
        <v>46113</v>
      </c>
      <c r="C973" s="2" t="s">
        <v>66</v>
      </c>
      <c r="D973" s="2" t="s">
        <v>1540</v>
      </c>
      <c r="E973" s="2">
        <v>1767</v>
      </c>
      <c r="F973" s="2">
        <v>317</v>
      </c>
      <c r="G973" s="2">
        <v>317</v>
      </c>
      <c r="H973" s="2">
        <f t="shared" si="143"/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/>
      <c r="AJ973" s="2" t="s">
        <v>110</v>
      </c>
      <c r="AK973" s="2">
        <f t="shared" si="136"/>
        <v>0</v>
      </c>
      <c r="AL973" s="2">
        <f t="shared" si="137"/>
        <v>0</v>
      </c>
      <c r="AM973" s="2">
        <f t="shared" si="138"/>
        <v>0</v>
      </c>
      <c r="AN973" s="2">
        <f t="shared" si="139"/>
        <v>0</v>
      </c>
      <c r="AO973" s="2">
        <f t="shared" si="140"/>
        <v>0</v>
      </c>
      <c r="AP973" s="2">
        <f t="shared" si="141"/>
        <v>0</v>
      </c>
      <c r="AQ973" s="25">
        <f t="shared" si="142"/>
        <v>0</v>
      </c>
    </row>
    <row r="974" spans="1:43">
      <c r="A974" s="24">
        <v>46140</v>
      </c>
      <c r="B974" s="23">
        <f t="shared" si="135"/>
        <v>46113</v>
      </c>
      <c r="C974" s="2" t="s">
        <v>66</v>
      </c>
      <c r="D974" s="2" t="s">
        <v>1540</v>
      </c>
      <c r="E974" s="2">
        <v>1767</v>
      </c>
      <c r="F974" s="2">
        <v>50</v>
      </c>
      <c r="G974" s="2">
        <v>48</v>
      </c>
      <c r="H974" s="2">
        <f t="shared" si="143"/>
        <v>2</v>
      </c>
      <c r="I974" s="2">
        <v>0</v>
      </c>
      <c r="J974" s="2">
        <v>0</v>
      </c>
      <c r="K974" s="2">
        <v>2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/>
      <c r="AJ974" s="2" t="s">
        <v>110</v>
      </c>
      <c r="AK974" s="2">
        <f t="shared" si="136"/>
        <v>0</v>
      </c>
      <c r="AL974" s="2">
        <f t="shared" si="137"/>
        <v>2</v>
      </c>
      <c r="AM974" s="2">
        <f t="shared" si="138"/>
        <v>0</v>
      </c>
      <c r="AN974" s="2">
        <f t="shared" si="139"/>
        <v>0</v>
      </c>
      <c r="AO974" s="2">
        <f t="shared" si="140"/>
        <v>0</v>
      </c>
      <c r="AP974" s="2">
        <f t="shared" si="141"/>
        <v>0</v>
      </c>
      <c r="AQ974" s="25">
        <f t="shared" si="142"/>
        <v>0</v>
      </c>
    </row>
    <row r="975" spans="1:43">
      <c r="A975" s="24">
        <v>46140</v>
      </c>
      <c r="B975" s="23">
        <f t="shared" si="135"/>
        <v>46113</v>
      </c>
      <c r="C975" s="2" t="s">
        <v>66</v>
      </c>
      <c r="D975" s="2" t="s">
        <v>435</v>
      </c>
      <c r="E975" s="2">
        <v>2639</v>
      </c>
      <c r="F975" s="2">
        <v>512</v>
      </c>
      <c r="G975" s="2">
        <v>488</v>
      </c>
      <c r="H975" s="2">
        <f t="shared" si="143"/>
        <v>24</v>
      </c>
      <c r="I975" s="2">
        <v>2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21</v>
      </c>
      <c r="P975" s="2">
        <v>0</v>
      </c>
      <c r="Q975" s="2">
        <v>0</v>
      </c>
      <c r="R975" s="2">
        <v>1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/>
      <c r="AJ975" s="2" t="s">
        <v>110</v>
      </c>
      <c r="AK975" s="2">
        <f t="shared" si="136"/>
        <v>2</v>
      </c>
      <c r="AL975" s="2">
        <f t="shared" si="137"/>
        <v>22</v>
      </c>
      <c r="AM975" s="2">
        <f t="shared" si="138"/>
        <v>0</v>
      </c>
      <c r="AN975" s="2">
        <f t="shared" si="139"/>
        <v>0</v>
      </c>
      <c r="AO975" s="2">
        <f t="shared" si="140"/>
        <v>0</v>
      </c>
      <c r="AP975" s="2">
        <f t="shared" si="141"/>
        <v>0</v>
      </c>
      <c r="AQ975" s="25">
        <f t="shared" si="142"/>
        <v>0</v>
      </c>
    </row>
    <row r="976" spans="1:43">
      <c r="A976" s="24">
        <v>46140</v>
      </c>
      <c r="B976" s="23">
        <f t="shared" si="135"/>
        <v>46113</v>
      </c>
      <c r="C976" s="2" t="s">
        <v>66</v>
      </c>
      <c r="D976" s="2" t="s">
        <v>435</v>
      </c>
      <c r="E976" s="2">
        <v>2639</v>
      </c>
      <c r="F976" s="2">
        <v>512</v>
      </c>
      <c r="G976" s="2">
        <v>488</v>
      </c>
      <c r="H976" s="2">
        <f t="shared" si="143"/>
        <v>24</v>
      </c>
      <c r="I976" s="2">
        <v>2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21</v>
      </c>
      <c r="P976" s="2">
        <v>0</v>
      </c>
      <c r="Q976" s="2">
        <v>0</v>
      </c>
      <c r="R976" s="2">
        <v>1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/>
      <c r="AJ976" s="2" t="s">
        <v>110</v>
      </c>
      <c r="AK976" s="2">
        <f t="shared" si="136"/>
        <v>2</v>
      </c>
      <c r="AL976" s="2">
        <f t="shared" si="137"/>
        <v>22</v>
      </c>
      <c r="AM976" s="2">
        <f t="shared" si="138"/>
        <v>0</v>
      </c>
      <c r="AN976" s="2">
        <f t="shared" si="139"/>
        <v>0</v>
      </c>
      <c r="AO976" s="2">
        <f t="shared" si="140"/>
        <v>0</v>
      </c>
      <c r="AP976" s="2">
        <f t="shared" si="141"/>
        <v>0</v>
      </c>
      <c r="AQ976" s="25">
        <f t="shared" si="142"/>
        <v>0</v>
      </c>
    </row>
    <row r="977" spans="1:43">
      <c r="A977" s="24">
        <v>46140</v>
      </c>
      <c r="B977" s="23">
        <f t="shared" si="135"/>
        <v>46113</v>
      </c>
      <c r="C977" s="2" t="s">
        <v>66</v>
      </c>
      <c r="D977" s="2" t="s">
        <v>472</v>
      </c>
      <c r="E977" s="2">
        <v>1824</v>
      </c>
      <c r="F977" s="2">
        <v>37</v>
      </c>
      <c r="G977" s="2">
        <v>36</v>
      </c>
      <c r="H977" s="2">
        <f t="shared" si="143"/>
        <v>1</v>
      </c>
      <c r="I977" s="2">
        <v>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/>
      <c r="AJ977" s="2" t="s">
        <v>110</v>
      </c>
      <c r="AK977" s="2">
        <f t="shared" si="136"/>
        <v>1</v>
      </c>
      <c r="AL977" s="2">
        <f t="shared" si="137"/>
        <v>0</v>
      </c>
      <c r="AM977" s="2">
        <f t="shared" si="138"/>
        <v>0</v>
      </c>
      <c r="AN977" s="2">
        <f t="shared" si="139"/>
        <v>0</v>
      </c>
      <c r="AO977" s="2">
        <f t="shared" si="140"/>
        <v>0</v>
      </c>
      <c r="AP977" s="2">
        <f t="shared" si="141"/>
        <v>0</v>
      </c>
      <c r="AQ977" s="25">
        <f t="shared" si="142"/>
        <v>0</v>
      </c>
    </row>
    <row r="978" spans="1:43">
      <c r="A978" s="24">
        <v>46140</v>
      </c>
      <c r="B978" s="23">
        <f t="shared" si="135"/>
        <v>46113</v>
      </c>
      <c r="C978" s="2" t="s">
        <v>66</v>
      </c>
      <c r="D978" s="2" t="s">
        <v>428</v>
      </c>
      <c r="E978" s="2">
        <v>1824</v>
      </c>
      <c r="F978" s="2">
        <v>181</v>
      </c>
      <c r="G978" s="2">
        <v>180</v>
      </c>
      <c r="H978" s="2">
        <f t="shared" si="143"/>
        <v>1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1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/>
      <c r="AJ978" s="2" t="s">
        <v>110</v>
      </c>
      <c r="AK978" s="2">
        <f t="shared" si="136"/>
        <v>0</v>
      </c>
      <c r="AL978" s="2">
        <f t="shared" si="137"/>
        <v>1</v>
      </c>
      <c r="AM978" s="2">
        <f t="shared" si="138"/>
        <v>0</v>
      </c>
      <c r="AN978" s="2">
        <f t="shared" si="139"/>
        <v>0</v>
      </c>
      <c r="AO978" s="2">
        <f t="shared" si="140"/>
        <v>0</v>
      </c>
      <c r="AP978" s="2">
        <f t="shared" si="141"/>
        <v>0</v>
      </c>
      <c r="AQ978" s="25">
        <f t="shared" si="142"/>
        <v>0</v>
      </c>
    </row>
    <row r="979" spans="1:43">
      <c r="A979" s="24">
        <v>46140</v>
      </c>
      <c r="B979" s="23">
        <f t="shared" si="135"/>
        <v>46113</v>
      </c>
      <c r="C979" s="2" t="s">
        <v>66</v>
      </c>
      <c r="D979" s="2" t="s">
        <v>1540</v>
      </c>
      <c r="E979" s="2">
        <v>1767</v>
      </c>
      <c r="F979" s="2">
        <v>81</v>
      </c>
      <c r="G979" s="2">
        <v>75</v>
      </c>
      <c r="H979" s="2">
        <f t="shared" si="143"/>
        <v>6</v>
      </c>
      <c r="I979" s="2">
        <v>6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/>
      <c r="AJ979" s="2" t="s">
        <v>110</v>
      </c>
      <c r="AK979" s="2">
        <f t="shared" si="136"/>
        <v>6</v>
      </c>
      <c r="AL979" s="2">
        <f t="shared" si="137"/>
        <v>0</v>
      </c>
      <c r="AM979" s="2">
        <f t="shared" si="138"/>
        <v>0</v>
      </c>
      <c r="AN979" s="2">
        <f t="shared" si="139"/>
        <v>0</v>
      </c>
      <c r="AO979" s="2">
        <f t="shared" si="140"/>
        <v>0</v>
      </c>
      <c r="AP979" s="2">
        <f t="shared" si="141"/>
        <v>0</v>
      </c>
      <c r="AQ979" s="25">
        <f t="shared" si="142"/>
        <v>0</v>
      </c>
    </row>
    <row r="980" spans="1:43">
      <c r="A980" s="24">
        <v>46140</v>
      </c>
      <c r="B980" s="23">
        <f t="shared" si="135"/>
        <v>46113</v>
      </c>
      <c r="C980" s="2" t="s">
        <v>97</v>
      </c>
      <c r="D980" s="2" t="s">
        <v>543</v>
      </c>
      <c r="E980" s="2">
        <v>1884</v>
      </c>
      <c r="F980" s="2">
        <v>24</v>
      </c>
      <c r="G980" s="2">
        <v>21</v>
      </c>
      <c r="H980" s="2">
        <f t="shared" si="143"/>
        <v>3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3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/>
      <c r="AJ980" s="2" t="s">
        <v>110</v>
      </c>
      <c r="AK980" s="2">
        <f t="shared" si="136"/>
        <v>0</v>
      </c>
      <c r="AL980" s="2">
        <f t="shared" si="137"/>
        <v>0</v>
      </c>
      <c r="AM980" s="2">
        <f t="shared" si="138"/>
        <v>0</v>
      </c>
      <c r="AN980" s="2">
        <f t="shared" si="139"/>
        <v>0</v>
      </c>
      <c r="AO980" s="2">
        <f t="shared" si="140"/>
        <v>3</v>
      </c>
      <c r="AP980" s="2">
        <f t="shared" si="141"/>
        <v>0</v>
      </c>
      <c r="AQ980" s="25">
        <f t="shared" si="142"/>
        <v>0</v>
      </c>
    </row>
    <row r="981" spans="1:43">
      <c r="A981" s="24">
        <v>46140</v>
      </c>
      <c r="B981" s="23">
        <f t="shared" si="135"/>
        <v>46113</v>
      </c>
      <c r="C981" s="2" t="s">
        <v>95</v>
      </c>
      <c r="D981" s="2" t="s">
        <v>558</v>
      </c>
      <c r="E981" s="2">
        <v>2577</v>
      </c>
      <c r="F981" s="2">
        <v>246</v>
      </c>
      <c r="G981" s="2">
        <v>245</v>
      </c>
      <c r="H981" s="2">
        <f t="shared" si="143"/>
        <v>1</v>
      </c>
      <c r="I981" s="2">
        <v>1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/>
      <c r="AJ981" s="2" t="s">
        <v>1567</v>
      </c>
      <c r="AK981" s="2">
        <f t="shared" si="136"/>
        <v>1</v>
      </c>
      <c r="AL981" s="2">
        <f t="shared" si="137"/>
        <v>0</v>
      </c>
      <c r="AM981" s="2">
        <f t="shared" si="138"/>
        <v>0</v>
      </c>
      <c r="AN981" s="2">
        <f t="shared" si="139"/>
        <v>0</v>
      </c>
      <c r="AO981" s="2">
        <f t="shared" si="140"/>
        <v>0</v>
      </c>
      <c r="AP981" s="2">
        <f t="shared" si="141"/>
        <v>0</v>
      </c>
      <c r="AQ981" s="25">
        <f t="shared" si="142"/>
        <v>0</v>
      </c>
    </row>
    <row r="982" spans="1:43">
      <c r="A982" s="24">
        <v>46140</v>
      </c>
      <c r="B982" s="23">
        <f t="shared" si="135"/>
        <v>46113</v>
      </c>
      <c r="C982" s="2" t="s">
        <v>46</v>
      </c>
      <c r="D982" s="2" t="s">
        <v>510</v>
      </c>
      <c r="E982" s="2">
        <v>2649</v>
      </c>
      <c r="F982" s="2">
        <v>117</v>
      </c>
      <c r="G982" s="2">
        <v>117</v>
      </c>
      <c r="H982" s="2">
        <f t="shared" si="143"/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/>
      <c r="AJ982" s="2" t="s">
        <v>1567</v>
      </c>
      <c r="AK982" s="2">
        <f t="shared" si="136"/>
        <v>0</v>
      </c>
      <c r="AL982" s="2">
        <f t="shared" si="137"/>
        <v>0</v>
      </c>
      <c r="AM982" s="2">
        <f t="shared" si="138"/>
        <v>0</v>
      </c>
      <c r="AN982" s="2">
        <f t="shared" si="139"/>
        <v>0</v>
      </c>
      <c r="AO982" s="2">
        <f t="shared" si="140"/>
        <v>0</v>
      </c>
      <c r="AP982" s="2">
        <f t="shared" si="141"/>
        <v>0</v>
      </c>
      <c r="AQ982" s="25">
        <f t="shared" si="142"/>
        <v>0</v>
      </c>
    </row>
    <row r="983" spans="1:43">
      <c r="A983" s="24">
        <v>46140</v>
      </c>
      <c r="B983" s="23">
        <f t="shared" si="135"/>
        <v>46113</v>
      </c>
      <c r="C983" s="2" t="s">
        <v>46</v>
      </c>
      <c r="D983" s="2" t="s">
        <v>511</v>
      </c>
      <c r="E983" s="2">
        <v>2649</v>
      </c>
      <c r="F983" s="2">
        <v>109</v>
      </c>
      <c r="G983" s="2">
        <v>109</v>
      </c>
      <c r="H983" s="2">
        <f t="shared" si="143"/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/>
      <c r="AJ983" s="2" t="s">
        <v>1567</v>
      </c>
      <c r="AK983" s="2">
        <f t="shared" si="136"/>
        <v>0</v>
      </c>
      <c r="AL983" s="2">
        <f t="shared" si="137"/>
        <v>0</v>
      </c>
      <c r="AM983" s="2">
        <f t="shared" si="138"/>
        <v>0</v>
      </c>
      <c r="AN983" s="2">
        <f t="shared" si="139"/>
        <v>0</v>
      </c>
      <c r="AO983" s="2">
        <f t="shared" si="140"/>
        <v>0</v>
      </c>
      <c r="AP983" s="2">
        <f t="shared" si="141"/>
        <v>0</v>
      </c>
      <c r="AQ983" s="25">
        <f t="shared" si="142"/>
        <v>0</v>
      </c>
    </row>
    <row r="984" spans="1:43">
      <c r="A984" s="24">
        <v>46140</v>
      </c>
      <c r="B984" s="23">
        <f t="shared" si="135"/>
        <v>46113</v>
      </c>
      <c r="C984" s="2" t="s">
        <v>46</v>
      </c>
      <c r="D984" s="2" t="s">
        <v>584</v>
      </c>
      <c r="E984" s="2">
        <v>2761</v>
      </c>
      <c r="F984" s="2">
        <v>155</v>
      </c>
      <c r="G984" s="2">
        <v>155</v>
      </c>
      <c r="H984" s="2">
        <f t="shared" si="143"/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/>
      <c r="AJ984" s="2" t="s">
        <v>1567</v>
      </c>
      <c r="AK984" s="2">
        <f t="shared" si="136"/>
        <v>0</v>
      </c>
      <c r="AL984" s="2">
        <f t="shared" si="137"/>
        <v>0</v>
      </c>
      <c r="AM984" s="2">
        <f t="shared" si="138"/>
        <v>0</v>
      </c>
      <c r="AN984" s="2">
        <f t="shared" si="139"/>
        <v>0</v>
      </c>
      <c r="AO984" s="2">
        <f t="shared" si="140"/>
        <v>0</v>
      </c>
      <c r="AP984" s="2">
        <f t="shared" si="141"/>
        <v>0</v>
      </c>
      <c r="AQ984" s="25">
        <f t="shared" si="142"/>
        <v>0</v>
      </c>
    </row>
    <row r="985" spans="1:43">
      <c r="A985" s="24">
        <v>46140</v>
      </c>
      <c r="B985" s="23">
        <f t="shared" si="135"/>
        <v>46113</v>
      </c>
      <c r="C985" s="2" t="s">
        <v>46</v>
      </c>
      <c r="D985" s="2" t="s">
        <v>1532</v>
      </c>
      <c r="E985" s="2">
        <v>2659</v>
      </c>
      <c r="F985" s="2">
        <v>110</v>
      </c>
      <c r="G985" s="2">
        <v>110</v>
      </c>
      <c r="H985" s="2">
        <f t="shared" si="143"/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/>
      <c r="AJ985" s="2" t="s">
        <v>1567</v>
      </c>
      <c r="AK985" s="2">
        <f t="shared" si="136"/>
        <v>0</v>
      </c>
      <c r="AL985" s="2">
        <f t="shared" si="137"/>
        <v>0</v>
      </c>
      <c r="AM985" s="2">
        <f t="shared" si="138"/>
        <v>0</v>
      </c>
      <c r="AN985" s="2">
        <f t="shared" si="139"/>
        <v>0</v>
      </c>
      <c r="AO985" s="2">
        <f t="shared" si="140"/>
        <v>0</v>
      </c>
      <c r="AP985" s="2">
        <f t="shared" si="141"/>
        <v>0</v>
      </c>
      <c r="AQ985" s="25">
        <f t="shared" si="142"/>
        <v>0</v>
      </c>
    </row>
    <row r="986" spans="1:43">
      <c r="A986" s="24">
        <v>46140</v>
      </c>
      <c r="B986" s="23">
        <f t="shared" si="135"/>
        <v>46113</v>
      </c>
      <c r="C986" s="2" t="s">
        <v>63</v>
      </c>
      <c r="D986" s="2" t="s">
        <v>508</v>
      </c>
      <c r="E986" s="2">
        <v>2565</v>
      </c>
      <c r="F986" s="2">
        <v>32</v>
      </c>
      <c r="G986" s="2">
        <v>32</v>
      </c>
      <c r="H986" s="2">
        <f t="shared" si="143"/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/>
      <c r="AJ986" s="2" t="s">
        <v>1567</v>
      </c>
      <c r="AK986" s="2">
        <f t="shared" si="136"/>
        <v>0</v>
      </c>
      <c r="AL986" s="2">
        <f t="shared" si="137"/>
        <v>0</v>
      </c>
      <c r="AM986" s="2">
        <f t="shared" si="138"/>
        <v>0</v>
      </c>
      <c r="AN986" s="2">
        <f t="shared" si="139"/>
        <v>0</v>
      </c>
      <c r="AO986" s="2">
        <f t="shared" si="140"/>
        <v>0</v>
      </c>
      <c r="AP986" s="2">
        <f t="shared" si="141"/>
        <v>0</v>
      </c>
      <c r="AQ986" s="25">
        <f t="shared" si="142"/>
        <v>0</v>
      </c>
    </row>
    <row r="987" spans="1:43">
      <c r="A987" s="24">
        <v>46140</v>
      </c>
      <c r="B987" s="23">
        <f t="shared" si="135"/>
        <v>46113</v>
      </c>
      <c r="C987" s="2" t="s">
        <v>63</v>
      </c>
      <c r="D987" s="2" t="s">
        <v>1452</v>
      </c>
      <c r="E987" s="2">
        <v>2480</v>
      </c>
      <c r="F987" s="2">
        <v>32</v>
      </c>
      <c r="G987" s="2">
        <v>32</v>
      </c>
      <c r="H987" s="2">
        <f t="shared" si="143"/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/>
      <c r="AJ987" s="2" t="s">
        <v>1567</v>
      </c>
      <c r="AK987" s="2">
        <f t="shared" si="136"/>
        <v>0</v>
      </c>
      <c r="AL987" s="2">
        <f t="shared" si="137"/>
        <v>0</v>
      </c>
      <c r="AM987" s="2">
        <f t="shared" si="138"/>
        <v>0</v>
      </c>
      <c r="AN987" s="2">
        <f t="shared" si="139"/>
        <v>0</v>
      </c>
      <c r="AO987" s="2">
        <f t="shared" si="140"/>
        <v>0</v>
      </c>
      <c r="AP987" s="2">
        <f t="shared" si="141"/>
        <v>0</v>
      </c>
      <c r="AQ987" s="25">
        <f t="shared" si="142"/>
        <v>0</v>
      </c>
    </row>
    <row r="988" spans="1:43">
      <c r="A988" s="24">
        <v>46140</v>
      </c>
      <c r="B988" s="23">
        <f t="shared" si="135"/>
        <v>46113</v>
      </c>
      <c r="C988" s="2" t="s">
        <v>63</v>
      </c>
      <c r="D988" s="2" t="s">
        <v>1382</v>
      </c>
      <c r="E988" s="2">
        <v>2480</v>
      </c>
      <c r="F988" s="2">
        <v>20</v>
      </c>
      <c r="G988" s="2">
        <v>20</v>
      </c>
      <c r="H988" s="2">
        <f t="shared" si="143"/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/>
      <c r="AJ988" s="2" t="s">
        <v>1567</v>
      </c>
      <c r="AK988" s="2">
        <f t="shared" si="136"/>
        <v>0</v>
      </c>
      <c r="AL988" s="2">
        <f t="shared" si="137"/>
        <v>0</v>
      </c>
      <c r="AM988" s="2">
        <f t="shared" si="138"/>
        <v>0</v>
      </c>
      <c r="AN988" s="2">
        <f t="shared" si="139"/>
        <v>0</v>
      </c>
      <c r="AO988" s="2">
        <f t="shared" si="140"/>
        <v>0</v>
      </c>
      <c r="AP988" s="2">
        <f t="shared" si="141"/>
        <v>0</v>
      </c>
      <c r="AQ988" s="25">
        <f t="shared" si="142"/>
        <v>0</v>
      </c>
    </row>
    <row r="989" spans="1:43">
      <c r="A989" s="24">
        <v>46140</v>
      </c>
      <c r="B989" s="23">
        <f t="shared" si="135"/>
        <v>46113</v>
      </c>
      <c r="C989" s="2" t="s">
        <v>46</v>
      </c>
      <c r="D989" s="2" t="s">
        <v>1533</v>
      </c>
      <c r="E989" s="2">
        <v>2659</v>
      </c>
      <c r="F989" s="2">
        <v>110</v>
      </c>
      <c r="G989" s="2">
        <v>110</v>
      </c>
      <c r="H989" s="2">
        <f t="shared" si="143"/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/>
      <c r="AJ989" s="2" t="s">
        <v>1567</v>
      </c>
      <c r="AK989" s="2">
        <f t="shared" si="136"/>
        <v>0</v>
      </c>
      <c r="AL989" s="2">
        <f t="shared" si="137"/>
        <v>0</v>
      </c>
      <c r="AM989" s="2">
        <f t="shared" si="138"/>
        <v>0</v>
      </c>
      <c r="AN989" s="2">
        <f t="shared" si="139"/>
        <v>0</v>
      </c>
      <c r="AO989" s="2">
        <f t="shared" si="140"/>
        <v>0</v>
      </c>
      <c r="AP989" s="2">
        <f t="shared" si="141"/>
        <v>0</v>
      </c>
      <c r="AQ989" s="25">
        <f t="shared" si="142"/>
        <v>0</v>
      </c>
    </row>
    <row r="990" spans="1:43">
      <c r="A990" s="24">
        <v>46140</v>
      </c>
      <c r="B990" s="23">
        <f t="shared" si="135"/>
        <v>46113</v>
      </c>
      <c r="C990" s="2" t="s">
        <v>46</v>
      </c>
      <c r="D990" s="2" t="s">
        <v>1532</v>
      </c>
      <c r="E990" s="2">
        <v>2659</v>
      </c>
      <c r="F990" s="2">
        <v>255</v>
      </c>
      <c r="G990" s="2">
        <v>249</v>
      </c>
      <c r="H990" s="2">
        <f t="shared" si="143"/>
        <v>6</v>
      </c>
      <c r="I990" s="2">
        <v>2</v>
      </c>
      <c r="J990" s="2">
        <v>0</v>
      </c>
      <c r="K990" s="2">
        <v>4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/>
      <c r="AJ990" s="2" t="s">
        <v>1567</v>
      </c>
      <c r="AK990" s="2">
        <f t="shared" si="136"/>
        <v>2</v>
      </c>
      <c r="AL990" s="2">
        <f t="shared" si="137"/>
        <v>4</v>
      </c>
      <c r="AM990" s="2">
        <f t="shared" si="138"/>
        <v>0</v>
      </c>
      <c r="AN990" s="2">
        <f t="shared" si="139"/>
        <v>0</v>
      </c>
      <c r="AO990" s="2">
        <f t="shared" si="140"/>
        <v>0</v>
      </c>
      <c r="AP990" s="2">
        <f t="shared" si="141"/>
        <v>0</v>
      </c>
      <c r="AQ990" s="25">
        <f t="shared" si="142"/>
        <v>0</v>
      </c>
    </row>
    <row r="991" spans="1:43">
      <c r="A991" s="24">
        <v>46140</v>
      </c>
      <c r="B991" s="23">
        <f t="shared" si="135"/>
        <v>46113</v>
      </c>
      <c r="C991" s="2" t="s">
        <v>46</v>
      </c>
      <c r="D991" s="2" t="s">
        <v>492</v>
      </c>
      <c r="E991" s="2">
        <v>1877</v>
      </c>
      <c r="F991" s="2">
        <v>265</v>
      </c>
      <c r="G991" s="2">
        <v>265</v>
      </c>
      <c r="H991" s="2">
        <f t="shared" si="143"/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/>
      <c r="AJ991" s="2" t="s">
        <v>1567</v>
      </c>
      <c r="AK991" s="2">
        <f t="shared" si="136"/>
        <v>0</v>
      </c>
      <c r="AL991" s="2">
        <f t="shared" si="137"/>
        <v>0</v>
      </c>
      <c r="AM991" s="2">
        <f t="shared" si="138"/>
        <v>0</v>
      </c>
      <c r="AN991" s="2">
        <f t="shared" si="139"/>
        <v>0</v>
      </c>
      <c r="AO991" s="2">
        <f t="shared" si="140"/>
        <v>0</v>
      </c>
      <c r="AP991" s="2">
        <f t="shared" si="141"/>
        <v>0</v>
      </c>
      <c r="AQ991" s="25">
        <f t="shared" si="142"/>
        <v>0</v>
      </c>
    </row>
    <row r="992" spans="1:43">
      <c r="A992" s="24">
        <v>46140</v>
      </c>
      <c r="B992" s="23">
        <f t="shared" si="135"/>
        <v>46113</v>
      </c>
      <c r="C992" s="2" t="s">
        <v>95</v>
      </c>
      <c r="D992" s="2" t="s">
        <v>583</v>
      </c>
      <c r="E992" s="2">
        <v>2667</v>
      </c>
      <c r="F992" s="2">
        <v>173</v>
      </c>
      <c r="G992" s="2">
        <v>173</v>
      </c>
      <c r="H992" s="2">
        <f t="shared" si="143"/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/>
      <c r="AJ992" s="2" t="s">
        <v>1567</v>
      </c>
      <c r="AK992" s="2">
        <f t="shared" si="136"/>
        <v>0</v>
      </c>
      <c r="AL992" s="2">
        <f t="shared" si="137"/>
        <v>0</v>
      </c>
      <c r="AM992" s="2">
        <f t="shared" si="138"/>
        <v>0</v>
      </c>
      <c r="AN992" s="2">
        <f t="shared" si="139"/>
        <v>0</v>
      </c>
      <c r="AO992" s="2">
        <f t="shared" si="140"/>
        <v>0</v>
      </c>
      <c r="AP992" s="2">
        <f t="shared" si="141"/>
        <v>0</v>
      </c>
      <c r="AQ992" s="25">
        <f t="shared" si="142"/>
        <v>0</v>
      </c>
    </row>
    <row r="993" spans="1:43">
      <c r="A993" s="24">
        <v>46140</v>
      </c>
      <c r="B993" s="23">
        <f t="shared" si="135"/>
        <v>46113</v>
      </c>
      <c r="C993" s="2" t="s">
        <v>46</v>
      </c>
      <c r="D993" s="2" t="s">
        <v>1190</v>
      </c>
      <c r="E993" s="2">
        <v>2774</v>
      </c>
      <c r="F993" s="2">
        <v>176</v>
      </c>
      <c r="G993" s="2">
        <v>169</v>
      </c>
      <c r="H993" s="2">
        <f t="shared" si="143"/>
        <v>7</v>
      </c>
      <c r="I993" s="2">
        <v>7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/>
      <c r="AJ993" s="2" t="s">
        <v>1567</v>
      </c>
      <c r="AK993" s="2">
        <f t="shared" si="136"/>
        <v>7</v>
      </c>
      <c r="AL993" s="2">
        <f t="shared" si="137"/>
        <v>0</v>
      </c>
      <c r="AM993" s="2">
        <f t="shared" si="138"/>
        <v>0</v>
      </c>
      <c r="AN993" s="2">
        <f t="shared" si="139"/>
        <v>0</v>
      </c>
      <c r="AO993" s="2">
        <f t="shared" si="140"/>
        <v>0</v>
      </c>
      <c r="AP993" s="2">
        <f t="shared" si="141"/>
        <v>0</v>
      </c>
      <c r="AQ993" s="25">
        <f t="shared" si="142"/>
        <v>0</v>
      </c>
    </row>
    <row r="994" spans="1:43">
      <c r="A994" s="24">
        <v>46140</v>
      </c>
      <c r="B994" s="23">
        <f t="shared" si="135"/>
        <v>46113</v>
      </c>
      <c r="C994" s="2" t="s">
        <v>133</v>
      </c>
      <c r="D994" s="2" t="s">
        <v>1493</v>
      </c>
      <c r="E994" s="2">
        <v>95232</v>
      </c>
      <c r="F994" s="2">
        <v>85</v>
      </c>
      <c r="G994" s="2">
        <v>77</v>
      </c>
      <c r="H994" s="2">
        <f t="shared" si="143"/>
        <v>8</v>
      </c>
      <c r="I994" s="2">
        <v>7</v>
      </c>
      <c r="J994" s="2">
        <v>0</v>
      </c>
      <c r="K994" s="2">
        <v>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/>
      <c r="AJ994" s="2" t="s">
        <v>1566</v>
      </c>
      <c r="AK994" s="2">
        <f t="shared" si="136"/>
        <v>7</v>
      </c>
      <c r="AL994" s="2">
        <f t="shared" si="137"/>
        <v>1</v>
      </c>
      <c r="AM994" s="2">
        <f t="shared" si="138"/>
        <v>0</v>
      </c>
      <c r="AN994" s="2">
        <f t="shared" si="139"/>
        <v>0</v>
      </c>
      <c r="AO994" s="2">
        <f t="shared" si="140"/>
        <v>0</v>
      </c>
      <c r="AP994" s="2">
        <f t="shared" si="141"/>
        <v>0</v>
      </c>
      <c r="AQ994" s="25">
        <f t="shared" si="142"/>
        <v>0</v>
      </c>
    </row>
    <row r="995" spans="1:43">
      <c r="A995" s="24">
        <v>46140</v>
      </c>
      <c r="B995" s="23">
        <f t="shared" si="135"/>
        <v>46113</v>
      </c>
      <c r="C995" s="2" t="s">
        <v>1484</v>
      </c>
      <c r="D995" s="2" t="s">
        <v>1540</v>
      </c>
      <c r="E995" s="2">
        <v>1767</v>
      </c>
      <c r="F995" s="2">
        <v>1035</v>
      </c>
      <c r="G995" s="2">
        <v>1008</v>
      </c>
      <c r="H995" s="2">
        <f t="shared" si="143"/>
        <v>27</v>
      </c>
      <c r="I995" s="2">
        <v>16</v>
      </c>
      <c r="J995" s="2">
        <v>2</v>
      </c>
      <c r="K995" s="2">
        <v>1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1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7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/>
      <c r="AJ995" s="2" t="s">
        <v>1566</v>
      </c>
      <c r="AK995" s="2">
        <f t="shared" si="136"/>
        <v>16</v>
      </c>
      <c r="AL995" s="2">
        <f t="shared" si="137"/>
        <v>4</v>
      </c>
      <c r="AM995" s="2">
        <f t="shared" si="138"/>
        <v>7</v>
      </c>
      <c r="AN995" s="2">
        <f t="shared" si="139"/>
        <v>0</v>
      </c>
      <c r="AO995" s="2">
        <f t="shared" si="140"/>
        <v>0</v>
      </c>
      <c r="AP995" s="2">
        <f t="shared" si="141"/>
        <v>0</v>
      </c>
      <c r="AQ995" s="25">
        <f t="shared" si="142"/>
        <v>0</v>
      </c>
    </row>
    <row r="996" spans="1:43">
      <c r="A996" s="24">
        <v>46141</v>
      </c>
      <c r="B996" s="23">
        <f t="shared" si="135"/>
        <v>46113</v>
      </c>
      <c r="C996" s="2" t="s">
        <v>160</v>
      </c>
      <c r="D996" s="2" t="s">
        <v>581</v>
      </c>
      <c r="E996" s="2">
        <v>2773</v>
      </c>
      <c r="F996" s="2">
        <v>766</v>
      </c>
      <c r="G996" s="2">
        <v>759</v>
      </c>
      <c r="H996" s="2">
        <f t="shared" si="143"/>
        <v>7</v>
      </c>
      <c r="I996" s="2">
        <v>5</v>
      </c>
      <c r="J996" s="2">
        <v>0</v>
      </c>
      <c r="K996" s="2">
        <v>2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/>
      <c r="AJ996" s="2" t="s">
        <v>77</v>
      </c>
      <c r="AK996" s="2">
        <f t="shared" si="136"/>
        <v>5</v>
      </c>
      <c r="AL996" s="2">
        <f t="shared" si="137"/>
        <v>2</v>
      </c>
      <c r="AM996" s="2">
        <f t="shared" si="138"/>
        <v>0</v>
      </c>
      <c r="AN996" s="2">
        <f t="shared" si="139"/>
        <v>0</v>
      </c>
      <c r="AO996" s="2">
        <f t="shared" si="140"/>
        <v>0</v>
      </c>
      <c r="AP996" s="2">
        <f t="shared" si="141"/>
        <v>0</v>
      </c>
      <c r="AQ996" s="25">
        <f t="shared" si="142"/>
        <v>0</v>
      </c>
    </row>
    <row r="997" spans="1:43">
      <c r="A997" s="24">
        <v>46141</v>
      </c>
      <c r="B997" s="23">
        <f t="shared" si="135"/>
        <v>46113</v>
      </c>
      <c r="C997" s="2" t="s">
        <v>62</v>
      </c>
      <c r="D997" s="2" t="s">
        <v>565</v>
      </c>
      <c r="E997" s="2">
        <v>1806</v>
      </c>
      <c r="F997" s="2">
        <v>37</v>
      </c>
      <c r="G997" s="2">
        <v>37</v>
      </c>
      <c r="H997" s="2">
        <f t="shared" si="143"/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/>
      <c r="AJ997" s="2" t="s">
        <v>77</v>
      </c>
      <c r="AK997" s="2">
        <f t="shared" si="136"/>
        <v>0</v>
      </c>
      <c r="AL997" s="2">
        <f t="shared" si="137"/>
        <v>0</v>
      </c>
      <c r="AM997" s="2">
        <f t="shared" si="138"/>
        <v>0</v>
      </c>
      <c r="AN997" s="2">
        <f t="shared" si="139"/>
        <v>0</v>
      </c>
      <c r="AO997" s="2">
        <f t="shared" si="140"/>
        <v>0</v>
      </c>
      <c r="AP997" s="2">
        <f t="shared" si="141"/>
        <v>0</v>
      </c>
      <c r="AQ997" s="25">
        <f t="shared" si="142"/>
        <v>0</v>
      </c>
    </row>
    <row r="998" spans="1:43">
      <c r="A998" s="24">
        <v>46141</v>
      </c>
      <c r="B998" s="23">
        <f t="shared" si="135"/>
        <v>46113</v>
      </c>
      <c r="C998" s="2" t="s">
        <v>55</v>
      </c>
      <c r="D998" s="2" t="s">
        <v>431</v>
      </c>
      <c r="E998" s="2">
        <v>1806</v>
      </c>
      <c r="F998" s="2">
        <v>520</v>
      </c>
      <c r="G998" s="2">
        <v>508</v>
      </c>
      <c r="H998" s="2">
        <f t="shared" si="143"/>
        <v>12</v>
      </c>
      <c r="I998" s="2">
        <v>12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/>
      <c r="AJ998" s="2" t="s">
        <v>77</v>
      </c>
      <c r="AK998" s="2">
        <f t="shared" si="136"/>
        <v>12</v>
      </c>
      <c r="AL998" s="2">
        <f t="shared" si="137"/>
        <v>0</v>
      </c>
      <c r="AM998" s="2">
        <f t="shared" si="138"/>
        <v>0</v>
      </c>
      <c r="AN998" s="2">
        <f t="shared" si="139"/>
        <v>0</v>
      </c>
      <c r="AO998" s="2">
        <f t="shared" si="140"/>
        <v>0</v>
      </c>
      <c r="AP998" s="2">
        <f t="shared" si="141"/>
        <v>0</v>
      </c>
      <c r="AQ998" s="25">
        <f t="shared" si="142"/>
        <v>0</v>
      </c>
    </row>
    <row r="999" spans="1:43">
      <c r="A999" s="24">
        <v>46141</v>
      </c>
      <c r="B999" s="23">
        <f t="shared" si="135"/>
        <v>46113</v>
      </c>
      <c r="C999" s="2" t="s">
        <v>133</v>
      </c>
      <c r="D999" s="2" t="s">
        <v>1482</v>
      </c>
      <c r="E999" s="2">
        <v>95225</v>
      </c>
      <c r="F999" s="2">
        <v>133</v>
      </c>
      <c r="G999" s="2">
        <v>132</v>
      </c>
      <c r="H999" s="2">
        <f t="shared" si="143"/>
        <v>1</v>
      </c>
      <c r="I999" s="2">
        <v>0</v>
      </c>
      <c r="J999" s="2">
        <v>0</v>
      </c>
      <c r="K999" s="2">
        <v>0</v>
      </c>
      <c r="L999" s="2">
        <v>0</v>
      </c>
      <c r="M999" s="2">
        <v>1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/>
      <c r="AJ999" s="2" t="s">
        <v>80</v>
      </c>
      <c r="AK999" s="2">
        <f t="shared" si="136"/>
        <v>0</v>
      </c>
      <c r="AL999" s="2">
        <f t="shared" si="137"/>
        <v>1</v>
      </c>
      <c r="AM999" s="2">
        <f t="shared" si="138"/>
        <v>0</v>
      </c>
      <c r="AN999" s="2">
        <f t="shared" si="139"/>
        <v>0</v>
      </c>
      <c r="AO999" s="2">
        <f t="shared" si="140"/>
        <v>0</v>
      </c>
      <c r="AP999" s="2">
        <f t="shared" si="141"/>
        <v>0</v>
      </c>
      <c r="AQ999" s="25">
        <f t="shared" si="142"/>
        <v>0</v>
      </c>
    </row>
    <row r="1000" spans="1:43">
      <c r="A1000" s="24">
        <v>46141</v>
      </c>
      <c r="B1000" s="23">
        <f t="shared" si="135"/>
        <v>46113</v>
      </c>
      <c r="C1000" s="2" t="s">
        <v>133</v>
      </c>
      <c r="D1000" s="2" t="s">
        <v>1540</v>
      </c>
      <c r="E1000" s="2">
        <v>1767</v>
      </c>
      <c r="F1000" s="2">
        <v>245</v>
      </c>
      <c r="G1000" s="2">
        <v>245</v>
      </c>
      <c r="H1000" s="2">
        <f t="shared" si="143"/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/>
      <c r="AJ1000" s="2" t="s">
        <v>80</v>
      </c>
      <c r="AK1000" s="2">
        <f t="shared" si="136"/>
        <v>0</v>
      </c>
      <c r="AL1000" s="2">
        <f t="shared" si="137"/>
        <v>0</v>
      </c>
      <c r="AM1000" s="2">
        <f t="shared" si="138"/>
        <v>0</v>
      </c>
      <c r="AN1000" s="2">
        <f t="shared" si="139"/>
        <v>0</v>
      </c>
      <c r="AO1000" s="2">
        <f t="shared" si="140"/>
        <v>0</v>
      </c>
      <c r="AP1000" s="2">
        <f t="shared" si="141"/>
        <v>0</v>
      </c>
      <c r="AQ1000" s="25">
        <f t="shared" si="142"/>
        <v>0</v>
      </c>
    </row>
    <row r="1001" spans="1:43">
      <c r="A1001" s="24">
        <v>46141</v>
      </c>
      <c r="B1001" s="23">
        <f t="shared" si="135"/>
        <v>46113</v>
      </c>
      <c r="C1001" s="2" t="s">
        <v>62</v>
      </c>
      <c r="D1001" s="2" t="s">
        <v>531</v>
      </c>
      <c r="E1001" s="2">
        <v>2606</v>
      </c>
      <c r="F1001" s="2">
        <v>86</v>
      </c>
      <c r="G1001" s="2">
        <v>85</v>
      </c>
      <c r="H1001" s="2">
        <f t="shared" si="143"/>
        <v>1</v>
      </c>
      <c r="I1001" s="2">
        <v>1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/>
      <c r="AJ1001" s="2" t="s">
        <v>80</v>
      </c>
      <c r="AK1001" s="2">
        <f t="shared" si="136"/>
        <v>1</v>
      </c>
      <c r="AL1001" s="2">
        <f t="shared" si="137"/>
        <v>0</v>
      </c>
      <c r="AM1001" s="2">
        <f t="shared" si="138"/>
        <v>0</v>
      </c>
      <c r="AN1001" s="2">
        <f t="shared" si="139"/>
        <v>0</v>
      </c>
      <c r="AO1001" s="2">
        <f t="shared" si="140"/>
        <v>0</v>
      </c>
      <c r="AP1001" s="2">
        <f t="shared" si="141"/>
        <v>0</v>
      </c>
      <c r="AQ1001" s="25">
        <f t="shared" si="142"/>
        <v>0</v>
      </c>
    </row>
    <row r="1002" spans="1:43">
      <c r="A1002" s="24">
        <v>46141</v>
      </c>
      <c r="B1002" s="23">
        <f t="shared" si="135"/>
        <v>46113</v>
      </c>
      <c r="C1002" s="2" t="s">
        <v>63</v>
      </c>
      <c r="D1002" s="2" t="s">
        <v>455</v>
      </c>
      <c r="E1002" s="2">
        <v>2725</v>
      </c>
      <c r="F1002" s="2">
        <v>477</v>
      </c>
      <c r="G1002" s="2">
        <v>454</v>
      </c>
      <c r="H1002" s="2">
        <f t="shared" si="143"/>
        <v>23</v>
      </c>
      <c r="I1002" s="2">
        <v>4</v>
      </c>
      <c r="J1002" s="2">
        <v>0</v>
      </c>
      <c r="K1002" s="2">
        <v>0</v>
      </c>
      <c r="L1002" s="2">
        <v>0</v>
      </c>
      <c r="M1002" s="2">
        <v>12</v>
      </c>
      <c r="N1002" s="2">
        <v>0</v>
      </c>
      <c r="O1002" s="2">
        <v>1</v>
      </c>
      <c r="P1002" s="2">
        <v>0</v>
      </c>
      <c r="Q1002" s="2">
        <v>4</v>
      </c>
      <c r="R1002" s="2">
        <v>1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1</v>
      </c>
      <c r="AF1002" s="2">
        <v>0</v>
      </c>
      <c r="AG1002" s="2">
        <v>0</v>
      </c>
      <c r="AH1002" s="2">
        <v>0</v>
      </c>
      <c r="AI1002" s="2"/>
      <c r="AJ1002" s="2" t="s">
        <v>80</v>
      </c>
      <c r="AK1002" s="2">
        <f t="shared" si="136"/>
        <v>4</v>
      </c>
      <c r="AL1002" s="2">
        <f t="shared" si="137"/>
        <v>18</v>
      </c>
      <c r="AM1002" s="2">
        <f t="shared" si="138"/>
        <v>0</v>
      </c>
      <c r="AN1002" s="2">
        <f t="shared" si="139"/>
        <v>0</v>
      </c>
      <c r="AO1002" s="2">
        <f t="shared" si="140"/>
        <v>0</v>
      </c>
      <c r="AP1002" s="2">
        <f t="shared" si="141"/>
        <v>0</v>
      </c>
      <c r="AQ1002" s="25">
        <f t="shared" si="142"/>
        <v>1</v>
      </c>
    </row>
    <row r="1003" spans="1:43">
      <c r="A1003" s="24">
        <v>46141</v>
      </c>
      <c r="B1003" s="23">
        <f t="shared" si="135"/>
        <v>46113</v>
      </c>
      <c r="C1003" s="2" t="s">
        <v>95</v>
      </c>
      <c r="D1003" s="2" t="s">
        <v>558</v>
      </c>
      <c r="E1003" s="2">
        <v>2577</v>
      </c>
      <c r="F1003" s="2">
        <v>186</v>
      </c>
      <c r="G1003" s="2">
        <v>186</v>
      </c>
      <c r="H1003" s="2">
        <f t="shared" si="143"/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/>
      <c r="AJ1003" s="2" t="s">
        <v>80</v>
      </c>
      <c r="AK1003" s="2">
        <f t="shared" si="136"/>
        <v>0</v>
      </c>
      <c r="AL1003" s="2">
        <f t="shared" si="137"/>
        <v>0</v>
      </c>
      <c r="AM1003" s="2">
        <f t="shared" si="138"/>
        <v>0</v>
      </c>
      <c r="AN1003" s="2">
        <f t="shared" si="139"/>
        <v>0</v>
      </c>
      <c r="AO1003" s="2">
        <f t="shared" si="140"/>
        <v>0</v>
      </c>
      <c r="AP1003" s="2">
        <f t="shared" si="141"/>
        <v>0</v>
      </c>
      <c r="AQ1003" s="25">
        <f t="shared" si="142"/>
        <v>0</v>
      </c>
    </row>
    <row r="1004" spans="1:43">
      <c r="A1004" s="24">
        <v>46141</v>
      </c>
      <c r="B1004" s="23">
        <f t="shared" si="135"/>
        <v>46113</v>
      </c>
      <c r="C1004" s="2" t="s">
        <v>62</v>
      </c>
      <c r="D1004" s="2" t="s">
        <v>1534</v>
      </c>
      <c r="E1004" s="2">
        <v>1927</v>
      </c>
      <c r="F1004" s="2">
        <v>121</v>
      </c>
      <c r="G1004" s="2">
        <v>113</v>
      </c>
      <c r="H1004" s="2">
        <f t="shared" si="143"/>
        <v>8</v>
      </c>
      <c r="I1004" s="2">
        <v>7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1</v>
      </c>
      <c r="AF1004" s="2">
        <v>0</v>
      </c>
      <c r="AG1004" s="2">
        <v>0</v>
      </c>
      <c r="AH1004" s="2">
        <v>0</v>
      </c>
      <c r="AI1004" s="2"/>
      <c r="AJ1004" s="2" t="s">
        <v>80</v>
      </c>
      <c r="AK1004" s="2">
        <f t="shared" si="136"/>
        <v>7</v>
      </c>
      <c r="AL1004" s="2">
        <f t="shared" si="137"/>
        <v>0</v>
      </c>
      <c r="AM1004" s="2">
        <f t="shared" si="138"/>
        <v>0</v>
      </c>
      <c r="AN1004" s="2">
        <f t="shared" si="139"/>
        <v>0</v>
      </c>
      <c r="AO1004" s="2">
        <f t="shared" si="140"/>
        <v>0</v>
      </c>
      <c r="AP1004" s="2">
        <f t="shared" si="141"/>
        <v>0</v>
      </c>
      <c r="AQ1004" s="25">
        <f t="shared" si="142"/>
        <v>1</v>
      </c>
    </row>
    <row r="1005" spans="1:43">
      <c r="A1005" s="24">
        <v>46141</v>
      </c>
      <c r="B1005" s="23">
        <f t="shared" si="135"/>
        <v>46113</v>
      </c>
      <c r="C1005" s="2" t="s">
        <v>63</v>
      </c>
      <c r="D1005" s="2" t="s">
        <v>1382</v>
      </c>
      <c r="E1005" s="2">
        <v>2480</v>
      </c>
      <c r="F1005" s="2">
        <v>86</v>
      </c>
      <c r="G1005" s="2">
        <v>84</v>
      </c>
      <c r="H1005" s="2">
        <f t="shared" si="143"/>
        <v>2</v>
      </c>
      <c r="I1005" s="2">
        <v>2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/>
      <c r="AJ1005" s="2" t="s">
        <v>80</v>
      </c>
      <c r="AK1005" s="2">
        <f t="shared" si="136"/>
        <v>2</v>
      </c>
      <c r="AL1005" s="2">
        <f t="shared" si="137"/>
        <v>0</v>
      </c>
      <c r="AM1005" s="2">
        <f t="shared" si="138"/>
        <v>0</v>
      </c>
      <c r="AN1005" s="2">
        <f t="shared" si="139"/>
        <v>0</v>
      </c>
      <c r="AO1005" s="2">
        <f t="shared" si="140"/>
        <v>0</v>
      </c>
      <c r="AP1005" s="2">
        <f t="shared" si="141"/>
        <v>0</v>
      </c>
      <c r="AQ1005" s="25">
        <f t="shared" si="142"/>
        <v>0</v>
      </c>
    </row>
    <row r="1006" spans="1:43">
      <c r="A1006" s="24">
        <v>46141</v>
      </c>
      <c r="B1006" s="23">
        <f t="shared" si="135"/>
        <v>46113</v>
      </c>
      <c r="C1006" s="2" t="s">
        <v>160</v>
      </c>
      <c r="D1006" s="2" t="s">
        <v>581</v>
      </c>
      <c r="E1006" s="2">
        <v>2773</v>
      </c>
      <c r="F1006" s="2">
        <v>294</v>
      </c>
      <c r="G1006" s="2">
        <v>273</v>
      </c>
      <c r="H1006" s="2">
        <f t="shared" si="143"/>
        <v>21</v>
      </c>
      <c r="I1006" s="2">
        <v>3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1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17</v>
      </c>
      <c r="AI1006" s="2"/>
      <c r="AJ1006" s="2" t="s">
        <v>80</v>
      </c>
      <c r="AK1006" s="2">
        <f t="shared" si="136"/>
        <v>3</v>
      </c>
      <c r="AL1006" s="2">
        <f t="shared" si="137"/>
        <v>0</v>
      </c>
      <c r="AM1006" s="2">
        <f t="shared" si="138"/>
        <v>0</v>
      </c>
      <c r="AN1006" s="2">
        <f t="shared" si="139"/>
        <v>18</v>
      </c>
      <c r="AO1006" s="2">
        <f t="shared" si="140"/>
        <v>0</v>
      </c>
      <c r="AP1006" s="2">
        <f t="shared" si="141"/>
        <v>0</v>
      </c>
      <c r="AQ1006" s="25">
        <f t="shared" si="142"/>
        <v>0</v>
      </c>
    </row>
    <row r="1007" spans="1:43">
      <c r="A1007" s="24">
        <v>46141</v>
      </c>
      <c r="B1007" s="23">
        <f t="shared" si="135"/>
        <v>46113</v>
      </c>
      <c r="C1007" s="2" t="s">
        <v>160</v>
      </c>
      <c r="D1007" s="2" t="s">
        <v>578</v>
      </c>
      <c r="E1007" s="2">
        <v>1734</v>
      </c>
      <c r="F1007" s="2">
        <v>20</v>
      </c>
      <c r="G1007" s="2">
        <v>19</v>
      </c>
      <c r="H1007" s="2">
        <f t="shared" si="143"/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1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/>
      <c r="AJ1007" s="2" t="s">
        <v>93</v>
      </c>
      <c r="AK1007" s="2">
        <f t="shared" si="136"/>
        <v>0</v>
      </c>
      <c r="AL1007" s="2">
        <f t="shared" si="137"/>
        <v>0</v>
      </c>
      <c r="AM1007" s="2">
        <f t="shared" si="138"/>
        <v>0</v>
      </c>
      <c r="AN1007" s="2">
        <f t="shared" si="139"/>
        <v>0</v>
      </c>
      <c r="AO1007" s="2">
        <f t="shared" si="140"/>
        <v>1</v>
      </c>
      <c r="AP1007" s="2">
        <f t="shared" si="141"/>
        <v>0</v>
      </c>
      <c r="AQ1007" s="25">
        <f t="shared" si="142"/>
        <v>0</v>
      </c>
    </row>
    <row r="1008" spans="1:43">
      <c r="A1008" s="24">
        <v>46141</v>
      </c>
      <c r="B1008" s="23">
        <f t="shared" si="135"/>
        <v>46113</v>
      </c>
      <c r="C1008" s="2" t="s">
        <v>160</v>
      </c>
      <c r="D1008" s="2" t="s">
        <v>439</v>
      </c>
      <c r="E1008" s="2">
        <v>1733</v>
      </c>
      <c r="F1008" s="2">
        <v>360</v>
      </c>
      <c r="G1008" s="2">
        <v>332</v>
      </c>
      <c r="H1008" s="2">
        <f t="shared" si="143"/>
        <v>28</v>
      </c>
      <c r="I1008" s="2">
        <v>15</v>
      </c>
      <c r="J1008" s="2">
        <v>0</v>
      </c>
      <c r="K1008" s="2">
        <v>2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2</v>
      </c>
      <c r="V1008" s="2">
        <v>0</v>
      </c>
      <c r="W1008" s="2">
        <v>0</v>
      </c>
      <c r="X1008" s="2">
        <v>1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8</v>
      </c>
      <c r="AI1008" s="2"/>
      <c r="AJ1008" s="2" t="s">
        <v>93</v>
      </c>
      <c r="AK1008" s="2">
        <f t="shared" si="136"/>
        <v>15</v>
      </c>
      <c r="AL1008" s="2">
        <f t="shared" si="137"/>
        <v>2</v>
      </c>
      <c r="AM1008" s="2">
        <f t="shared" si="138"/>
        <v>0</v>
      </c>
      <c r="AN1008" s="2">
        <f t="shared" si="139"/>
        <v>8</v>
      </c>
      <c r="AO1008" s="2">
        <f t="shared" si="140"/>
        <v>3</v>
      </c>
      <c r="AP1008" s="2">
        <f t="shared" si="141"/>
        <v>0</v>
      </c>
      <c r="AQ1008" s="25">
        <f t="shared" si="142"/>
        <v>0</v>
      </c>
    </row>
    <row r="1009" spans="1:43">
      <c r="A1009" s="24">
        <v>46141</v>
      </c>
      <c r="B1009" s="23">
        <f t="shared" si="135"/>
        <v>46113</v>
      </c>
      <c r="C1009" s="2" t="s">
        <v>82</v>
      </c>
      <c r="D1009" s="2" t="s">
        <v>443</v>
      </c>
      <c r="E1009" s="2">
        <v>2729</v>
      </c>
      <c r="F1009" s="2">
        <v>545</v>
      </c>
      <c r="G1009" s="2">
        <v>532</v>
      </c>
      <c r="H1009" s="2">
        <f t="shared" si="143"/>
        <v>13</v>
      </c>
      <c r="I1009" s="2">
        <v>10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3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/>
      <c r="AJ1009" s="2" t="s">
        <v>93</v>
      </c>
      <c r="AK1009" s="2">
        <f t="shared" si="136"/>
        <v>10</v>
      </c>
      <c r="AL1009" s="2">
        <f t="shared" si="137"/>
        <v>3</v>
      </c>
      <c r="AM1009" s="2">
        <f t="shared" si="138"/>
        <v>0</v>
      </c>
      <c r="AN1009" s="2">
        <f t="shared" si="139"/>
        <v>0</v>
      </c>
      <c r="AO1009" s="2">
        <f t="shared" si="140"/>
        <v>0</v>
      </c>
      <c r="AP1009" s="2">
        <f t="shared" si="141"/>
        <v>0</v>
      </c>
      <c r="AQ1009" s="25">
        <f t="shared" si="142"/>
        <v>0</v>
      </c>
    </row>
    <row r="1010" spans="1:43">
      <c r="A1010" s="24">
        <v>46141</v>
      </c>
      <c r="B1010" s="23">
        <f t="shared" si="135"/>
        <v>46113</v>
      </c>
      <c r="C1010" s="2" t="s">
        <v>46</v>
      </c>
      <c r="D1010" s="2" t="s">
        <v>499</v>
      </c>
      <c r="E1010" s="2">
        <v>1845</v>
      </c>
      <c r="F1010" s="2">
        <v>277</v>
      </c>
      <c r="G1010" s="2">
        <v>272</v>
      </c>
      <c r="H1010" s="2">
        <f t="shared" si="143"/>
        <v>5</v>
      </c>
      <c r="I1010" s="2">
        <v>5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/>
      <c r="AJ1010" s="2" t="s">
        <v>1567</v>
      </c>
      <c r="AK1010" s="2">
        <f t="shared" si="136"/>
        <v>5</v>
      </c>
      <c r="AL1010" s="2">
        <f t="shared" si="137"/>
        <v>0</v>
      </c>
      <c r="AM1010" s="2">
        <f t="shared" si="138"/>
        <v>0</v>
      </c>
      <c r="AN1010" s="2">
        <f t="shared" si="139"/>
        <v>0</v>
      </c>
      <c r="AO1010" s="2">
        <f t="shared" si="140"/>
        <v>0</v>
      </c>
      <c r="AP1010" s="2">
        <f t="shared" si="141"/>
        <v>0</v>
      </c>
      <c r="AQ1010" s="25">
        <f t="shared" si="142"/>
        <v>0</v>
      </c>
    </row>
    <row r="1011" spans="1:43">
      <c r="A1011" s="24">
        <v>46141</v>
      </c>
      <c r="B1011" s="23">
        <f t="shared" si="135"/>
        <v>46113</v>
      </c>
      <c r="C1011" s="2" t="s">
        <v>46</v>
      </c>
      <c r="D1011" s="2" t="s">
        <v>512</v>
      </c>
      <c r="E1011" s="2">
        <v>1845</v>
      </c>
      <c r="F1011" s="2">
        <v>37</v>
      </c>
      <c r="G1011" s="2">
        <v>36</v>
      </c>
      <c r="H1011" s="2">
        <f t="shared" si="143"/>
        <v>1</v>
      </c>
      <c r="I1011" s="2">
        <v>1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/>
      <c r="AJ1011" s="2" t="s">
        <v>1567</v>
      </c>
      <c r="AK1011" s="2">
        <f t="shared" si="136"/>
        <v>1</v>
      </c>
      <c r="AL1011" s="2">
        <f t="shared" si="137"/>
        <v>0</v>
      </c>
      <c r="AM1011" s="2">
        <f t="shared" si="138"/>
        <v>0</v>
      </c>
      <c r="AN1011" s="2">
        <f t="shared" si="139"/>
        <v>0</v>
      </c>
      <c r="AO1011" s="2">
        <f t="shared" si="140"/>
        <v>0</v>
      </c>
      <c r="AP1011" s="2">
        <f t="shared" si="141"/>
        <v>0</v>
      </c>
      <c r="AQ1011" s="25">
        <f t="shared" si="142"/>
        <v>0</v>
      </c>
    </row>
    <row r="1012" spans="1:43">
      <c r="A1012" s="24">
        <v>46141</v>
      </c>
      <c r="B1012" s="23">
        <f t="shared" si="135"/>
        <v>46113</v>
      </c>
      <c r="C1012" s="2" t="s">
        <v>46</v>
      </c>
      <c r="D1012" s="2" t="s">
        <v>512</v>
      </c>
      <c r="E1012" s="2">
        <v>1845</v>
      </c>
      <c r="F1012" s="2">
        <v>45</v>
      </c>
      <c r="G1012" s="2">
        <v>44</v>
      </c>
      <c r="H1012" s="2">
        <f t="shared" si="143"/>
        <v>1</v>
      </c>
      <c r="I1012" s="2">
        <v>1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/>
      <c r="AJ1012" s="2" t="s">
        <v>1567</v>
      </c>
      <c r="AK1012" s="2">
        <f t="shared" si="136"/>
        <v>1</v>
      </c>
      <c r="AL1012" s="2">
        <f t="shared" si="137"/>
        <v>0</v>
      </c>
      <c r="AM1012" s="2">
        <f t="shared" si="138"/>
        <v>0</v>
      </c>
      <c r="AN1012" s="2">
        <f t="shared" si="139"/>
        <v>0</v>
      </c>
      <c r="AO1012" s="2">
        <f t="shared" si="140"/>
        <v>0</v>
      </c>
      <c r="AP1012" s="2">
        <f t="shared" si="141"/>
        <v>0</v>
      </c>
      <c r="AQ1012" s="25">
        <f t="shared" si="142"/>
        <v>0</v>
      </c>
    </row>
    <row r="1013" spans="1:43">
      <c r="A1013" s="24">
        <v>46141</v>
      </c>
      <c r="B1013" s="23">
        <f t="shared" si="135"/>
        <v>46113</v>
      </c>
      <c r="C1013" s="2" t="s">
        <v>46</v>
      </c>
      <c r="D1013" s="2" t="s">
        <v>512</v>
      </c>
      <c r="E1013" s="2">
        <v>1845</v>
      </c>
      <c r="F1013" s="2">
        <v>45</v>
      </c>
      <c r="G1013" s="2">
        <v>44</v>
      </c>
      <c r="H1013" s="2">
        <f t="shared" si="143"/>
        <v>1</v>
      </c>
      <c r="I1013" s="2">
        <v>1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/>
      <c r="AJ1013" s="2" t="s">
        <v>1567</v>
      </c>
      <c r="AK1013" s="2">
        <f t="shared" si="136"/>
        <v>1</v>
      </c>
      <c r="AL1013" s="2">
        <f t="shared" si="137"/>
        <v>0</v>
      </c>
      <c r="AM1013" s="2">
        <f t="shared" si="138"/>
        <v>0</v>
      </c>
      <c r="AN1013" s="2">
        <f t="shared" si="139"/>
        <v>0</v>
      </c>
      <c r="AO1013" s="2">
        <f t="shared" si="140"/>
        <v>0</v>
      </c>
      <c r="AP1013" s="2">
        <f t="shared" si="141"/>
        <v>0</v>
      </c>
      <c r="AQ1013" s="25">
        <f t="shared" si="142"/>
        <v>0</v>
      </c>
    </row>
    <row r="1014" spans="1:43">
      <c r="A1014" s="24">
        <v>46141</v>
      </c>
      <c r="B1014" s="23">
        <f t="shared" si="135"/>
        <v>46113</v>
      </c>
      <c r="C1014" s="2" t="s">
        <v>46</v>
      </c>
      <c r="D1014" s="2" t="s">
        <v>451</v>
      </c>
      <c r="E1014" s="2">
        <v>1698</v>
      </c>
      <c r="F1014" s="2">
        <v>557</v>
      </c>
      <c r="G1014" s="2">
        <v>540</v>
      </c>
      <c r="H1014" s="2">
        <f t="shared" si="143"/>
        <v>17</v>
      </c>
      <c r="I1014" s="2">
        <v>17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/>
      <c r="AJ1014" s="2" t="s">
        <v>1567</v>
      </c>
      <c r="AK1014" s="2">
        <f t="shared" si="136"/>
        <v>17</v>
      </c>
      <c r="AL1014" s="2">
        <f t="shared" si="137"/>
        <v>0</v>
      </c>
      <c r="AM1014" s="2">
        <f t="shared" si="138"/>
        <v>0</v>
      </c>
      <c r="AN1014" s="2">
        <f t="shared" si="139"/>
        <v>0</v>
      </c>
      <c r="AO1014" s="2">
        <f t="shared" si="140"/>
        <v>0</v>
      </c>
      <c r="AP1014" s="2">
        <f t="shared" si="141"/>
        <v>0</v>
      </c>
      <c r="AQ1014" s="25">
        <f t="shared" si="142"/>
        <v>0</v>
      </c>
    </row>
    <row r="1015" spans="1:43">
      <c r="A1015" s="24">
        <v>46141</v>
      </c>
      <c r="B1015" s="23">
        <f t="shared" si="135"/>
        <v>46113</v>
      </c>
      <c r="C1015" s="2" t="s">
        <v>72</v>
      </c>
      <c r="D1015" s="2" t="s">
        <v>429</v>
      </c>
      <c r="E1015" s="2">
        <v>2576</v>
      </c>
      <c r="F1015" s="2">
        <v>118</v>
      </c>
      <c r="G1015" s="2">
        <v>118</v>
      </c>
      <c r="H1015" s="2">
        <f t="shared" si="143"/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/>
      <c r="AJ1015" s="2" t="s">
        <v>103</v>
      </c>
      <c r="AK1015" s="2">
        <f t="shared" si="136"/>
        <v>0</v>
      </c>
      <c r="AL1015" s="2">
        <f t="shared" si="137"/>
        <v>0</v>
      </c>
      <c r="AM1015" s="2">
        <f t="shared" si="138"/>
        <v>0</v>
      </c>
      <c r="AN1015" s="2">
        <f t="shared" si="139"/>
        <v>0</v>
      </c>
      <c r="AO1015" s="2">
        <f t="shared" si="140"/>
        <v>0</v>
      </c>
      <c r="AP1015" s="2">
        <f t="shared" si="141"/>
        <v>0</v>
      </c>
      <c r="AQ1015" s="25">
        <f t="shared" si="142"/>
        <v>0</v>
      </c>
    </row>
    <row r="1016" spans="1:43">
      <c r="A1016" s="24">
        <v>46141</v>
      </c>
      <c r="B1016" s="23">
        <f t="shared" si="135"/>
        <v>46113</v>
      </c>
      <c r="C1016" s="2" t="s">
        <v>72</v>
      </c>
      <c r="D1016" s="2" t="s">
        <v>446</v>
      </c>
      <c r="E1016" s="2">
        <v>2540</v>
      </c>
      <c r="F1016" s="2">
        <v>95</v>
      </c>
      <c r="G1016" s="2">
        <v>94</v>
      </c>
      <c r="H1016" s="2">
        <f t="shared" si="143"/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1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/>
      <c r="AJ1016" s="2" t="s">
        <v>103</v>
      </c>
      <c r="AK1016" s="2">
        <f t="shared" si="136"/>
        <v>0</v>
      </c>
      <c r="AL1016" s="2">
        <f t="shared" si="137"/>
        <v>1</v>
      </c>
      <c r="AM1016" s="2">
        <f t="shared" si="138"/>
        <v>0</v>
      </c>
      <c r="AN1016" s="2">
        <f t="shared" si="139"/>
        <v>0</v>
      </c>
      <c r="AO1016" s="2">
        <f t="shared" si="140"/>
        <v>0</v>
      </c>
      <c r="AP1016" s="2">
        <f t="shared" si="141"/>
        <v>0</v>
      </c>
      <c r="AQ1016" s="25">
        <f t="shared" si="142"/>
        <v>0</v>
      </c>
    </row>
    <row r="1017" spans="1:43">
      <c r="A1017" s="24">
        <v>46141</v>
      </c>
      <c r="B1017" s="23">
        <f t="shared" si="135"/>
        <v>46113</v>
      </c>
      <c r="C1017" s="2" t="s">
        <v>72</v>
      </c>
      <c r="D1017" s="2" t="s">
        <v>579</v>
      </c>
      <c r="E1017" s="2">
        <v>2576</v>
      </c>
      <c r="F1017" s="2">
        <v>250</v>
      </c>
      <c r="G1017" s="2">
        <v>248</v>
      </c>
      <c r="H1017" s="2">
        <f t="shared" si="143"/>
        <v>2</v>
      </c>
      <c r="I1017" s="2">
        <v>1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1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/>
      <c r="AJ1017" s="2" t="s">
        <v>103</v>
      </c>
      <c r="AK1017" s="2">
        <f t="shared" si="136"/>
        <v>1</v>
      </c>
      <c r="AL1017" s="2">
        <f t="shared" si="137"/>
        <v>1</v>
      </c>
      <c r="AM1017" s="2">
        <f t="shared" si="138"/>
        <v>0</v>
      </c>
      <c r="AN1017" s="2">
        <f t="shared" si="139"/>
        <v>0</v>
      </c>
      <c r="AO1017" s="2">
        <f t="shared" si="140"/>
        <v>0</v>
      </c>
      <c r="AP1017" s="2">
        <f t="shared" si="141"/>
        <v>0</v>
      </c>
      <c r="AQ1017" s="25">
        <f t="shared" si="142"/>
        <v>0</v>
      </c>
    </row>
    <row r="1018" spans="1:43">
      <c r="A1018" s="24">
        <v>46141</v>
      </c>
      <c r="B1018" s="23">
        <f t="shared" si="135"/>
        <v>46113</v>
      </c>
      <c r="C1018" s="2" t="s">
        <v>72</v>
      </c>
      <c r="D1018" s="2" t="s">
        <v>576</v>
      </c>
      <c r="E1018" s="2">
        <v>2497</v>
      </c>
      <c r="F1018" s="2">
        <v>176</v>
      </c>
      <c r="G1018" s="2">
        <v>174</v>
      </c>
      <c r="H1018" s="2">
        <f t="shared" si="143"/>
        <v>2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2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/>
      <c r="AJ1018" s="2" t="s">
        <v>103</v>
      </c>
      <c r="AK1018" s="2">
        <f t="shared" si="136"/>
        <v>0</v>
      </c>
      <c r="AL1018" s="2">
        <f t="shared" si="137"/>
        <v>2</v>
      </c>
      <c r="AM1018" s="2">
        <f t="shared" si="138"/>
        <v>0</v>
      </c>
      <c r="AN1018" s="2">
        <f t="shared" si="139"/>
        <v>0</v>
      </c>
      <c r="AO1018" s="2">
        <f t="shared" si="140"/>
        <v>0</v>
      </c>
      <c r="AP1018" s="2">
        <f t="shared" si="141"/>
        <v>0</v>
      </c>
      <c r="AQ1018" s="25">
        <f t="shared" si="142"/>
        <v>0</v>
      </c>
    </row>
    <row r="1019" spans="1:43">
      <c r="A1019" s="24">
        <v>46141</v>
      </c>
      <c r="B1019" s="23">
        <f t="shared" si="135"/>
        <v>46113</v>
      </c>
      <c r="C1019" s="2" t="s">
        <v>46</v>
      </c>
      <c r="D1019" s="2" t="s">
        <v>451</v>
      </c>
      <c r="E1019" s="2">
        <v>1698</v>
      </c>
      <c r="F1019" s="2">
        <v>220</v>
      </c>
      <c r="G1019" s="2">
        <v>210</v>
      </c>
      <c r="H1019" s="2">
        <f t="shared" si="143"/>
        <v>10</v>
      </c>
      <c r="I1019" s="2">
        <v>6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4</v>
      </c>
      <c r="AI1019" s="2"/>
      <c r="AJ1019" s="2" t="s">
        <v>103</v>
      </c>
      <c r="AK1019" s="2">
        <f t="shared" si="136"/>
        <v>6</v>
      </c>
      <c r="AL1019" s="2">
        <f t="shared" si="137"/>
        <v>0</v>
      </c>
      <c r="AM1019" s="2">
        <f t="shared" si="138"/>
        <v>0</v>
      </c>
      <c r="AN1019" s="2">
        <f t="shared" si="139"/>
        <v>4</v>
      </c>
      <c r="AO1019" s="2">
        <f t="shared" si="140"/>
        <v>0</v>
      </c>
      <c r="AP1019" s="2">
        <f t="shared" si="141"/>
        <v>0</v>
      </c>
      <c r="AQ1019" s="25">
        <f t="shared" si="142"/>
        <v>0</v>
      </c>
    </row>
    <row r="1020" spans="1:43">
      <c r="A1020" s="24">
        <v>46141</v>
      </c>
      <c r="B1020" s="23">
        <f t="shared" si="135"/>
        <v>46113</v>
      </c>
      <c r="C1020" s="2" t="s">
        <v>114</v>
      </c>
      <c r="D1020" s="2" t="s">
        <v>439</v>
      </c>
      <c r="E1020" s="2">
        <v>1733</v>
      </c>
      <c r="F1020" s="2">
        <v>186</v>
      </c>
      <c r="G1020" s="2">
        <v>180</v>
      </c>
      <c r="H1020" s="2">
        <f t="shared" si="143"/>
        <v>6</v>
      </c>
      <c r="I1020" s="2">
        <v>4</v>
      </c>
      <c r="J1020" s="2">
        <v>1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1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/>
      <c r="AJ1020" s="2" t="s">
        <v>103</v>
      </c>
      <c r="AK1020" s="2">
        <f t="shared" si="136"/>
        <v>4</v>
      </c>
      <c r="AL1020" s="2">
        <f t="shared" si="137"/>
        <v>1</v>
      </c>
      <c r="AM1020" s="2">
        <f t="shared" si="138"/>
        <v>0</v>
      </c>
      <c r="AN1020" s="2">
        <f t="shared" si="139"/>
        <v>0</v>
      </c>
      <c r="AO1020" s="2">
        <f t="shared" si="140"/>
        <v>1</v>
      </c>
      <c r="AP1020" s="2">
        <f t="shared" si="141"/>
        <v>0</v>
      </c>
      <c r="AQ1020" s="25">
        <f t="shared" si="142"/>
        <v>0</v>
      </c>
    </row>
    <row r="1021" spans="1:43">
      <c r="A1021" s="24">
        <v>46141</v>
      </c>
      <c r="B1021" s="23">
        <f t="shared" si="135"/>
        <v>46113</v>
      </c>
      <c r="C1021" s="2" t="s">
        <v>133</v>
      </c>
      <c r="D1021" s="2" t="s">
        <v>1561</v>
      </c>
      <c r="E1021" s="2">
        <v>2784</v>
      </c>
      <c r="F1021" s="2">
        <v>122</v>
      </c>
      <c r="G1021" s="2">
        <v>117</v>
      </c>
      <c r="H1021" s="2">
        <f t="shared" si="143"/>
        <v>5</v>
      </c>
      <c r="I1021" s="2">
        <v>5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/>
      <c r="AJ1021" s="2" t="s">
        <v>1566</v>
      </c>
      <c r="AK1021" s="2">
        <f t="shared" si="136"/>
        <v>5</v>
      </c>
      <c r="AL1021" s="2">
        <f t="shared" si="137"/>
        <v>0</v>
      </c>
      <c r="AM1021" s="2">
        <f t="shared" si="138"/>
        <v>0</v>
      </c>
      <c r="AN1021" s="2">
        <f t="shared" si="139"/>
        <v>0</v>
      </c>
      <c r="AO1021" s="2">
        <f t="shared" si="140"/>
        <v>0</v>
      </c>
      <c r="AP1021" s="2">
        <f t="shared" si="141"/>
        <v>0</v>
      </c>
      <c r="AQ1021" s="25">
        <f t="shared" si="142"/>
        <v>0</v>
      </c>
    </row>
    <row r="1022" spans="1:43">
      <c r="A1022" s="24">
        <v>46141</v>
      </c>
      <c r="B1022" s="23">
        <f t="shared" si="135"/>
        <v>46113</v>
      </c>
      <c r="C1022" s="2" t="s">
        <v>1484</v>
      </c>
      <c r="D1022" s="2" t="s">
        <v>1540</v>
      </c>
      <c r="E1022" s="2">
        <v>1767</v>
      </c>
      <c r="F1022" s="2">
        <v>1000</v>
      </c>
      <c r="G1022" s="2">
        <v>1000</v>
      </c>
      <c r="H1022" s="2">
        <f t="shared" si="143"/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/>
      <c r="AJ1022" s="2" t="s">
        <v>1566</v>
      </c>
      <c r="AK1022" s="2">
        <f t="shared" si="136"/>
        <v>0</v>
      </c>
      <c r="AL1022" s="2">
        <f t="shared" si="137"/>
        <v>0</v>
      </c>
      <c r="AM1022" s="2">
        <f t="shared" si="138"/>
        <v>0</v>
      </c>
      <c r="AN1022" s="2">
        <f t="shared" si="139"/>
        <v>0</v>
      </c>
      <c r="AO1022" s="2">
        <f t="shared" si="140"/>
        <v>0</v>
      </c>
      <c r="AP1022" s="2">
        <f t="shared" si="141"/>
        <v>0</v>
      </c>
      <c r="AQ1022" s="25">
        <f t="shared" si="142"/>
        <v>0</v>
      </c>
    </row>
    <row r="1023" spans="1:43">
      <c r="A1023" s="24">
        <v>46141</v>
      </c>
      <c r="B1023" s="23">
        <f t="shared" si="135"/>
        <v>46113</v>
      </c>
      <c r="C1023" s="2" t="s">
        <v>63</v>
      </c>
      <c r="D1023" s="2" t="s">
        <v>455</v>
      </c>
      <c r="E1023" s="2">
        <v>2725</v>
      </c>
      <c r="F1023" s="2">
        <v>192</v>
      </c>
      <c r="G1023" s="2">
        <v>188</v>
      </c>
      <c r="H1023" s="2">
        <f t="shared" si="143"/>
        <v>4</v>
      </c>
      <c r="I1023" s="2">
        <v>2</v>
      </c>
      <c r="J1023" s="2">
        <v>0</v>
      </c>
      <c r="K1023" s="2">
        <v>2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/>
      <c r="AJ1023" s="2" t="s">
        <v>1568</v>
      </c>
      <c r="AK1023" s="2">
        <f t="shared" si="136"/>
        <v>2</v>
      </c>
      <c r="AL1023" s="2">
        <f t="shared" si="137"/>
        <v>2</v>
      </c>
      <c r="AM1023" s="2">
        <f t="shared" si="138"/>
        <v>0</v>
      </c>
      <c r="AN1023" s="2">
        <f t="shared" si="139"/>
        <v>0</v>
      </c>
      <c r="AO1023" s="2">
        <f t="shared" si="140"/>
        <v>0</v>
      </c>
      <c r="AP1023" s="2">
        <f t="shared" si="141"/>
        <v>0</v>
      </c>
      <c r="AQ1023" s="25">
        <f t="shared" si="142"/>
        <v>0</v>
      </c>
    </row>
    <row r="1024" spans="1:43">
      <c r="A1024" s="24">
        <v>46141</v>
      </c>
      <c r="B1024" s="23">
        <f t="shared" si="135"/>
        <v>46113</v>
      </c>
      <c r="C1024" s="2" t="s">
        <v>62</v>
      </c>
      <c r="D1024" s="2" t="s">
        <v>461</v>
      </c>
      <c r="E1024" s="2">
        <v>1806</v>
      </c>
      <c r="F1024" s="2">
        <v>20</v>
      </c>
      <c r="G1024" s="2">
        <v>20</v>
      </c>
      <c r="H1024" s="2">
        <f t="shared" si="143"/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/>
      <c r="AJ1024" s="2" t="s">
        <v>1568</v>
      </c>
      <c r="AK1024" s="2">
        <f t="shared" si="136"/>
        <v>0</v>
      </c>
      <c r="AL1024" s="2">
        <f t="shared" si="137"/>
        <v>0</v>
      </c>
      <c r="AM1024" s="2">
        <f t="shared" si="138"/>
        <v>0</v>
      </c>
      <c r="AN1024" s="2">
        <f t="shared" si="139"/>
        <v>0</v>
      </c>
      <c r="AO1024" s="2">
        <f t="shared" si="140"/>
        <v>0</v>
      </c>
      <c r="AP1024" s="2">
        <f t="shared" si="141"/>
        <v>0</v>
      </c>
      <c r="AQ1024" s="25">
        <f t="shared" si="142"/>
        <v>0</v>
      </c>
    </row>
    <row r="1025" spans="1:43">
      <c r="A1025" s="24">
        <v>46141</v>
      </c>
      <c r="B1025" s="23">
        <f t="shared" si="135"/>
        <v>46113</v>
      </c>
      <c r="C1025" s="2" t="s">
        <v>62</v>
      </c>
      <c r="D1025" s="2" t="s">
        <v>497</v>
      </c>
      <c r="E1025" s="2">
        <v>1823</v>
      </c>
      <c r="F1025" s="2">
        <v>69</v>
      </c>
      <c r="G1025" s="2">
        <v>60</v>
      </c>
      <c r="H1025" s="2">
        <f t="shared" si="143"/>
        <v>9</v>
      </c>
      <c r="I1025" s="2">
        <v>6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3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/>
      <c r="AJ1025" s="2" t="s">
        <v>1568</v>
      </c>
      <c r="AK1025" s="2">
        <f t="shared" si="136"/>
        <v>6</v>
      </c>
      <c r="AL1025" s="2">
        <f t="shared" si="137"/>
        <v>3</v>
      </c>
      <c r="AM1025" s="2">
        <f t="shared" si="138"/>
        <v>0</v>
      </c>
      <c r="AN1025" s="2">
        <f t="shared" si="139"/>
        <v>0</v>
      </c>
      <c r="AO1025" s="2">
        <f t="shared" si="140"/>
        <v>0</v>
      </c>
      <c r="AP1025" s="2">
        <f t="shared" si="141"/>
        <v>0</v>
      </c>
      <c r="AQ1025" s="25">
        <f t="shared" si="142"/>
        <v>0</v>
      </c>
    </row>
    <row r="1026" spans="1:43">
      <c r="A1026" s="24">
        <v>46141</v>
      </c>
      <c r="B1026" s="23">
        <f t="shared" ref="B1026:B1074" si="144">EOMONTH(A1026,-1)+1</f>
        <v>46113</v>
      </c>
      <c r="C1026" s="2" t="s">
        <v>62</v>
      </c>
      <c r="D1026" s="2" t="s">
        <v>440</v>
      </c>
      <c r="E1026" s="2">
        <v>1823</v>
      </c>
      <c r="F1026" s="2">
        <v>101</v>
      </c>
      <c r="G1026" s="2">
        <v>90</v>
      </c>
      <c r="H1026" s="2">
        <f t="shared" si="143"/>
        <v>11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11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/>
      <c r="AJ1026" s="2" t="s">
        <v>1568</v>
      </c>
      <c r="AK1026" s="2">
        <f t="shared" ref="AK1026:AK1074" si="145">+I1026+AF1026</f>
        <v>0</v>
      </c>
      <c r="AL1026" s="2">
        <f t="shared" ref="AL1026:AL1074" si="146">+J1026+K1026+O1026+N1026+P1026+R1026+S1026+Q1026+M1026+L1026</f>
        <v>11</v>
      </c>
      <c r="AM1026" s="2">
        <f t="shared" ref="AM1026:AM1074" si="147">+AB1026+AC1026</f>
        <v>0</v>
      </c>
      <c r="AN1026" s="2">
        <f t="shared" ref="AN1026:AN1074" si="148">+AH1026+AG1026+AA1026+Z1026</f>
        <v>0</v>
      </c>
      <c r="AO1026" s="2">
        <f t="shared" ref="AO1026:AO1074" si="149">+X1026+W1026+V1026+U1026+T1026+Y1026</f>
        <v>0</v>
      </c>
      <c r="AP1026" s="2">
        <f t="shared" ref="AP1026:AP1074" si="150">+AD1026</f>
        <v>0</v>
      </c>
      <c r="AQ1026" s="25">
        <f t="shared" ref="AQ1026:AQ1074" si="151">+AE1026</f>
        <v>0</v>
      </c>
    </row>
    <row r="1027" spans="1:43">
      <c r="A1027" s="24">
        <v>46141</v>
      </c>
      <c r="B1027" s="23">
        <f t="shared" si="144"/>
        <v>46113</v>
      </c>
      <c r="C1027" s="2" t="s">
        <v>62</v>
      </c>
      <c r="D1027" s="2" t="s">
        <v>425</v>
      </c>
      <c r="E1027" s="2">
        <v>1806</v>
      </c>
      <c r="F1027" s="2">
        <v>68</v>
      </c>
      <c r="G1027" s="2">
        <v>62</v>
      </c>
      <c r="H1027" s="2">
        <f t="shared" ref="H1027:H1074" si="152">F1027-G1027</f>
        <v>6</v>
      </c>
      <c r="I1027" s="2">
        <v>6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/>
      <c r="AJ1027" s="2" t="s">
        <v>1568</v>
      </c>
      <c r="AK1027" s="2">
        <f t="shared" si="145"/>
        <v>6</v>
      </c>
      <c r="AL1027" s="2">
        <f t="shared" si="146"/>
        <v>0</v>
      </c>
      <c r="AM1027" s="2">
        <f t="shared" si="147"/>
        <v>0</v>
      </c>
      <c r="AN1027" s="2">
        <f t="shared" si="148"/>
        <v>0</v>
      </c>
      <c r="AO1027" s="2">
        <f t="shared" si="149"/>
        <v>0</v>
      </c>
      <c r="AP1027" s="2">
        <f t="shared" si="150"/>
        <v>0</v>
      </c>
      <c r="AQ1027" s="25">
        <f t="shared" si="151"/>
        <v>0</v>
      </c>
    </row>
    <row r="1028" spans="1:43">
      <c r="A1028" s="24">
        <v>46141</v>
      </c>
      <c r="B1028" s="23">
        <f t="shared" si="144"/>
        <v>46113</v>
      </c>
      <c r="C1028" s="2" t="s">
        <v>63</v>
      </c>
      <c r="D1028" s="2" t="s">
        <v>1538</v>
      </c>
      <c r="E1028" s="2">
        <v>10059</v>
      </c>
      <c r="F1028" s="2">
        <v>340</v>
      </c>
      <c r="G1028" s="2">
        <v>339</v>
      </c>
      <c r="H1028" s="2">
        <f t="shared" si="152"/>
        <v>1</v>
      </c>
      <c r="I1028" s="2">
        <v>1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/>
      <c r="AJ1028" s="2" t="s">
        <v>1568</v>
      </c>
      <c r="AK1028" s="2">
        <f t="shared" si="145"/>
        <v>1</v>
      </c>
      <c r="AL1028" s="2">
        <f t="shared" si="146"/>
        <v>0</v>
      </c>
      <c r="AM1028" s="2">
        <f t="shared" si="147"/>
        <v>0</v>
      </c>
      <c r="AN1028" s="2">
        <f t="shared" si="148"/>
        <v>0</v>
      </c>
      <c r="AO1028" s="2">
        <f t="shared" si="149"/>
        <v>0</v>
      </c>
      <c r="AP1028" s="2">
        <f t="shared" si="150"/>
        <v>0</v>
      </c>
      <c r="AQ1028" s="25">
        <f t="shared" si="151"/>
        <v>0</v>
      </c>
    </row>
    <row r="1029" spans="1:43">
      <c r="A1029" s="24">
        <v>46141</v>
      </c>
      <c r="B1029" s="23">
        <f t="shared" si="144"/>
        <v>46113</v>
      </c>
      <c r="C1029" s="2" t="s">
        <v>62</v>
      </c>
      <c r="D1029" s="2" t="s">
        <v>450</v>
      </c>
      <c r="E1029" s="2">
        <v>1823</v>
      </c>
      <c r="F1029" s="2">
        <v>32</v>
      </c>
      <c r="G1029" s="2">
        <v>30</v>
      </c>
      <c r="H1029" s="2">
        <f t="shared" si="152"/>
        <v>2</v>
      </c>
      <c r="I1029" s="2">
        <v>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1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/>
      <c r="AJ1029" s="2" t="s">
        <v>1568</v>
      </c>
      <c r="AK1029" s="2">
        <f t="shared" si="145"/>
        <v>1</v>
      </c>
      <c r="AL1029" s="2">
        <f t="shared" si="146"/>
        <v>1</v>
      </c>
      <c r="AM1029" s="2">
        <f t="shared" si="147"/>
        <v>0</v>
      </c>
      <c r="AN1029" s="2">
        <f t="shared" si="148"/>
        <v>0</v>
      </c>
      <c r="AO1029" s="2">
        <f t="shared" si="149"/>
        <v>0</v>
      </c>
      <c r="AP1029" s="2">
        <f t="shared" si="150"/>
        <v>0</v>
      </c>
      <c r="AQ1029" s="25">
        <f t="shared" si="151"/>
        <v>0</v>
      </c>
    </row>
    <row r="1030" spans="1:43">
      <c r="A1030" s="24">
        <v>46141</v>
      </c>
      <c r="B1030" s="23">
        <f t="shared" si="144"/>
        <v>46113</v>
      </c>
      <c r="C1030" s="2" t="s">
        <v>62</v>
      </c>
      <c r="D1030" s="2" t="s">
        <v>535</v>
      </c>
      <c r="E1030" s="2">
        <v>1823</v>
      </c>
      <c r="F1030" s="2">
        <v>30</v>
      </c>
      <c r="G1030" s="2">
        <v>29</v>
      </c>
      <c r="H1030" s="2">
        <f t="shared" si="152"/>
        <v>1</v>
      </c>
      <c r="I1030" s="2">
        <v>1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/>
      <c r="AJ1030" s="2" t="s">
        <v>1568</v>
      </c>
      <c r="AK1030" s="2">
        <f t="shared" si="145"/>
        <v>1</v>
      </c>
      <c r="AL1030" s="2">
        <f t="shared" si="146"/>
        <v>0</v>
      </c>
      <c r="AM1030" s="2">
        <f t="shared" si="147"/>
        <v>0</v>
      </c>
      <c r="AN1030" s="2">
        <f t="shared" si="148"/>
        <v>0</v>
      </c>
      <c r="AO1030" s="2">
        <f t="shared" si="149"/>
        <v>0</v>
      </c>
      <c r="AP1030" s="2">
        <f t="shared" si="150"/>
        <v>0</v>
      </c>
      <c r="AQ1030" s="25">
        <f t="shared" si="151"/>
        <v>0</v>
      </c>
    </row>
    <row r="1031" spans="1:43">
      <c r="A1031" s="24">
        <v>46141</v>
      </c>
      <c r="B1031" s="23">
        <f t="shared" si="144"/>
        <v>46113</v>
      </c>
      <c r="C1031" s="2" t="s">
        <v>97</v>
      </c>
      <c r="D1031" s="2" t="s">
        <v>479</v>
      </c>
      <c r="E1031" s="2">
        <v>1734</v>
      </c>
      <c r="F1031" s="2">
        <v>124</v>
      </c>
      <c r="G1031" s="2">
        <v>120</v>
      </c>
      <c r="H1031" s="2">
        <f t="shared" si="152"/>
        <v>4</v>
      </c>
      <c r="I1031" s="2">
        <v>2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2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/>
      <c r="AJ1031" s="2" t="s">
        <v>110</v>
      </c>
      <c r="AK1031" s="2">
        <f t="shared" si="145"/>
        <v>2</v>
      </c>
      <c r="AL1031" s="2">
        <f t="shared" si="146"/>
        <v>2</v>
      </c>
      <c r="AM1031" s="2">
        <f t="shared" si="147"/>
        <v>0</v>
      </c>
      <c r="AN1031" s="2">
        <f t="shared" si="148"/>
        <v>0</v>
      </c>
      <c r="AO1031" s="2">
        <f t="shared" si="149"/>
        <v>0</v>
      </c>
      <c r="AP1031" s="2">
        <f t="shared" si="150"/>
        <v>0</v>
      </c>
      <c r="AQ1031" s="25">
        <f t="shared" si="151"/>
        <v>0</v>
      </c>
    </row>
    <row r="1032" spans="1:43">
      <c r="A1032" s="24">
        <v>46141</v>
      </c>
      <c r="B1032" s="23">
        <f t="shared" si="144"/>
        <v>46113</v>
      </c>
      <c r="C1032" s="2" t="s">
        <v>66</v>
      </c>
      <c r="D1032" s="2" t="s">
        <v>428</v>
      </c>
      <c r="E1032" s="2">
        <v>1824</v>
      </c>
      <c r="F1032" s="2">
        <v>33</v>
      </c>
      <c r="G1032" s="2">
        <v>33</v>
      </c>
      <c r="H1032" s="2">
        <f t="shared" si="152"/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/>
      <c r="AJ1032" s="2" t="s">
        <v>110</v>
      </c>
      <c r="AK1032" s="2">
        <f t="shared" si="145"/>
        <v>0</v>
      </c>
      <c r="AL1032" s="2">
        <f t="shared" si="146"/>
        <v>0</v>
      </c>
      <c r="AM1032" s="2">
        <f t="shared" si="147"/>
        <v>0</v>
      </c>
      <c r="AN1032" s="2">
        <f t="shared" si="148"/>
        <v>0</v>
      </c>
      <c r="AO1032" s="2">
        <f t="shared" si="149"/>
        <v>0</v>
      </c>
      <c r="AP1032" s="2">
        <f t="shared" si="150"/>
        <v>0</v>
      </c>
      <c r="AQ1032" s="25">
        <f t="shared" si="151"/>
        <v>0</v>
      </c>
    </row>
    <row r="1033" spans="1:43">
      <c r="A1033" s="24">
        <v>46142</v>
      </c>
      <c r="B1033" s="23">
        <f t="shared" si="144"/>
        <v>46113</v>
      </c>
      <c r="C1033" s="2" t="s">
        <v>133</v>
      </c>
      <c r="D1033" s="2" t="s">
        <v>1483</v>
      </c>
      <c r="E1033" s="2">
        <v>2698</v>
      </c>
      <c r="F1033" s="2">
        <v>41</v>
      </c>
      <c r="G1033" s="2">
        <v>41</v>
      </c>
      <c r="H1033" s="2">
        <f t="shared" si="152"/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/>
      <c r="AJ1033" s="2" t="s">
        <v>80</v>
      </c>
      <c r="AK1033" s="2">
        <f t="shared" si="145"/>
        <v>0</v>
      </c>
      <c r="AL1033" s="2">
        <f t="shared" si="146"/>
        <v>0</v>
      </c>
      <c r="AM1033" s="2">
        <f t="shared" si="147"/>
        <v>0</v>
      </c>
      <c r="AN1033" s="2">
        <f t="shared" si="148"/>
        <v>0</v>
      </c>
      <c r="AO1033" s="2">
        <f t="shared" si="149"/>
        <v>0</v>
      </c>
      <c r="AP1033" s="2">
        <f t="shared" si="150"/>
        <v>0</v>
      </c>
      <c r="AQ1033" s="25">
        <f t="shared" si="151"/>
        <v>0</v>
      </c>
    </row>
    <row r="1034" spans="1:43">
      <c r="A1034" s="24">
        <v>46142</v>
      </c>
      <c r="B1034" s="23">
        <f t="shared" si="144"/>
        <v>46113</v>
      </c>
      <c r="C1034" s="2" t="s">
        <v>133</v>
      </c>
      <c r="D1034" s="2" t="s">
        <v>1483</v>
      </c>
      <c r="E1034" s="2">
        <v>2698</v>
      </c>
      <c r="F1034" s="2">
        <v>30</v>
      </c>
      <c r="G1034" s="2">
        <v>15</v>
      </c>
      <c r="H1034" s="2">
        <f t="shared" si="152"/>
        <v>15</v>
      </c>
      <c r="I1034" s="2">
        <v>0</v>
      </c>
      <c r="J1034" s="2">
        <v>0</v>
      </c>
      <c r="K1034" s="2">
        <v>0</v>
      </c>
      <c r="L1034" s="2">
        <v>0</v>
      </c>
      <c r="M1034" s="2">
        <v>15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/>
      <c r="AJ1034" s="2" t="s">
        <v>80</v>
      </c>
      <c r="AK1034" s="2">
        <f t="shared" si="145"/>
        <v>0</v>
      </c>
      <c r="AL1034" s="2">
        <f t="shared" si="146"/>
        <v>15</v>
      </c>
      <c r="AM1034" s="2">
        <f t="shared" si="147"/>
        <v>0</v>
      </c>
      <c r="AN1034" s="2">
        <f t="shared" si="148"/>
        <v>0</v>
      </c>
      <c r="AO1034" s="2">
        <f t="shared" si="149"/>
        <v>0</v>
      </c>
      <c r="AP1034" s="2">
        <f t="shared" si="150"/>
        <v>0</v>
      </c>
      <c r="AQ1034" s="25">
        <f t="shared" si="151"/>
        <v>0</v>
      </c>
    </row>
    <row r="1035" spans="1:43">
      <c r="A1035" s="24">
        <v>46142</v>
      </c>
      <c r="B1035" s="23">
        <f t="shared" si="144"/>
        <v>46113</v>
      </c>
      <c r="C1035" s="2" t="s">
        <v>133</v>
      </c>
      <c r="D1035" s="2" t="s">
        <v>1561</v>
      </c>
      <c r="E1035" s="2">
        <v>2784</v>
      </c>
      <c r="F1035" s="2">
        <v>390</v>
      </c>
      <c r="G1035" s="2">
        <v>388</v>
      </c>
      <c r="H1035" s="2">
        <f t="shared" si="152"/>
        <v>2</v>
      </c>
      <c r="I1035" s="2">
        <v>2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/>
      <c r="AJ1035" s="2" t="s">
        <v>80</v>
      </c>
      <c r="AK1035" s="2">
        <f t="shared" si="145"/>
        <v>2</v>
      </c>
      <c r="AL1035" s="2">
        <f t="shared" si="146"/>
        <v>0</v>
      </c>
      <c r="AM1035" s="2">
        <f t="shared" si="147"/>
        <v>0</v>
      </c>
      <c r="AN1035" s="2">
        <f t="shared" si="148"/>
        <v>0</v>
      </c>
      <c r="AO1035" s="2">
        <f t="shared" si="149"/>
        <v>0</v>
      </c>
      <c r="AP1035" s="2">
        <f t="shared" si="150"/>
        <v>0</v>
      </c>
      <c r="AQ1035" s="25">
        <f t="shared" si="151"/>
        <v>0</v>
      </c>
    </row>
    <row r="1036" spans="1:43">
      <c r="A1036" s="24">
        <v>46142</v>
      </c>
      <c r="B1036" s="23">
        <f t="shared" si="144"/>
        <v>46113</v>
      </c>
      <c r="C1036" s="2" t="s">
        <v>133</v>
      </c>
      <c r="D1036" s="2" t="s">
        <v>1483</v>
      </c>
      <c r="E1036" s="2">
        <v>2698</v>
      </c>
      <c r="F1036" s="2">
        <v>20</v>
      </c>
      <c r="G1036" s="2">
        <v>19</v>
      </c>
      <c r="H1036" s="2">
        <f t="shared" si="152"/>
        <v>1</v>
      </c>
      <c r="I1036" s="2">
        <v>1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/>
      <c r="AJ1036" s="2" t="s">
        <v>80</v>
      </c>
      <c r="AK1036" s="2">
        <f t="shared" si="145"/>
        <v>1</v>
      </c>
      <c r="AL1036" s="2">
        <f t="shared" si="146"/>
        <v>0</v>
      </c>
      <c r="AM1036" s="2">
        <f t="shared" si="147"/>
        <v>0</v>
      </c>
      <c r="AN1036" s="2">
        <f t="shared" si="148"/>
        <v>0</v>
      </c>
      <c r="AO1036" s="2">
        <f t="shared" si="149"/>
        <v>0</v>
      </c>
      <c r="AP1036" s="2">
        <f t="shared" si="150"/>
        <v>0</v>
      </c>
      <c r="AQ1036" s="25">
        <f t="shared" si="151"/>
        <v>0</v>
      </c>
    </row>
    <row r="1037" spans="1:43">
      <c r="A1037" s="24">
        <v>46142</v>
      </c>
      <c r="B1037" s="23">
        <f t="shared" si="144"/>
        <v>46113</v>
      </c>
      <c r="C1037" s="2" t="s">
        <v>72</v>
      </c>
      <c r="D1037" s="2" t="s">
        <v>429</v>
      </c>
      <c r="E1037" s="2">
        <v>2576</v>
      </c>
      <c r="F1037" s="2">
        <v>256</v>
      </c>
      <c r="G1037" s="2">
        <v>256</v>
      </c>
      <c r="H1037" s="2">
        <f t="shared" si="152"/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/>
      <c r="AJ1037" s="2" t="s">
        <v>80</v>
      </c>
      <c r="AK1037" s="2">
        <f t="shared" si="145"/>
        <v>0</v>
      </c>
      <c r="AL1037" s="2">
        <f t="shared" si="146"/>
        <v>0</v>
      </c>
      <c r="AM1037" s="2">
        <f t="shared" si="147"/>
        <v>0</v>
      </c>
      <c r="AN1037" s="2">
        <f t="shared" si="148"/>
        <v>0</v>
      </c>
      <c r="AO1037" s="2">
        <f t="shared" si="149"/>
        <v>0</v>
      </c>
      <c r="AP1037" s="2">
        <f t="shared" si="150"/>
        <v>0</v>
      </c>
      <c r="AQ1037" s="25">
        <f t="shared" si="151"/>
        <v>0</v>
      </c>
    </row>
    <row r="1038" spans="1:43">
      <c r="A1038" s="24">
        <v>46142</v>
      </c>
      <c r="B1038" s="23">
        <f t="shared" si="144"/>
        <v>46113</v>
      </c>
      <c r="C1038" s="2" t="s">
        <v>46</v>
      </c>
      <c r="D1038" s="2" t="s">
        <v>499</v>
      </c>
      <c r="E1038" s="2">
        <v>1845</v>
      </c>
      <c r="F1038" s="2">
        <v>113</v>
      </c>
      <c r="G1038" s="2">
        <v>111</v>
      </c>
      <c r="H1038" s="2">
        <f t="shared" si="152"/>
        <v>2</v>
      </c>
      <c r="I1038" s="2">
        <v>2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/>
      <c r="AJ1038" s="2" t="s">
        <v>80</v>
      </c>
      <c r="AK1038" s="2">
        <f t="shared" si="145"/>
        <v>2</v>
      </c>
      <c r="AL1038" s="2">
        <f t="shared" si="146"/>
        <v>0</v>
      </c>
      <c r="AM1038" s="2">
        <f t="shared" si="147"/>
        <v>0</v>
      </c>
      <c r="AN1038" s="2">
        <f t="shared" si="148"/>
        <v>0</v>
      </c>
      <c r="AO1038" s="2">
        <f t="shared" si="149"/>
        <v>0</v>
      </c>
      <c r="AP1038" s="2">
        <f t="shared" si="150"/>
        <v>0</v>
      </c>
      <c r="AQ1038" s="25">
        <f t="shared" si="151"/>
        <v>0</v>
      </c>
    </row>
    <row r="1039" spans="1:43">
      <c r="A1039" s="24">
        <v>46142</v>
      </c>
      <c r="B1039" s="23">
        <f t="shared" si="144"/>
        <v>46113</v>
      </c>
      <c r="C1039" s="2" t="s">
        <v>66</v>
      </c>
      <c r="D1039" s="2" t="s">
        <v>431</v>
      </c>
      <c r="E1039" s="2">
        <v>1806</v>
      </c>
      <c r="F1039" s="2">
        <v>224</v>
      </c>
      <c r="G1039" s="2">
        <v>224</v>
      </c>
      <c r="H1039" s="2">
        <f t="shared" si="152"/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/>
      <c r="AJ1039" s="2" t="s">
        <v>110</v>
      </c>
      <c r="AK1039" s="2">
        <f t="shared" si="145"/>
        <v>0</v>
      </c>
      <c r="AL1039" s="2">
        <f t="shared" si="146"/>
        <v>0</v>
      </c>
      <c r="AM1039" s="2">
        <f t="shared" si="147"/>
        <v>0</v>
      </c>
      <c r="AN1039" s="2">
        <f t="shared" si="148"/>
        <v>0</v>
      </c>
      <c r="AO1039" s="2">
        <f t="shared" si="149"/>
        <v>0</v>
      </c>
      <c r="AP1039" s="2">
        <f t="shared" si="150"/>
        <v>0</v>
      </c>
      <c r="AQ1039" s="25">
        <f t="shared" si="151"/>
        <v>0</v>
      </c>
    </row>
    <row r="1040" spans="1:43">
      <c r="A1040" s="24">
        <v>46142</v>
      </c>
      <c r="B1040" s="23">
        <f t="shared" si="144"/>
        <v>46113</v>
      </c>
      <c r="C1040" s="2" t="s">
        <v>97</v>
      </c>
      <c r="D1040" s="2" t="s">
        <v>452</v>
      </c>
      <c r="E1040" s="2">
        <v>1805</v>
      </c>
      <c r="F1040" s="2">
        <v>286</v>
      </c>
      <c r="G1040" s="2">
        <v>277</v>
      </c>
      <c r="H1040" s="2">
        <f t="shared" si="152"/>
        <v>9</v>
      </c>
      <c r="I1040" s="2">
        <v>8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1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/>
      <c r="AJ1040" s="2" t="s">
        <v>110</v>
      </c>
      <c r="AK1040" s="2">
        <f t="shared" si="145"/>
        <v>8</v>
      </c>
      <c r="AL1040" s="2">
        <f t="shared" si="146"/>
        <v>0</v>
      </c>
      <c r="AM1040" s="2">
        <f t="shared" si="147"/>
        <v>0</v>
      </c>
      <c r="AN1040" s="2">
        <f t="shared" si="148"/>
        <v>0</v>
      </c>
      <c r="AO1040" s="2">
        <f t="shared" si="149"/>
        <v>1</v>
      </c>
      <c r="AP1040" s="2">
        <f t="shared" si="150"/>
        <v>0</v>
      </c>
      <c r="AQ1040" s="25">
        <f t="shared" si="151"/>
        <v>0</v>
      </c>
    </row>
    <row r="1041" spans="1:43">
      <c r="A1041" s="24">
        <v>46142</v>
      </c>
      <c r="B1041" s="23">
        <f t="shared" si="144"/>
        <v>46113</v>
      </c>
      <c r="C1041" s="2" t="s">
        <v>66</v>
      </c>
      <c r="D1041" s="2" t="s">
        <v>482</v>
      </c>
      <c r="E1041" s="2">
        <v>2670</v>
      </c>
      <c r="F1041" s="2">
        <v>33</v>
      </c>
      <c r="G1041" s="2">
        <v>33</v>
      </c>
      <c r="H1041" s="2">
        <f t="shared" si="152"/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/>
      <c r="AJ1041" s="2" t="s">
        <v>110</v>
      </c>
      <c r="AK1041" s="2">
        <f t="shared" si="145"/>
        <v>0</v>
      </c>
      <c r="AL1041" s="2">
        <f t="shared" si="146"/>
        <v>0</v>
      </c>
      <c r="AM1041" s="2">
        <f t="shared" si="147"/>
        <v>0</v>
      </c>
      <c r="AN1041" s="2">
        <f t="shared" si="148"/>
        <v>0</v>
      </c>
      <c r="AO1041" s="2">
        <f t="shared" si="149"/>
        <v>0</v>
      </c>
      <c r="AP1041" s="2">
        <f t="shared" si="150"/>
        <v>0</v>
      </c>
      <c r="AQ1041" s="25">
        <f t="shared" si="151"/>
        <v>0</v>
      </c>
    </row>
    <row r="1042" spans="1:43">
      <c r="A1042" s="24">
        <v>46142</v>
      </c>
      <c r="B1042" s="23">
        <f t="shared" si="144"/>
        <v>46113</v>
      </c>
      <c r="C1042" s="2" t="s">
        <v>72</v>
      </c>
      <c r="D1042" s="2" t="s">
        <v>553</v>
      </c>
      <c r="E1042" s="2">
        <v>10038</v>
      </c>
      <c r="F1042" s="2">
        <v>91</v>
      </c>
      <c r="G1042" s="2">
        <v>91</v>
      </c>
      <c r="H1042" s="2">
        <f t="shared" si="152"/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/>
      <c r="AJ1042" s="2" t="s">
        <v>110</v>
      </c>
      <c r="AK1042" s="2">
        <f t="shared" si="145"/>
        <v>0</v>
      </c>
      <c r="AL1042" s="2">
        <f t="shared" si="146"/>
        <v>0</v>
      </c>
      <c r="AM1042" s="2">
        <f t="shared" si="147"/>
        <v>0</v>
      </c>
      <c r="AN1042" s="2">
        <f t="shared" si="148"/>
        <v>0</v>
      </c>
      <c r="AO1042" s="2">
        <f t="shared" si="149"/>
        <v>0</v>
      </c>
      <c r="AP1042" s="2">
        <f t="shared" si="150"/>
        <v>0</v>
      </c>
      <c r="AQ1042" s="25">
        <f t="shared" si="151"/>
        <v>0</v>
      </c>
    </row>
    <row r="1043" spans="1:43">
      <c r="A1043" s="24">
        <v>46142</v>
      </c>
      <c r="B1043" s="23">
        <f t="shared" si="144"/>
        <v>46113</v>
      </c>
      <c r="C1043" s="2" t="s">
        <v>66</v>
      </c>
      <c r="D1043" s="2" t="s">
        <v>1290</v>
      </c>
      <c r="E1043" s="2">
        <v>1636</v>
      </c>
      <c r="F1043" s="2">
        <v>125</v>
      </c>
      <c r="G1043" s="2">
        <v>124</v>
      </c>
      <c r="H1043" s="2">
        <f t="shared" si="152"/>
        <v>1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1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/>
      <c r="AJ1043" s="2" t="s">
        <v>110</v>
      </c>
      <c r="AK1043" s="2">
        <f t="shared" si="145"/>
        <v>0</v>
      </c>
      <c r="AL1043" s="2">
        <f t="shared" si="146"/>
        <v>1</v>
      </c>
      <c r="AM1043" s="2">
        <f t="shared" si="147"/>
        <v>0</v>
      </c>
      <c r="AN1043" s="2">
        <f t="shared" si="148"/>
        <v>0</v>
      </c>
      <c r="AO1043" s="2">
        <f t="shared" si="149"/>
        <v>0</v>
      </c>
      <c r="AP1043" s="2">
        <f t="shared" si="150"/>
        <v>0</v>
      </c>
      <c r="AQ1043" s="25">
        <f t="shared" si="151"/>
        <v>0</v>
      </c>
    </row>
    <row r="1044" spans="1:43">
      <c r="A1044" s="24">
        <v>46142</v>
      </c>
      <c r="B1044" s="23">
        <f t="shared" si="144"/>
        <v>46113</v>
      </c>
      <c r="C1044" s="2" t="s">
        <v>66</v>
      </c>
      <c r="D1044" s="2" t="s">
        <v>461</v>
      </c>
      <c r="E1044" s="2">
        <v>1806</v>
      </c>
      <c r="F1044" s="2">
        <v>265</v>
      </c>
      <c r="G1044" s="2">
        <v>264</v>
      </c>
      <c r="H1044" s="2">
        <f t="shared" si="152"/>
        <v>1</v>
      </c>
      <c r="I1044" s="2">
        <v>1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/>
      <c r="AJ1044" s="2" t="s">
        <v>110</v>
      </c>
      <c r="AK1044" s="2">
        <f t="shared" si="145"/>
        <v>1</v>
      </c>
      <c r="AL1044" s="2">
        <f t="shared" si="146"/>
        <v>0</v>
      </c>
      <c r="AM1044" s="2">
        <f t="shared" si="147"/>
        <v>0</v>
      </c>
      <c r="AN1044" s="2">
        <f t="shared" si="148"/>
        <v>0</v>
      </c>
      <c r="AO1044" s="2">
        <f t="shared" si="149"/>
        <v>0</v>
      </c>
      <c r="AP1044" s="2">
        <f t="shared" si="150"/>
        <v>0</v>
      </c>
      <c r="AQ1044" s="25">
        <f t="shared" si="151"/>
        <v>0</v>
      </c>
    </row>
    <row r="1045" spans="1:43">
      <c r="A1045" s="24">
        <v>46142</v>
      </c>
      <c r="B1045" s="23">
        <f t="shared" si="144"/>
        <v>46113</v>
      </c>
      <c r="C1045" s="2" t="s">
        <v>55</v>
      </c>
      <c r="D1045" s="2" t="s">
        <v>521</v>
      </c>
      <c r="E1045" s="2">
        <v>2590</v>
      </c>
      <c r="F1045" s="2">
        <v>172</v>
      </c>
      <c r="G1045" s="2">
        <v>170</v>
      </c>
      <c r="H1045" s="2">
        <f t="shared" si="152"/>
        <v>2</v>
      </c>
      <c r="I1045" s="2">
        <v>2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/>
      <c r="AJ1045" s="2" t="s">
        <v>1566</v>
      </c>
      <c r="AK1045" s="2">
        <f t="shared" si="145"/>
        <v>2</v>
      </c>
      <c r="AL1045" s="2">
        <f t="shared" si="146"/>
        <v>0</v>
      </c>
      <c r="AM1045" s="2">
        <f t="shared" si="147"/>
        <v>0</v>
      </c>
      <c r="AN1045" s="2">
        <f t="shared" si="148"/>
        <v>0</v>
      </c>
      <c r="AO1045" s="2">
        <f t="shared" si="149"/>
        <v>0</v>
      </c>
      <c r="AP1045" s="2">
        <f t="shared" si="150"/>
        <v>0</v>
      </c>
      <c r="AQ1045" s="25">
        <f t="shared" si="151"/>
        <v>0</v>
      </c>
    </row>
    <row r="1046" spans="1:43">
      <c r="A1046" s="24">
        <v>46142</v>
      </c>
      <c r="B1046" s="23">
        <f t="shared" si="144"/>
        <v>46113</v>
      </c>
      <c r="C1046" s="2" t="s">
        <v>1484</v>
      </c>
      <c r="D1046" s="2" t="s">
        <v>1540</v>
      </c>
      <c r="E1046" s="2">
        <v>1767</v>
      </c>
      <c r="F1046" s="2">
        <v>162</v>
      </c>
      <c r="G1046" s="2">
        <v>153</v>
      </c>
      <c r="H1046" s="2">
        <f t="shared" si="152"/>
        <v>9</v>
      </c>
      <c r="I1046" s="2">
        <v>5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1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3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/>
      <c r="AJ1046" s="2" t="s">
        <v>1566</v>
      </c>
      <c r="AK1046" s="2">
        <f t="shared" si="145"/>
        <v>5</v>
      </c>
      <c r="AL1046" s="2">
        <f t="shared" si="146"/>
        <v>1</v>
      </c>
      <c r="AM1046" s="2">
        <f t="shared" si="147"/>
        <v>3</v>
      </c>
      <c r="AN1046" s="2">
        <f t="shared" si="148"/>
        <v>0</v>
      </c>
      <c r="AO1046" s="2">
        <f t="shared" si="149"/>
        <v>0</v>
      </c>
      <c r="AP1046" s="2">
        <f t="shared" si="150"/>
        <v>0</v>
      </c>
      <c r="AQ1046" s="25">
        <f t="shared" si="151"/>
        <v>0</v>
      </c>
    </row>
    <row r="1047" spans="1:43">
      <c r="A1047" s="24">
        <v>46142</v>
      </c>
      <c r="B1047" s="23">
        <f t="shared" si="144"/>
        <v>46113</v>
      </c>
      <c r="C1047" s="2" t="s">
        <v>133</v>
      </c>
      <c r="D1047" s="2" t="s">
        <v>1561</v>
      </c>
      <c r="E1047" s="2">
        <v>2784</v>
      </c>
      <c r="F1047" s="2">
        <v>20</v>
      </c>
      <c r="G1047" s="2">
        <v>20</v>
      </c>
      <c r="H1047" s="2">
        <f t="shared" si="152"/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/>
      <c r="AJ1047" s="2" t="s">
        <v>1566</v>
      </c>
      <c r="AK1047" s="2">
        <f t="shared" si="145"/>
        <v>0</v>
      </c>
      <c r="AL1047" s="2">
        <f t="shared" si="146"/>
        <v>0</v>
      </c>
      <c r="AM1047" s="2">
        <f t="shared" si="147"/>
        <v>0</v>
      </c>
      <c r="AN1047" s="2">
        <f t="shared" si="148"/>
        <v>0</v>
      </c>
      <c r="AO1047" s="2">
        <f t="shared" si="149"/>
        <v>0</v>
      </c>
      <c r="AP1047" s="2">
        <f t="shared" si="150"/>
        <v>0</v>
      </c>
      <c r="AQ1047" s="25">
        <f t="shared" si="151"/>
        <v>0</v>
      </c>
    </row>
    <row r="1048" spans="1:43">
      <c r="A1048" s="24">
        <v>46142</v>
      </c>
      <c r="B1048" s="23">
        <f t="shared" si="144"/>
        <v>46113</v>
      </c>
      <c r="C1048" s="2" t="s">
        <v>55</v>
      </c>
      <c r="D1048" s="2" t="s">
        <v>483</v>
      </c>
      <c r="E1048" s="2">
        <v>9323</v>
      </c>
      <c r="F1048" s="2">
        <v>50</v>
      </c>
      <c r="G1048" s="2">
        <v>40</v>
      </c>
      <c r="H1048" s="2">
        <f t="shared" si="152"/>
        <v>10</v>
      </c>
      <c r="I1048" s="2">
        <v>1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5</v>
      </c>
      <c r="R1048" s="2">
        <v>0</v>
      </c>
      <c r="S1048" s="2">
        <v>4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/>
      <c r="AJ1048" s="2" t="s">
        <v>1566</v>
      </c>
      <c r="AK1048" s="2">
        <f t="shared" si="145"/>
        <v>1</v>
      </c>
      <c r="AL1048" s="2">
        <f t="shared" si="146"/>
        <v>9</v>
      </c>
      <c r="AM1048" s="2">
        <f t="shared" si="147"/>
        <v>0</v>
      </c>
      <c r="AN1048" s="2">
        <f t="shared" si="148"/>
        <v>0</v>
      </c>
      <c r="AO1048" s="2">
        <f t="shared" si="149"/>
        <v>0</v>
      </c>
      <c r="AP1048" s="2">
        <f t="shared" si="150"/>
        <v>0</v>
      </c>
      <c r="AQ1048" s="25">
        <f t="shared" si="151"/>
        <v>0</v>
      </c>
    </row>
    <row r="1049" spans="1:43">
      <c r="A1049" s="24">
        <v>46142</v>
      </c>
      <c r="B1049" s="23">
        <f t="shared" si="144"/>
        <v>46113</v>
      </c>
      <c r="C1049" s="2" t="s">
        <v>55</v>
      </c>
      <c r="D1049" s="2" t="s">
        <v>1191</v>
      </c>
      <c r="E1049" s="2">
        <v>2590</v>
      </c>
      <c r="F1049" s="2">
        <v>270</v>
      </c>
      <c r="G1049" s="2">
        <v>260</v>
      </c>
      <c r="H1049" s="2">
        <f t="shared" si="152"/>
        <v>10</v>
      </c>
      <c r="I1049" s="2">
        <v>7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1</v>
      </c>
      <c r="S1049" s="2">
        <v>1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1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/>
      <c r="AJ1049" s="2" t="s">
        <v>1566</v>
      </c>
      <c r="AK1049" s="2">
        <f t="shared" si="145"/>
        <v>7</v>
      </c>
      <c r="AL1049" s="2">
        <f t="shared" si="146"/>
        <v>2</v>
      </c>
      <c r="AM1049" s="2">
        <f t="shared" si="147"/>
        <v>0</v>
      </c>
      <c r="AN1049" s="2">
        <f t="shared" si="148"/>
        <v>1</v>
      </c>
      <c r="AO1049" s="2">
        <f t="shared" si="149"/>
        <v>0</v>
      </c>
      <c r="AP1049" s="2">
        <f t="shared" si="150"/>
        <v>0</v>
      </c>
      <c r="AQ1049" s="25">
        <f t="shared" si="151"/>
        <v>0</v>
      </c>
    </row>
    <row r="1050" spans="1:43">
      <c r="A1050" s="24">
        <v>46142</v>
      </c>
      <c r="B1050" s="23">
        <f t="shared" si="144"/>
        <v>46113</v>
      </c>
      <c r="C1050" s="2" t="s">
        <v>55</v>
      </c>
      <c r="D1050" s="2" t="s">
        <v>483</v>
      </c>
      <c r="E1050" s="2">
        <v>9323</v>
      </c>
      <c r="F1050" s="2">
        <v>193</v>
      </c>
      <c r="G1050" s="2">
        <v>188</v>
      </c>
      <c r="H1050" s="2">
        <f t="shared" si="152"/>
        <v>5</v>
      </c>
      <c r="I1050" s="2">
        <v>5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/>
      <c r="AJ1050" s="2" t="s">
        <v>1566</v>
      </c>
      <c r="AK1050" s="2">
        <f t="shared" si="145"/>
        <v>5</v>
      </c>
      <c r="AL1050" s="2">
        <f t="shared" si="146"/>
        <v>0</v>
      </c>
      <c r="AM1050" s="2">
        <f t="shared" si="147"/>
        <v>0</v>
      </c>
      <c r="AN1050" s="2">
        <f t="shared" si="148"/>
        <v>0</v>
      </c>
      <c r="AO1050" s="2">
        <f t="shared" si="149"/>
        <v>0</v>
      </c>
      <c r="AP1050" s="2">
        <f t="shared" si="150"/>
        <v>0</v>
      </c>
      <c r="AQ1050" s="25">
        <f t="shared" si="151"/>
        <v>0</v>
      </c>
    </row>
    <row r="1051" spans="1:43">
      <c r="A1051" s="24">
        <v>46142</v>
      </c>
      <c r="B1051" s="23">
        <f t="shared" si="144"/>
        <v>46113</v>
      </c>
      <c r="C1051" s="2" t="s">
        <v>133</v>
      </c>
      <c r="D1051" s="2" t="s">
        <v>1493</v>
      </c>
      <c r="E1051" s="2">
        <v>95232</v>
      </c>
      <c r="F1051" s="2">
        <v>34</v>
      </c>
      <c r="G1051" s="2">
        <v>34</v>
      </c>
      <c r="H1051" s="2">
        <f t="shared" si="152"/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/>
      <c r="AJ1051" s="2" t="s">
        <v>1568</v>
      </c>
      <c r="AK1051" s="2">
        <f t="shared" si="145"/>
        <v>0</v>
      </c>
      <c r="AL1051" s="2">
        <f t="shared" si="146"/>
        <v>0</v>
      </c>
      <c r="AM1051" s="2">
        <f t="shared" si="147"/>
        <v>0</v>
      </c>
      <c r="AN1051" s="2">
        <f t="shared" si="148"/>
        <v>0</v>
      </c>
      <c r="AO1051" s="2">
        <f t="shared" si="149"/>
        <v>0</v>
      </c>
      <c r="AP1051" s="2">
        <f t="shared" si="150"/>
        <v>0</v>
      </c>
      <c r="AQ1051" s="25">
        <f t="shared" si="151"/>
        <v>0</v>
      </c>
    </row>
    <row r="1052" spans="1:43">
      <c r="A1052" s="24">
        <v>46142</v>
      </c>
      <c r="B1052" s="23">
        <f t="shared" si="144"/>
        <v>46113</v>
      </c>
      <c r="C1052" s="2" t="s">
        <v>1484</v>
      </c>
      <c r="D1052" s="2" t="s">
        <v>1495</v>
      </c>
      <c r="E1052" s="2">
        <v>10063</v>
      </c>
      <c r="F1052" s="2">
        <v>36</v>
      </c>
      <c r="G1052" s="2">
        <v>36</v>
      </c>
      <c r="H1052" s="2">
        <f t="shared" si="152"/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/>
      <c r="AJ1052" s="2" t="s">
        <v>1568</v>
      </c>
      <c r="AK1052" s="2">
        <f t="shared" si="145"/>
        <v>0</v>
      </c>
      <c r="AL1052" s="2">
        <f t="shared" si="146"/>
        <v>0</v>
      </c>
      <c r="AM1052" s="2">
        <f t="shared" si="147"/>
        <v>0</v>
      </c>
      <c r="AN1052" s="2">
        <f t="shared" si="148"/>
        <v>0</v>
      </c>
      <c r="AO1052" s="2">
        <f t="shared" si="149"/>
        <v>0</v>
      </c>
      <c r="AP1052" s="2">
        <f t="shared" si="150"/>
        <v>0</v>
      </c>
      <c r="AQ1052" s="25">
        <f t="shared" si="151"/>
        <v>0</v>
      </c>
    </row>
    <row r="1053" spans="1:43">
      <c r="A1053" s="24">
        <v>46142</v>
      </c>
      <c r="B1053" s="23">
        <f t="shared" si="144"/>
        <v>46113</v>
      </c>
      <c r="C1053" s="2" t="s">
        <v>1484</v>
      </c>
      <c r="D1053" s="2" t="s">
        <v>542</v>
      </c>
      <c r="E1053" s="2">
        <v>2596</v>
      </c>
      <c r="F1053" s="2">
        <v>48</v>
      </c>
      <c r="G1053" s="2">
        <v>38</v>
      </c>
      <c r="H1053" s="2">
        <f t="shared" si="152"/>
        <v>10</v>
      </c>
      <c r="I1053" s="2">
        <v>0</v>
      </c>
      <c r="J1053" s="2">
        <v>0</v>
      </c>
      <c r="K1053" s="2">
        <v>10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/>
      <c r="AJ1053" s="2" t="s">
        <v>1568</v>
      </c>
      <c r="AK1053" s="2">
        <f t="shared" si="145"/>
        <v>0</v>
      </c>
      <c r="AL1053" s="2">
        <f t="shared" si="146"/>
        <v>10</v>
      </c>
      <c r="AM1053" s="2">
        <f t="shared" si="147"/>
        <v>0</v>
      </c>
      <c r="AN1053" s="2">
        <f t="shared" si="148"/>
        <v>0</v>
      </c>
      <c r="AO1053" s="2">
        <f t="shared" si="149"/>
        <v>0</v>
      </c>
      <c r="AP1053" s="2">
        <f t="shared" si="150"/>
        <v>0</v>
      </c>
      <c r="AQ1053" s="25">
        <f t="shared" si="151"/>
        <v>0</v>
      </c>
    </row>
    <row r="1054" spans="1:43">
      <c r="A1054" s="24">
        <v>46142</v>
      </c>
      <c r="B1054" s="23">
        <f t="shared" si="144"/>
        <v>46113</v>
      </c>
      <c r="C1054" s="2" t="s">
        <v>62</v>
      </c>
      <c r="D1054" s="2" t="s">
        <v>1556</v>
      </c>
      <c r="E1054" s="2">
        <v>2786</v>
      </c>
      <c r="F1054" s="2">
        <v>499</v>
      </c>
      <c r="G1054" s="2">
        <v>498</v>
      </c>
      <c r="H1054" s="2">
        <f t="shared" si="152"/>
        <v>1</v>
      </c>
      <c r="I1054" s="2">
        <v>1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/>
      <c r="AJ1054" s="2" t="s">
        <v>1568</v>
      </c>
      <c r="AK1054" s="2">
        <f t="shared" si="145"/>
        <v>1</v>
      </c>
      <c r="AL1054" s="2">
        <f t="shared" si="146"/>
        <v>0</v>
      </c>
      <c r="AM1054" s="2">
        <f t="shared" si="147"/>
        <v>0</v>
      </c>
      <c r="AN1054" s="2">
        <f t="shared" si="148"/>
        <v>0</v>
      </c>
      <c r="AO1054" s="2">
        <f t="shared" si="149"/>
        <v>0</v>
      </c>
      <c r="AP1054" s="2">
        <f t="shared" si="150"/>
        <v>0</v>
      </c>
      <c r="AQ1054" s="25">
        <f t="shared" si="151"/>
        <v>0</v>
      </c>
    </row>
    <row r="1055" spans="1:43">
      <c r="A1055" s="24">
        <v>46142</v>
      </c>
      <c r="B1055" s="23">
        <f t="shared" si="144"/>
        <v>46113</v>
      </c>
      <c r="C1055" s="2" t="s">
        <v>62</v>
      </c>
      <c r="D1055" s="2" t="s">
        <v>440</v>
      </c>
      <c r="E1055" s="2">
        <v>1823</v>
      </c>
      <c r="F1055" s="2">
        <v>100</v>
      </c>
      <c r="G1055" s="2">
        <v>99</v>
      </c>
      <c r="H1055" s="2">
        <f t="shared" si="152"/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1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/>
      <c r="AJ1055" s="2" t="s">
        <v>1568</v>
      </c>
      <c r="AK1055" s="2">
        <f t="shared" si="145"/>
        <v>0</v>
      </c>
      <c r="AL1055" s="2">
        <f t="shared" si="146"/>
        <v>1</v>
      </c>
      <c r="AM1055" s="2">
        <f t="shared" si="147"/>
        <v>0</v>
      </c>
      <c r="AN1055" s="2">
        <f t="shared" si="148"/>
        <v>0</v>
      </c>
      <c r="AO1055" s="2">
        <f t="shared" si="149"/>
        <v>0</v>
      </c>
      <c r="AP1055" s="2">
        <f t="shared" si="150"/>
        <v>0</v>
      </c>
      <c r="AQ1055" s="25">
        <f t="shared" si="151"/>
        <v>0</v>
      </c>
    </row>
    <row r="1056" spans="1:43">
      <c r="A1056" s="24">
        <v>46142</v>
      </c>
      <c r="B1056" s="23">
        <f t="shared" si="144"/>
        <v>46113</v>
      </c>
      <c r="C1056" s="2" t="s">
        <v>62</v>
      </c>
      <c r="D1056" s="2" t="s">
        <v>535</v>
      </c>
      <c r="E1056" s="2">
        <v>1823</v>
      </c>
      <c r="F1056" s="2">
        <v>128</v>
      </c>
      <c r="G1056" s="2">
        <v>126</v>
      </c>
      <c r="H1056" s="2">
        <f t="shared" si="152"/>
        <v>2</v>
      </c>
      <c r="I1056" s="2">
        <v>2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/>
      <c r="AJ1056" s="2" t="s">
        <v>1568</v>
      </c>
      <c r="AK1056" s="2">
        <f t="shared" si="145"/>
        <v>2</v>
      </c>
      <c r="AL1056" s="2">
        <f t="shared" si="146"/>
        <v>0</v>
      </c>
      <c r="AM1056" s="2">
        <f t="shared" si="147"/>
        <v>0</v>
      </c>
      <c r="AN1056" s="2">
        <f t="shared" si="148"/>
        <v>0</v>
      </c>
      <c r="AO1056" s="2">
        <f t="shared" si="149"/>
        <v>0</v>
      </c>
      <c r="AP1056" s="2">
        <f t="shared" si="150"/>
        <v>0</v>
      </c>
      <c r="AQ1056" s="25">
        <f t="shared" si="151"/>
        <v>0</v>
      </c>
    </row>
    <row r="1057" spans="1:43">
      <c r="A1057" s="24">
        <v>46142</v>
      </c>
      <c r="B1057" s="23">
        <f t="shared" si="144"/>
        <v>46113</v>
      </c>
      <c r="C1057" s="2" t="s">
        <v>160</v>
      </c>
      <c r="D1057" s="2" t="s">
        <v>538</v>
      </c>
      <c r="E1057" s="2">
        <v>1849</v>
      </c>
      <c r="F1057" s="2">
        <v>10</v>
      </c>
      <c r="G1057" s="2">
        <v>0</v>
      </c>
      <c r="H1057" s="2">
        <f t="shared" si="152"/>
        <v>10</v>
      </c>
      <c r="I1057" s="2">
        <v>0</v>
      </c>
      <c r="J1057" s="2">
        <v>10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/>
      <c r="AJ1057" s="2" t="s">
        <v>93</v>
      </c>
      <c r="AK1057" s="2">
        <f t="shared" si="145"/>
        <v>0</v>
      </c>
      <c r="AL1057" s="2">
        <f t="shared" si="146"/>
        <v>10</v>
      </c>
      <c r="AM1057" s="2">
        <f t="shared" si="147"/>
        <v>0</v>
      </c>
      <c r="AN1057" s="2">
        <f t="shared" si="148"/>
        <v>0</v>
      </c>
      <c r="AO1057" s="2">
        <f t="shared" si="149"/>
        <v>0</v>
      </c>
      <c r="AP1057" s="2">
        <f t="shared" si="150"/>
        <v>0</v>
      </c>
      <c r="AQ1057" s="25">
        <f t="shared" si="151"/>
        <v>0</v>
      </c>
    </row>
    <row r="1058" spans="1:43">
      <c r="A1058" s="24">
        <v>46142</v>
      </c>
      <c r="B1058" s="23">
        <f t="shared" si="144"/>
        <v>46113</v>
      </c>
      <c r="C1058" s="2" t="s">
        <v>160</v>
      </c>
      <c r="D1058" s="2" t="s">
        <v>549</v>
      </c>
      <c r="E1058" s="2">
        <v>1870</v>
      </c>
      <c r="F1058" s="2">
        <v>222</v>
      </c>
      <c r="G1058" s="2">
        <v>216</v>
      </c>
      <c r="H1058" s="2">
        <f t="shared" si="152"/>
        <v>6</v>
      </c>
      <c r="I1058" s="2">
        <v>3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3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/>
      <c r="AJ1058" s="2" t="s">
        <v>93</v>
      </c>
      <c r="AK1058" s="2">
        <f t="shared" si="145"/>
        <v>3</v>
      </c>
      <c r="AL1058" s="2">
        <f t="shared" si="146"/>
        <v>3</v>
      </c>
      <c r="AM1058" s="2">
        <f t="shared" si="147"/>
        <v>0</v>
      </c>
      <c r="AN1058" s="2">
        <f t="shared" si="148"/>
        <v>0</v>
      </c>
      <c r="AO1058" s="2">
        <f t="shared" si="149"/>
        <v>0</v>
      </c>
      <c r="AP1058" s="2">
        <f t="shared" si="150"/>
        <v>0</v>
      </c>
      <c r="AQ1058" s="25">
        <f t="shared" si="151"/>
        <v>0</v>
      </c>
    </row>
    <row r="1059" spans="1:43">
      <c r="A1059" s="24">
        <v>46142</v>
      </c>
      <c r="B1059" s="23">
        <f t="shared" si="144"/>
        <v>46113</v>
      </c>
      <c r="C1059" s="2" t="s">
        <v>160</v>
      </c>
      <c r="D1059" s="2" t="s">
        <v>549</v>
      </c>
      <c r="E1059" s="2">
        <v>1870</v>
      </c>
      <c r="F1059" s="2">
        <v>32</v>
      </c>
      <c r="G1059" s="2">
        <v>30</v>
      </c>
      <c r="H1059" s="2">
        <f t="shared" si="152"/>
        <v>2</v>
      </c>
      <c r="I1059" s="2">
        <v>2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/>
      <c r="AJ1059" s="2" t="s">
        <v>93</v>
      </c>
      <c r="AK1059" s="2">
        <f t="shared" si="145"/>
        <v>2</v>
      </c>
      <c r="AL1059" s="2">
        <f t="shared" si="146"/>
        <v>0</v>
      </c>
      <c r="AM1059" s="2">
        <f t="shared" si="147"/>
        <v>0</v>
      </c>
      <c r="AN1059" s="2">
        <f t="shared" si="148"/>
        <v>0</v>
      </c>
      <c r="AO1059" s="2">
        <f t="shared" si="149"/>
        <v>0</v>
      </c>
      <c r="AP1059" s="2">
        <f t="shared" si="150"/>
        <v>0</v>
      </c>
      <c r="AQ1059" s="25">
        <f t="shared" si="151"/>
        <v>0</v>
      </c>
    </row>
    <row r="1060" spans="1:43">
      <c r="A1060" s="24">
        <v>46142</v>
      </c>
      <c r="B1060" s="23">
        <f t="shared" si="144"/>
        <v>46113</v>
      </c>
      <c r="C1060" s="2" t="s">
        <v>95</v>
      </c>
      <c r="D1060" s="2" t="s">
        <v>566</v>
      </c>
      <c r="E1060" s="2">
        <v>2579</v>
      </c>
      <c r="F1060" s="2">
        <v>82</v>
      </c>
      <c r="G1060" s="2">
        <v>81</v>
      </c>
      <c r="H1060" s="2">
        <f t="shared" si="152"/>
        <v>1</v>
      </c>
      <c r="I1060" s="2">
        <v>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/>
      <c r="AJ1060" s="2" t="s">
        <v>1567</v>
      </c>
      <c r="AK1060" s="2">
        <f t="shared" si="145"/>
        <v>1</v>
      </c>
      <c r="AL1060" s="2">
        <f t="shared" si="146"/>
        <v>0</v>
      </c>
      <c r="AM1060" s="2">
        <f t="shared" si="147"/>
        <v>0</v>
      </c>
      <c r="AN1060" s="2">
        <f t="shared" si="148"/>
        <v>0</v>
      </c>
      <c r="AO1060" s="2">
        <f t="shared" si="149"/>
        <v>0</v>
      </c>
      <c r="AP1060" s="2">
        <f t="shared" si="150"/>
        <v>0</v>
      </c>
      <c r="AQ1060" s="25">
        <f t="shared" si="151"/>
        <v>0</v>
      </c>
    </row>
    <row r="1061" spans="1:43">
      <c r="A1061" s="24">
        <v>46142</v>
      </c>
      <c r="B1061" s="23">
        <f t="shared" si="144"/>
        <v>46113</v>
      </c>
      <c r="C1061" s="2" t="s">
        <v>95</v>
      </c>
      <c r="D1061" s="2" t="s">
        <v>1557</v>
      </c>
      <c r="E1061" s="2">
        <v>10047</v>
      </c>
      <c r="F1061" s="2">
        <v>200</v>
      </c>
      <c r="G1061" s="2">
        <v>200</v>
      </c>
      <c r="H1061" s="2">
        <f t="shared" si="152"/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/>
      <c r="AJ1061" s="2" t="s">
        <v>1567</v>
      </c>
      <c r="AK1061" s="2">
        <f t="shared" si="145"/>
        <v>0</v>
      </c>
      <c r="AL1061" s="2">
        <f t="shared" si="146"/>
        <v>0</v>
      </c>
      <c r="AM1061" s="2">
        <f t="shared" si="147"/>
        <v>0</v>
      </c>
      <c r="AN1061" s="2">
        <f t="shared" si="148"/>
        <v>0</v>
      </c>
      <c r="AO1061" s="2">
        <f t="shared" si="149"/>
        <v>0</v>
      </c>
      <c r="AP1061" s="2">
        <f t="shared" si="150"/>
        <v>0</v>
      </c>
      <c r="AQ1061" s="25">
        <f t="shared" si="151"/>
        <v>0</v>
      </c>
    </row>
    <row r="1062" spans="1:43">
      <c r="A1062" s="24">
        <v>46142</v>
      </c>
      <c r="B1062" s="23">
        <f t="shared" si="144"/>
        <v>46113</v>
      </c>
      <c r="C1062" s="2" t="s">
        <v>95</v>
      </c>
      <c r="D1062" s="2" t="s">
        <v>567</v>
      </c>
      <c r="E1062" s="2">
        <v>2579</v>
      </c>
      <c r="F1062" s="2">
        <v>177</v>
      </c>
      <c r="G1062" s="2">
        <v>172</v>
      </c>
      <c r="H1062" s="2">
        <f t="shared" si="152"/>
        <v>5</v>
      </c>
      <c r="I1062" s="2">
        <v>3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2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/>
      <c r="AJ1062" s="2" t="s">
        <v>1567</v>
      </c>
      <c r="AK1062" s="2">
        <f t="shared" si="145"/>
        <v>3</v>
      </c>
      <c r="AL1062" s="2">
        <f t="shared" si="146"/>
        <v>2</v>
      </c>
      <c r="AM1062" s="2">
        <f t="shared" si="147"/>
        <v>0</v>
      </c>
      <c r="AN1062" s="2">
        <f t="shared" si="148"/>
        <v>0</v>
      </c>
      <c r="AO1062" s="2">
        <f t="shared" si="149"/>
        <v>0</v>
      </c>
      <c r="AP1062" s="2">
        <f t="shared" si="150"/>
        <v>0</v>
      </c>
      <c r="AQ1062" s="25">
        <f t="shared" si="151"/>
        <v>0</v>
      </c>
    </row>
    <row r="1063" spans="1:43">
      <c r="A1063" s="24">
        <v>46142</v>
      </c>
      <c r="B1063" s="23">
        <f t="shared" si="144"/>
        <v>46113</v>
      </c>
      <c r="C1063" s="2" t="s">
        <v>46</v>
      </c>
      <c r="D1063" s="2" t="s">
        <v>475</v>
      </c>
      <c r="E1063" s="2">
        <v>2727</v>
      </c>
      <c r="F1063" s="2">
        <v>144</v>
      </c>
      <c r="G1063" s="2">
        <v>144</v>
      </c>
      <c r="H1063" s="2">
        <f t="shared" si="152"/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/>
      <c r="AJ1063" s="2" t="s">
        <v>1567</v>
      </c>
      <c r="AK1063" s="2">
        <f t="shared" si="145"/>
        <v>0</v>
      </c>
      <c r="AL1063" s="2">
        <f t="shared" si="146"/>
        <v>0</v>
      </c>
      <c r="AM1063" s="2">
        <f t="shared" si="147"/>
        <v>0</v>
      </c>
      <c r="AN1063" s="2">
        <f t="shared" si="148"/>
        <v>0</v>
      </c>
      <c r="AO1063" s="2">
        <f t="shared" si="149"/>
        <v>0</v>
      </c>
      <c r="AP1063" s="2">
        <f t="shared" si="150"/>
        <v>0</v>
      </c>
      <c r="AQ1063" s="25">
        <f t="shared" si="151"/>
        <v>0</v>
      </c>
    </row>
    <row r="1064" spans="1:43">
      <c r="A1064" s="24">
        <v>46142</v>
      </c>
      <c r="B1064" s="23">
        <f t="shared" si="144"/>
        <v>46113</v>
      </c>
      <c r="C1064" s="2" t="s">
        <v>46</v>
      </c>
      <c r="D1064" s="2" t="s">
        <v>584</v>
      </c>
      <c r="E1064" s="2">
        <v>2761</v>
      </c>
      <c r="F1064" s="2">
        <v>214</v>
      </c>
      <c r="G1064" s="2">
        <v>212</v>
      </c>
      <c r="H1064" s="2">
        <f t="shared" si="152"/>
        <v>2</v>
      </c>
      <c r="I1064" s="2">
        <v>2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/>
      <c r="AJ1064" s="2" t="s">
        <v>1567</v>
      </c>
      <c r="AK1064" s="2">
        <f t="shared" si="145"/>
        <v>2</v>
      </c>
      <c r="AL1064" s="2">
        <f t="shared" si="146"/>
        <v>0</v>
      </c>
      <c r="AM1064" s="2">
        <f t="shared" si="147"/>
        <v>0</v>
      </c>
      <c r="AN1064" s="2">
        <f t="shared" si="148"/>
        <v>0</v>
      </c>
      <c r="AO1064" s="2">
        <f t="shared" si="149"/>
        <v>0</v>
      </c>
      <c r="AP1064" s="2">
        <f t="shared" si="150"/>
        <v>0</v>
      </c>
      <c r="AQ1064" s="25">
        <f t="shared" si="151"/>
        <v>0</v>
      </c>
    </row>
    <row r="1065" spans="1:43">
      <c r="A1065" s="24">
        <v>46142</v>
      </c>
      <c r="B1065" s="23">
        <f t="shared" si="144"/>
        <v>46113</v>
      </c>
      <c r="C1065" s="2" t="s">
        <v>95</v>
      </c>
      <c r="D1065" s="2" t="s">
        <v>1541</v>
      </c>
      <c r="E1065" s="2">
        <v>10047</v>
      </c>
      <c r="F1065" s="2">
        <v>130</v>
      </c>
      <c r="G1065" s="2">
        <v>130</v>
      </c>
      <c r="H1065" s="2">
        <f t="shared" si="152"/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/>
      <c r="AJ1065" s="2" t="s">
        <v>1567</v>
      </c>
      <c r="AK1065" s="2">
        <f t="shared" si="145"/>
        <v>0</v>
      </c>
      <c r="AL1065" s="2">
        <f t="shared" si="146"/>
        <v>0</v>
      </c>
      <c r="AM1065" s="2">
        <f t="shared" si="147"/>
        <v>0</v>
      </c>
      <c r="AN1065" s="2">
        <f t="shared" si="148"/>
        <v>0</v>
      </c>
      <c r="AO1065" s="2">
        <f t="shared" si="149"/>
        <v>0</v>
      </c>
      <c r="AP1065" s="2">
        <f t="shared" si="150"/>
        <v>0</v>
      </c>
      <c r="AQ1065" s="25">
        <f t="shared" si="151"/>
        <v>0</v>
      </c>
    </row>
    <row r="1066" spans="1:43">
      <c r="A1066" s="24">
        <v>46142</v>
      </c>
      <c r="B1066" s="23">
        <f t="shared" si="144"/>
        <v>46113</v>
      </c>
      <c r="C1066" s="2" t="s">
        <v>46</v>
      </c>
      <c r="D1066" s="2" t="s">
        <v>451</v>
      </c>
      <c r="E1066" s="2">
        <v>1698</v>
      </c>
      <c r="F1066" s="2">
        <v>31</v>
      </c>
      <c r="G1066" s="2">
        <v>30</v>
      </c>
      <c r="H1066" s="2">
        <f t="shared" si="152"/>
        <v>1</v>
      </c>
      <c r="I1066" s="2">
        <v>1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/>
      <c r="AJ1066" s="2" t="s">
        <v>1567</v>
      </c>
      <c r="AK1066" s="2">
        <f t="shared" si="145"/>
        <v>1</v>
      </c>
      <c r="AL1066" s="2">
        <f t="shared" si="146"/>
        <v>0</v>
      </c>
      <c r="AM1066" s="2">
        <f t="shared" si="147"/>
        <v>0</v>
      </c>
      <c r="AN1066" s="2">
        <f t="shared" si="148"/>
        <v>0</v>
      </c>
      <c r="AO1066" s="2">
        <f t="shared" si="149"/>
        <v>0</v>
      </c>
      <c r="AP1066" s="2">
        <f t="shared" si="150"/>
        <v>0</v>
      </c>
      <c r="AQ1066" s="25">
        <f t="shared" si="151"/>
        <v>0</v>
      </c>
    </row>
    <row r="1067" spans="1:43">
      <c r="A1067" s="24">
        <v>46142</v>
      </c>
      <c r="B1067" s="23">
        <f t="shared" si="144"/>
        <v>46113</v>
      </c>
      <c r="C1067" s="2" t="s">
        <v>46</v>
      </c>
      <c r="D1067" s="2" t="s">
        <v>1532</v>
      </c>
      <c r="E1067" s="2">
        <v>2659</v>
      </c>
      <c r="F1067" s="2">
        <v>245</v>
      </c>
      <c r="G1067" s="2">
        <v>245</v>
      </c>
      <c r="H1067" s="2">
        <f t="shared" si="152"/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/>
      <c r="AJ1067" s="2" t="s">
        <v>1567</v>
      </c>
      <c r="AK1067" s="2">
        <f t="shared" si="145"/>
        <v>0</v>
      </c>
      <c r="AL1067" s="2">
        <f t="shared" si="146"/>
        <v>0</v>
      </c>
      <c r="AM1067" s="2">
        <f t="shared" si="147"/>
        <v>0</v>
      </c>
      <c r="AN1067" s="2">
        <f t="shared" si="148"/>
        <v>0</v>
      </c>
      <c r="AO1067" s="2">
        <f t="shared" si="149"/>
        <v>0</v>
      </c>
      <c r="AP1067" s="2">
        <f t="shared" si="150"/>
        <v>0</v>
      </c>
      <c r="AQ1067" s="25">
        <f t="shared" si="151"/>
        <v>0</v>
      </c>
    </row>
    <row r="1068" spans="1:43">
      <c r="A1068" s="24">
        <v>46142</v>
      </c>
      <c r="B1068" s="23">
        <f t="shared" si="144"/>
        <v>46113</v>
      </c>
      <c r="C1068" s="2" t="s">
        <v>46</v>
      </c>
      <c r="D1068" s="2" t="s">
        <v>1188</v>
      </c>
      <c r="E1068" s="2">
        <v>2665</v>
      </c>
      <c r="F1068" s="2">
        <v>190</v>
      </c>
      <c r="G1068" s="2">
        <v>183</v>
      </c>
      <c r="H1068" s="2">
        <f t="shared" si="152"/>
        <v>7</v>
      </c>
      <c r="I1068" s="2">
        <v>7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/>
      <c r="AJ1068" s="2" t="s">
        <v>1567</v>
      </c>
      <c r="AK1068" s="2">
        <f t="shared" si="145"/>
        <v>7</v>
      </c>
      <c r="AL1068" s="2">
        <f t="shared" si="146"/>
        <v>0</v>
      </c>
      <c r="AM1068" s="2">
        <f t="shared" si="147"/>
        <v>0</v>
      </c>
      <c r="AN1068" s="2">
        <f t="shared" si="148"/>
        <v>0</v>
      </c>
      <c r="AO1068" s="2">
        <f t="shared" si="149"/>
        <v>0</v>
      </c>
      <c r="AP1068" s="2">
        <f t="shared" si="150"/>
        <v>0</v>
      </c>
      <c r="AQ1068" s="25">
        <f t="shared" si="151"/>
        <v>0</v>
      </c>
    </row>
    <row r="1069" spans="1:43">
      <c r="A1069" s="24">
        <v>46142</v>
      </c>
      <c r="B1069" s="23">
        <f t="shared" si="144"/>
        <v>46113</v>
      </c>
      <c r="C1069" s="2" t="s">
        <v>160</v>
      </c>
      <c r="D1069" s="2" t="s">
        <v>452</v>
      </c>
      <c r="E1069" s="2">
        <v>1805</v>
      </c>
      <c r="F1069" s="2">
        <v>235</v>
      </c>
      <c r="G1069" s="2">
        <v>132</v>
      </c>
      <c r="H1069" s="2">
        <f t="shared" si="152"/>
        <v>103</v>
      </c>
      <c r="I1069" s="2">
        <v>0</v>
      </c>
      <c r="J1069" s="2">
        <v>0</v>
      </c>
      <c r="K1069" s="2">
        <v>0</v>
      </c>
      <c r="L1069" s="2">
        <v>0</v>
      </c>
      <c r="M1069" s="2">
        <v>103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/>
      <c r="AJ1069" s="2" t="s">
        <v>77</v>
      </c>
      <c r="AK1069" s="2">
        <f t="shared" si="145"/>
        <v>0</v>
      </c>
      <c r="AL1069" s="2">
        <f t="shared" si="146"/>
        <v>103</v>
      </c>
      <c r="AM1069" s="2">
        <f t="shared" si="147"/>
        <v>0</v>
      </c>
      <c r="AN1069" s="2">
        <f t="shared" si="148"/>
        <v>0</v>
      </c>
      <c r="AO1069" s="2">
        <f t="shared" si="149"/>
        <v>0</v>
      </c>
      <c r="AP1069" s="2">
        <f t="shared" si="150"/>
        <v>0</v>
      </c>
      <c r="AQ1069" s="25">
        <f t="shared" si="151"/>
        <v>0</v>
      </c>
    </row>
    <row r="1070" spans="1:43">
      <c r="A1070" s="24">
        <v>46142</v>
      </c>
      <c r="B1070" s="23">
        <f t="shared" si="144"/>
        <v>46113</v>
      </c>
      <c r="C1070" s="2" t="s">
        <v>114</v>
      </c>
      <c r="D1070" s="2" t="s">
        <v>439</v>
      </c>
      <c r="E1070" s="2">
        <v>1733</v>
      </c>
      <c r="F1070" s="2">
        <v>652</v>
      </c>
      <c r="G1070" s="2">
        <v>637</v>
      </c>
      <c r="H1070" s="2">
        <f t="shared" si="152"/>
        <v>15</v>
      </c>
      <c r="I1070" s="2">
        <v>10</v>
      </c>
      <c r="J1070" s="2">
        <v>0</v>
      </c>
      <c r="K1070" s="2">
        <v>2</v>
      </c>
      <c r="L1070" s="2">
        <v>0</v>
      </c>
      <c r="M1070" s="2">
        <v>0</v>
      </c>
      <c r="N1070" s="2">
        <v>0</v>
      </c>
      <c r="O1070" s="2">
        <v>1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2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/>
      <c r="AJ1070" s="2" t="s">
        <v>77</v>
      </c>
      <c r="AK1070" s="2">
        <f t="shared" si="145"/>
        <v>10</v>
      </c>
      <c r="AL1070" s="2">
        <f t="shared" si="146"/>
        <v>3</v>
      </c>
      <c r="AM1070" s="2">
        <f t="shared" si="147"/>
        <v>0</v>
      </c>
      <c r="AN1070" s="2">
        <f t="shared" si="148"/>
        <v>2</v>
      </c>
      <c r="AO1070" s="2">
        <f t="shared" si="149"/>
        <v>0</v>
      </c>
      <c r="AP1070" s="2">
        <f t="shared" si="150"/>
        <v>0</v>
      </c>
      <c r="AQ1070" s="25">
        <f t="shared" si="151"/>
        <v>0</v>
      </c>
    </row>
    <row r="1071" spans="1:43">
      <c r="A1071" s="24">
        <v>46142</v>
      </c>
      <c r="B1071" s="23">
        <f t="shared" si="144"/>
        <v>46113</v>
      </c>
      <c r="C1071" s="2" t="s">
        <v>160</v>
      </c>
      <c r="D1071" s="2" t="s">
        <v>452</v>
      </c>
      <c r="E1071" s="2">
        <v>1805</v>
      </c>
      <c r="F1071" s="2">
        <v>232</v>
      </c>
      <c r="G1071" s="2">
        <v>213</v>
      </c>
      <c r="H1071" s="2">
        <f t="shared" si="152"/>
        <v>19</v>
      </c>
      <c r="I1071" s="2">
        <v>14</v>
      </c>
      <c r="J1071" s="2">
        <v>0</v>
      </c>
      <c r="K1071" s="2">
        <v>5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/>
      <c r="AJ1071" s="2" t="s">
        <v>77</v>
      </c>
      <c r="AK1071" s="2">
        <f t="shared" si="145"/>
        <v>14</v>
      </c>
      <c r="AL1071" s="2">
        <f t="shared" si="146"/>
        <v>5</v>
      </c>
      <c r="AM1071" s="2">
        <f t="shared" si="147"/>
        <v>0</v>
      </c>
      <c r="AN1071" s="2">
        <f t="shared" si="148"/>
        <v>0</v>
      </c>
      <c r="AO1071" s="2">
        <f t="shared" si="149"/>
        <v>0</v>
      </c>
      <c r="AP1071" s="2">
        <f t="shared" si="150"/>
        <v>0</v>
      </c>
      <c r="AQ1071" s="25">
        <f t="shared" si="151"/>
        <v>0</v>
      </c>
    </row>
    <row r="1072" spans="1:43">
      <c r="A1072" s="24">
        <v>46142</v>
      </c>
      <c r="B1072" s="23">
        <f t="shared" si="144"/>
        <v>46113</v>
      </c>
      <c r="C1072" s="2" t="s">
        <v>55</v>
      </c>
      <c r="D1072" s="2" t="s">
        <v>431</v>
      </c>
      <c r="E1072" s="2">
        <v>1806</v>
      </c>
      <c r="F1072" s="2">
        <v>50</v>
      </c>
      <c r="G1072" s="2">
        <v>50</v>
      </c>
      <c r="H1072" s="2">
        <f t="shared" si="152"/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/>
      <c r="AJ1072" s="2" t="s">
        <v>77</v>
      </c>
      <c r="AK1072" s="2">
        <f t="shared" si="145"/>
        <v>0</v>
      </c>
      <c r="AL1072" s="2">
        <f t="shared" si="146"/>
        <v>0</v>
      </c>
      <c r="AM1072" s="2">
        <f t="shared" si="147"/>
        <v>0</v>
      </c>
      <c r="AN1072" s="2">
        <f t="shared" si="148"/>
        <v>0</v>
      </c>
      <c r="AO1072" s="2">
        <f t="shared" si="149"/>
        <v>0</v>
      </c>
      <c r="AP1072" s="2">
        <f t="shared" si="150"/>
        <v>0</v>
      </c>
      <c r="AQ1072" s="25">
        <f t="shared" si="151"/>
        <v>0</v>
      </c>
    </row>
    <row r="1073" spans="1:43">
      <c r="A1073" s="24">
        <v>46142</v>
      </c>
      <c r="B1073" s="23">
        <f t="shared" si="144"/>
        <v>46113</v>
      </c>
      <c r="C1073" s="2" t="s">
        <v>82</v>
      </c>
      <c r="D1073" s="2" t="s">
        <v>507</v>
      </c>
      <c r="E1073" s="2">
        <v>2725</v>
      </c>
      <c r="F1073" s="2">
        <v>584</v>
      </c>
      <c r="G1073" s="2">
        <v>579</v>
      </c>
      <c r="H1073" s="2">
        <f t="shared" si="152"/>
        <v>5</v>
      </c>
      <c r="I1073" s="2">
        <v>0</v>
      </c>
      <c r="J1073" s="2">
        <v>0</v>
      </c>
      <c r="K1073" s="2">
        <v>5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/>
      <c r="AJ1073" s="2" t="s">
        <v>77</v>
      </c>
      <c r="AK1073" s="2">
        <f t="shared" si="145"/>
        <v>0</v>
      </c>
      <c r="AL1073" s="2">
        <f t="shared" si="146"/>
        <v>5</v>
      </c>
      <c r="AM1073" s="2">
        <f t="shared" si="147"/>
        <v>0</v>
      </c>
      <c r="AN1073" s="2">
        <f t="shared" si="148"/>
        <v>0</v>
      </c>
      <c r="AO1073" s="2">
        <f t="shared" si="149"/>
        <v>0</v>
      </c>
      <c r="AP1073" s="2">
        <f t="shared" si="150"/>
        <v>0</v>
      </c>
      <c r="AQ1073" s="25">
        <f t="shared" si="151"/>
        <v>0</v>
      </c>
    </row>
    <row r="1074" spans="1:43">
      <c r="A1074" s="31">
        <v>46142</v>
      </c>
      <c r="B1074" s="32">
        <f t="shared" si="144"/>
        <v>46113</v>
      </c>
      <c r="C1074" s="2" t="s">
        <v>114</v>
      </c>
      <c r="D1074" s="2" t="s">
        <v>439</v>
      </c>
      <c r="E1074" s="2">
        <v>1733</v>
      </c>
      <c r="F1074" s="2">
        <v>84</v>
      </c>
      <c r="G1074" s="2">
        <v>81</v>
      </c>
      <c r="H1074" s="2">
        <f t="shared" si="152"/>
        <v>3</v>
      </c>
      <c r="I1074" s="2">
        <v>1</v>
      </c>
      <c r="J1074" s="2">
        <v>0</v>
      </c>
      <c r="K1074" s="2">
        <v>2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33"/>
      <c r="AJ1074" s="2" t="s">
        <v>77</v>
      </c>
      <c r="AK1074" s="33">
        <f t="shared" si="145"/>
        <v>1</v>
      </c>
      <c r="AL1074" s="33">
        <f t="shared" si="146"/>
        <v>2</v>
      </c>
      <c r="AM1074" s="33">
        <f t="shared" si="147"/>
        <v>0</v>
      </c>
      <c r="AN1074" s="33">
        <f t="shared" si="148"/>
        <v>0</v>
      </c>
      <c r="AO1074" s="33">
        <f t="shared" si="149"/>
        <v>0</v>
      </c>
      <c r="AP1074" s="33">
        <f t="shared" si="150"/>
        <v>0</v>
      </c>
      <c r="AQ1074" s="34">
        <f t="shared" si="151"/>
        <v>0</v>
      </c>
    </row>
  </sheetData>
  <pageMargins left="0.7" right="0.7" top="0.75" bottom="0.75" header="0.3" footer="0.3"/>
  <headerFooter>
    <oddFooter>&amp;L_x000D_&amp;1#&amp;"Calibri"&amp;8&amp;K000000 Sensitivity: 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F970-4D65-4F40-9988-B5078B66500A}">
  <dimension ref="A1:O3209"/>
  <sheetViews>
    <sheetView topLeftCell="B1" workbookViewId="0">
      <selection activeCell="M1" sqref="M1"/>
    </sheetView>
  </sheetViews>
  <sheetFormatPr defaultRowHeight="15"/>
  <cols>
    <col min="1" max="1" width="16.85546875" bestFit="1" customWidth="1"/>
    <col min="2" max="2" width="25.85546875" bestFit="1" customWidth="1"/>
    <col min="3" max="3" width="9" customWidth="1"/>
    <col min="4" max="4" width="17.5703125" bestFit="1" customWidth="1"/>
    <col min="5" max="5" width="18.28515625" bestFit="1" customWidth="1"/>
    <col min="6" max="6" width="13.28515625" customWidth="1"/>
    <col min="10" max="10" width="13.140625" bestFit="1" customWidth="1"/>
    <col min="11" max="11" width="11.140625" bestFit="1" customWidth="1"/>
    <col min="13" max="13" width="14.85546875" bestFit="1" customWidth="1"/>
    <col min="14" max="14" width="11.140625" bestFit="1" customWidth="1"/>
  </cols>
  <sheetData>
    <row r="1" spans="1:15" ht="18">
      <c r="A1" s="13" t="s">
        <v>1174</v>
      </c>
      <c r="B1" s="13" t="s">
        <v>1175</v>
      </c>
      <c r="C1" s="13" t="s">
        <v>48</v>
      </c>
      <c r="D1" s="13" t="s">
        <v>1176</v>
      </c>
      <c r="E1" s="14" t="s">
        <v>0</v>
      </c>
      <c r="F1" s="19" t="s">
        <v>1182</v>
      </c>
    </row>
    <row r="2" spans="1:15" ht="20.25">
      <c r="A2" s="49"/>
      <c r="B2" s="47" t="s">
        <v>1013</v>
      </c>
      <c r="C2" s="47">
        <v>1</v>
      </c>
      <c r="D2" s="47" t="s">
        <v>46</v>
      </c>
      <c r="E2" s="12">
        <v>46114</v>
      </c>
      <c r="F2" s="20">
        <f t="shared" ref="F2:F65" si="0">EOMONTH(E2,-1)+1</f>
        <v>46113</v>
      </c>
      <c r="M2" s="21" t="s">
        <v>1182</v>
      </c>
      <c r="N2" s="21" t="s">
        <v>1183</v>
      </c>
    </row>
    <row r="3" spans="1:15" ht="20.25">
      <c r="A3" s="49"/>
      <c r="B3" s="47" t="s">
        <v>630</v>
      </c>
      <c r="C3" s="47">
        <v>229</v>
      </c>
      <c r="D3" s="47" t="s">
        <v>62</v>
      </c>
      <c r="E3" s="12">
        <v>46114</v>
      </c>
      <c r="F3" s="20">
        <f t="shared" si="0"/>
        <v>46113</v>
      </c>
      <c r="M3" s="22">
        <v>46113</v>
      </c>
      <c r="N3" s="21" t="s">
        <v>97</v>
      </c>
      <c r="O3" s="21">
        <f>SUMIFS(OUTPUT[ACC],OUTPUT[MONTH],$M$3,OUTPUT[ACT GR],$N3)</f>
        <v>22346</v>
      </c>
    </row>
    <row r="4" spans="1:15" ht="20.25">
      <c r="A4" s="49"/>
      <c r="B4" s="47" t="s">
        <v>614</v>
      </c>
      <c r="C4" s="47">
        <v>246</v>
      </c>
      <c r="D4" s="47" t="s">
        <v>62</v>
      </c>
      <c r="E4" s="12">
        <v>46114</v>
      </c>
      <c r="F4" s="20">
        <f t="shared" si="0"/>
        <v>46113</v>
      </c>
      <c r="N4" s="21" t="s">
        <v>160</v>
      </c>
      <c r="O4" s="21">
        <f>SUMIFS(OUTPUT[ACC],OUTPUT[MONTH],$M$3,OUTPUT[ACT GR],$N4)</f>
        <v>27094</v>
      </c>
    </row>
    <row r="5" spans="1:15" ht="20.25">
      <c r="A5" s="49"/>
      <c r="B5" s="47" t="s">
        <v>655</v>
      </c>
      <c r="C5" s="47">
        <v>500</v>
      </c>
      <c r="D5" s="47" t="s">
        <v>62</v>
      </c>
      <c r="E5" s="12">
        <v>46114</v>
      </c>
      <c r="F5" s="20">
        <f t="shared" si="0"/>
        <v>46113</v>
      </c>
      <c r="N5" s="21" t="s">
        <v>114</v>
      </c>
      <c r="O5" s="21">
        <f>SUMIFS(OUTPUT[ACC],OUTPUT[MONTH],$M$3,OUTPUT[ACT GR],$N5)</f>
        <v>28758</v>
      </c>
    </row>
    <row r="6" spans="1:15" ht="20.25">
      <c r="A6" s="49"/>
      <c r="B6" s="47" t="s">
        <v>655</v>
      </c>
      <c r="C6" s="47">
        <v>122</v>
      </c>
      <c r="D6" s="47" t="s">
        <v>62</v>
      </c>
      <c r="E6" s="12">
        <v>46114</v>
      </c>
      <c r="F6" s="20">
        <f t="shared" si="0"/>
        <v>46113</v>
      </c>
      <c r="N6" s="21" t="s">
        <v>72</v>
      </c>
      <c r="O6" s="21">
        <f>SUMIFS(OUTPUT[ACC],OUTPUT[MONTH],$M$3,OUTPUT[ACT GR],$N6)</f>
        <v>49425</v>
      </c>
    </row>
    <row r="7" spans="1:15" ht="20.25">
      <c r="A7" s="49"/>
      <c r="B7" s="47" t="s">
        <v>739</v>
      </c>
      <c r="C7" s="47">
        <v>329</v>
      </c>
      <c r="D7" s="47" t="s">
        <v>55</v>
      </c>
      <c r="E7" s="12">
        <v>46114</v>
      </c>
      <c r="F7" s="20">
        <f t="shared" si="0"/>
        <v>46113</v>
      </c>
      <c r="N7" s="21" t="s">
        <v>82</v>
      </c>
      <c r="O7" s="21">
        <f>SUMIFS(OUTPUT[ACC],OUTPUT[MONTH],$M$3,OUTPUT[ACT GR],$N7)</f>
        <v>49386</v>
      </c>
    </row>
    <row r="8" spans="1:15" ht="20.25">
      <c r="A8" s="49"/>
      <c r="B8" s="47" t="s">
        <v>757</v>
      </c>
      <c r="C8" s="47">
        <v>66</v>
      </c>
      <c r="D8" s="47" t="s">
        <v>66</v>
      </c>
      <c r="E8" s="12">
        <v>46114</v>
      </c>
      <c r="F8" s="20">
        <f t="shared" si="0"/>
        <v>46113</v>
      </c>
      <c r="N8" s="21" t="s">
        <v>66</v>
      </c>
      <c r="O8" s="21">
        <f>SUMIFS(OUTPUT[ACC],OUTPUT[MONTH],$M$3,OUTPUT[ACT GR],$N8)</f>
        <v>47261</v>
      </c>
    </row>
    <row r="9" spans="1:15" ht="20.25">
      <c r="A9" s="49"/>
      <c r="B9" s="47" t="s">
        <v>714</v>
      </c>
      <c r="C9" s="47">
        <v>43</v>
      </c>
      <c r="D9" s="47" t="s">
        <v>66</v>
      </c>
      <c r="E9" s="12">
        <v>46114</v>
      </c>
      <c r="F9" s="20">
        <f t="shared" si="0"/>
        <v>46113</v>
      </c>
      <c r="N9" s="21" t="s">
        <v>62</v>
      </c>
      <c r="O9" s="21">
        <f>SUMIFS(OUTPUT[ACC],OUTPUT[MONTH],$M$3,OUTPUT[ACT GR],$N9)</f>
        <v>51088</v>
      </c>
    </row>
    <row r="10" spans="1:15" ht="20.25">
      <c r="A10" s="49"/>
      <c r="B10" s="47" t="s">
        <v>795</v>
      </c>
      <c r="C10" s="47">
        <v>105</v>
      </c>
      <c r="D10" s="47" t="s">
        <v>66</v>
      </c>
      <c r="E10" s="12">
        <v>46114</v>
      </c>
      <c r="F10" s="20">
        <f t="shared" si="0"/>
        <v>46113</v>
      </c>
      <c r="N10" s="21" t="s">
        <v>63</v>
      </c>
      <c r="O10" s="21">
        <f>SUMIFS(OUTPUT[ACC],OUTPUT[MONTH],$M$3,OUTPUT[ACT GR],$N10)</f>
        <v>47572</v>
      </c>
    </row>
    <row r="11" spans="1:15" ht="20.25">
      <c r="A11" s="49"/>
      <c r="B11" s="47" t="s">
        <v>1549</v>
      </c>
      <c r="C11" s="47">
        <v>485</v>
      </c>
      <c r="D11" s="47" t="s">
        <v>66</v>
      </c>
      <c r="E11" s="12">
        <v>46114</v>
      </c>
      <c r="F11" s="20">
        <f t="shared" si="0"/>
        <v>46113</v>
      </c>
      <c r="N11" s="21" t="s">
        <v>95</v>
      </c>
      <c r="O11" s="21">
        <f>SUMIFS(OUTPUT[ACC],OUTPUT[MONTH],$M$3,OUTPUT[ACT GR],$N11)</f>
        <v>49438</v>
      </c>
    </row>
    <row r="12" spans="1:15" ht="20.25">
      <c r="A12" s="49"/>
      <c r="B12" s="47" t="s">
        <v>693</v>
      </c>
      <c r="C12" s="47">
        <v>20</v>
      </c>
      <c r="D12" s="47" t="s">
        <v>66</v>
      </c>
      <c r="E12" s="12">
        <v>46114</v>
      </c>
      <c r="F12" s="20">
        <f t="shared" si="0"/>
        <v>46113</v>
      </c>
      <c r="N12" s="21" t="s">
        <v>46</v>
      </c>
      <c r="O12" s="21">
        <f>SUMIFS(OUTPUT[ACC],OUTPUT[MONTH],$M$3,OUTPUT[ACT GR],$N12)</f>
        <v>42979</v>
      </c>
    </row>
    <row r="13" spans="1:15" ht="20.25">
      <c r="A13" s="49"/>
      <c r="B13" s="47" t="s">
        <v>736</v>
      </c>
      <c r="C13" s="47">
        <v>36</v>
      </c>
      <c r="D13" s="47" t="s">
        <v>66</v>
      </c>
      <c r="E13" s="12">
        <v>46114</v>
      </c>
      <c r="F13" s="20">
        <f t="shared" si="0"/>
        <v>46113</v>
      </c>
      <c r="N13" s="21" t="s">
        <v>55</v>
      </c>
      <c r="O13" s="21">
        <f>SUMIFS(OUTPUT[ACC],OUTPUT[MONTH],$M$3,OUTPUT[ACT GR],$N13)</f>
        <v>48289</v>
      </c>
    </row>
    <row r="14" spans="1:15" ht="20.25">
      <c r="A14" s="49"/>
      <c r="B14" s="47" t="s">
        <v>1424</v>
      </c>
      <c r="C14" s="47">
        <v>269</v>
      </c>
      <c r="D14" s="47" t="s">
        <v>66</v>
      </c>
      <c r="E14" s="12">
        <v>46114</v>
      </c>
      <c r="F14" s="20">
        <f t="shared" si="0"/>
        <v>46113</v>
      </c>
      <c r="N14" s="21" t="s">
        <v>133</v>
      </c>
      <c r="O14" s="21">
        <f>SUMIFS(OUTPUT[ACC],OUTPUT[MONTH],$M$3,OUTPUT[ACT GR],$N14)</f>
        <v>11618</v>
      </c>
    </row>
    <row r="15" spans="1:15" ht="20.25">
      <c r="A15" s="49"/>
      <c r="B15" s="47" t="s">
        <v>1424</v>
      </c>
      <c r="C15" s="47">
        <v>88</v>
      </c>
      <c r="D15" s="47" t="s">
        <v>66</v>
      </c>
      <c r="E15" s="12">
        <v>46114</v>
      </c>
      <c r="F15" s="20">
        <f t="shared" si="0"/>
        <v>46113</v>
      </c>
      <c r="N15" s="21" t="s">
        <v>1484</v>
      </c>
      <c r="O15" s="21">
        <f>SUMIFS(OUTPUT[ACC],OUTPUT[MONTH],$M$3,OUTPUT[ACT GR],$N15)</f>
        <v>10323</v>
      </c>
    </row>
    <row r="16" spans="1:15" ht="20.25">
      <c r="A16" s="49"/>
      <c r="B16" s="47" t="s">
        <v>1099</v>
      </c>
      <c r="C16" s="47">
        <v>54</v>
      </c>
      <c r="D16" s="47" t="s">
        <v>66</v>
      </c>
      <c r="E16" s="12">
        <v>46114</v>
      </c>
      <c r="F16" s="20">
        <f t="shared" si="0"/>
        <v>46113</v>
      </c>
      <c r="N16" s="51" t="s">
        <v>1354</v>
      </c>
      <c r="O16" s="50">
        <f>SUM(O3:O15)</f>
        <v>485577</v>
      </c>
    </row>
    <row r="17" spans="1:6" ht="20.25">
      <c r="A17" s="49"/>
      <c r="B17" s="47" t="s">
        <v>1099</v>
      </c>
      <c r="C17" s="47">
        <v>717</v>
      </c>
      <c r="D17" s="47" t="s">
        <v>66</v>
      </c>
      <c r="E17" s="12">
        <v>46114</v>
      </c>
      <c r="F17" s="20">
        <f t="shared" si="0"/>
        <v>46113</v>
      </c>
    </row>
    <row r="18" spans="1:6" ht="20.25">
      <c r="A18" s="49"/>
      <c r="B18" s="47" t="s">
        <v>1099</v>
      </c>
      <c r="C18" s="47">
        <v>1000</v>
      </c>
      <c r="D18" s="47" t="s">
        <v>66</v>
      </c>
      <c r="E18" s="12">
        <v>46114</v>
      </c>
      <c r="F18" s="20">
        <f t="shared" si="0"/>
        <v>46113</v>
      </c>
    </row>
    <row r="19" spans="1:6" ht="20.25">
      <c r="A19" s="49"/>
      <c r="B19" s="47" t="s">
        <v>1072</v>
      </c>
      <c r="C19" s="47">
        <v>304</v>
      </c>
      <c r="D19" s="47" t="s">
        <v>66</v>
      </c>
      <c r="E19" s="12">
        <v>46114</v>
      </c>
      <c r="F19" s="20">
        <f t="shared" si="0"/>
        <v>46113</v>
      </c>
    </row>
    <row r="20" spans="1:6" ht="20.25">
      <c r="A20" s="49"/>
      <c r="B20" s="47" t="s">
        <v>771</v>
      </c>
      <c r="C20" s="47">
        <v>67</v>
      </c>
      <c r="D20" s="47" t="s">
        <v>62</v>
      </c>
      <c r="E20" s="12">
        <v>46114</v>
      </c>
      <c r="F20" s="20">
        <f t="shared" si="0"/>
        <v>46113</v>
      </c>
    </row>
    <row r="21" spans="1:6" ht="20.25">
      <c r="A21" s="49"/>
      <c r="B21" s="47" t="s">
        <v>1172</v>
      </c>
      <c r="C21" s="47">
        <v>261</v>
      </c>
      <c r="D21" s="47" t="s">
        <v>62</v>
      </c>
      <c r="E21" s="12">
        <v>46114</v>
      </c>
      <c r="F21" s="20">
        <f t="shared" si="0"/>
        <v>46113</v>
      </c>
    </row>
    <row r="22" spans="1:6" ht="20.25">
      <c r="A22" s="49"/>
      <c r="B22" s="47" t="s">
        <v>613</v>
      </c>
      <c r="C22" s="47">
        <v>104</v>
      </c>
      <c r="D22" s="47" t="s">
        <v>62</v>
      </c>
      <c r="E22" s="12">
        <v>46114</v>
      </c>
      <c r="F22" s="20">
        <f t="shared" si="0"/>
        <v>46113</v>
      </c>
    </row>
    <row r="23" spans="1:6" ht="20.25">
      <c r="A23" s="49"/>
      <c r="B23" s="47" t="s">
        <v>691</v>
      </c>
      <c r="C23" s="47">
        <v>49</v>
      </c>
      <c r="D23" s="47" t="s">
        <v>62</v>
      </c>
      <c r="E23" s="12">
        <v>46114</v>
      </c>
      <c r="F23" s="20">
        <f t="shared" si="0"/>
        <v>46113</v>
      </c>
    </row>
    <row r="24" spans="1:6" ht="20.25">
      <c r="A24" s="49"/>
      <c r="B24" s="47" t="s">
        <v>831</v>
      </c>
      <c r="C24" s="47">
        <v>106</v>
      </c>
      <c r="D24" s="47" t="s">
        <v>62</v>
      </c>
      <c r="E24" s="12">
        <v>46114</v>
      </c>
      <c r="F24" s="20">
        <f t="shared" si="0"/>
        <v>46113</v>
      </c>
    </row>
    <row r="25" spans="1:6" ht="20.25">
      <c r="A25" s="49"/>
      <c r="B25" s="47" t="s">
        <v>831</v>
      </c>
      <c r="C25" s="47">
        <v>47</v>
      </c>
      <c r="D25" s="47" t="s">
        <v>62</v>
      </c>
      <c r="E25" s="12">
        <v>46114</v>
      </c>
      <c r="F25" s="20">
        <f t="shared" si="0"/>
        <v>46113</v>
      </c>
    </row>
    <row r="26" spans="1:6" ht="20.25">
      <c r="A26" s="49"/>
      <c r="B26" s="47" t="s">
        <v>833</v>
      </c>
      <c r="C26" s="47">
        <v>234</v>
      </c>
      <c r="D26" s="47" t="s">
        <v>62</v>
      </c>
      <c r="E26" s="12">
        <v>46114</v>
      </c>
      <c r="F26" s="20">
        <f t="shared" si="0"/>
        <v>46113</v>
      </c>
    </row>
    <row r="27" spans="1:6" ht="20.25">
      <c r="A27" s="49"/>
      <c r="B27" s="47" t="s">
        <v>1083</v>
      </c>
      <c r="C27" s="47">
        <v>1</v>
      </c>
      <c r="D27" s="47" t="s">
        <v>62</v>
      </c>
      <c r="E27" s="12">
        <v>46114</v>
      </c>
      <c r="F27" s="20">
        <f t="shared" si="0"/>
        <v>46113</v>
      </c>
    </row>
    <row r="28" spans="1:6" ht="20.25">
      <c r="A28" s="49"/>
      <c r="B28" s="47" t="s">
        <v>1083</v>
      </c>
      <c r="C28" s="47">
        <v>142</v>
      </c>
      <c r="D28" s="47" t="s">
        <v>62</v>
      </c>
      <c r="E28" s="12">
        <v>46114</v>
      </c>
      <c r="F28" s="20">
        <f t="shared" si="0"/>
        <v>46113</v>
      </c>
    </row>
    <row r="29" spans="1:6" ht="20.25">
      <c r="A29" s="49"/>
      <c r="B29" s="47" t="s">
        <v>711</v>
      </c>
      <c r="C29" s="47">
        <v>61</v>
      </c>
      <c r="D29" s="47" t="s">
        <v>62</v>
      </c>
      <c r="E29" s="12">
        <v>46114</v>
      </c>
      <c r="F29" s="20">
        <f t="shared" si="0"/>
        <v>46113</v>
      </c>
    </row>
    <row r="30" spans="1:6" ht="20.25">
      <c r="A30" s="49"/>
      <c r="B30" s="47" t="s">
        <v>711</v>
      </c>
      <c r="C30" s="47">
        <v>37</v>
      </c>
      <c r="D30" s="47" t="s">
        <v>62</v>
      </c>
      <c r="E30" s="12">
        <v>46114</v>
      </c>
      <c r="F30" s="20">
        <f t="shared" si="0"/>
        <v>46113</v>
      </c>
    </row>
    <row r="31" spans="1:6" ht="20.25">
      <c r="A31" s="49"/>
      <c r="B31" s="47" t="s">
        <v>748</v>
      </c>
      <c r="C31" s="47">
        <v>36</v>
      </c>
      <c r="D31" s="47" t="s">
        <v>62</v>
      </c>
      <c r="E31" s="12">
        <v>46114</v>
      </c>
      <c r="F31" s="20">
        <f t="shared" si="0"/>
        <v>46113</v>
      </c>
    </row>
    <row r="32" spans="1:6" ht="20.25">
      <c r="A32" s="49"/>
      <c r="B32" s="47" t="s">
        <v>1071</v>
      </c>
      <c r="C32" s="47">
        <v>57</v>
      </c>
      <c r="D32" s="47" t="s">
        <v>62</v>
      </c>
      <c r="E32" s="12">
        <v>46114</v>
      </c>
      <c r="F32" s="20">
        <f t="shared" si="0"/>
        <v>46113</v>
      </c>
    </row>
    <row r="33" spans="1:6" ht="20.25">
      <c r="A33" s="49"/>
      <c r="B33" s="47" t="s">
        <v>1022</v>
      </c>
      <c r="C33" s="47">
        <v>93</v>
      </c>
      <c r="D33" s="47" t="s">
        <v>62</v>
      </c>
      <c r="E33" s="12">
        <v>46114</v>
      </c>
      <c r="F33" s="20">
        <f t="shared" si="0"/>
        <v>46113</v>
      </c>
    </row>
    <row r="34" spans="1:6" ht="20.25">
      <c r="A34" s="49"/>
      <c r="B34" s="47" t="s">
        <v>1022</v>
      </c>
      <c r="C34" s="47">
        <v>224</v>
      </c>
      <c r="D34" s="47" t="s">
        <v>62</v>
      </c>
      <c r="E34" s="12">
        <v>46114</v>
      </c>
      <c r="F34" s="20">
        <f t="shared" si="0"/>
        <v>46113</v>
      </c>
    </row>
    <row r="35" spans="1:6" ht="20.25">
      <c r="A35" s="49"/>
      <c r="B35" s="47" t="s">
        <v>853</v>
      </c>
      <c r="C35" s="47">
        <v>151</v>
      </c>
      <c r="D35" s="47" t="s">
        <v>62</v>
      </c>
      <c r="E35" s="12">
        <v>46114</v>
      </c>
      <c r="F35" s="20">
        <f t="shared" si="0"/>
        <v>46113</v>
      </c>
    </row>
    <row r="36" spans="1:6" ht="20.25">
      <c r="A36" s="49"/>
      <c r="B36" s="47" t="s">
        <v>744</v>
      </c>
      <c r="C36" s="47">
        <v>39</v>
      </c>
      <c r="D36" s="47" t="s">
        <v>62</v>
      </c>
      <c r="E36" s="12">
        <v>46114</v>
      </c>
      <c r="F36" s="20">
        <f t="shared" si="0"/>
        <v>46113</v>
      </c>
    </row>
    <row r="37" spans="1:6" ht="20.25">
      <c r="A37" s="49"/>
      <c r="B37" s="47" t="s">
        <v>1081</v>
      </c>
      <c r="C37" s="47">
        <v>64</v>
      </c>
      <c r="D37" s="47" t="s">
        <v>62</v>
      </c>
      <c r="E37" s="12">
        <v>46114</v>
      </c>
      <c r="F37" s="20">
        <f t="shared" si="0"/>
        <v>46113</v>
      </c>
    </row>
    <row r="38" spans="1:6" ht="20.25">
      <c r="A38" s="49"/>
      <c r="B38" s="47" t="s">
        <v>1324</v>
      </c>
      <c r="C38" s="47">
        <v>32</v>
      </c>
      <c r="D38" s="47" t="s">
        <v>62</v>
      </c>
      <c r="E38" s="12">
        <v>46114</v>
      </c>
      <c r="F38" s="20">
        <f t="shared" si="0"/>
        <v>46113</v>
      </c>
    </row>
    <row r="39" spans="1:6" ht="20.25">
      <c r="A39" s="49"/>
      <c r="B39" s="47" t="s">
        <v>1531</v>
      </c>
      <c r="C39" s="47">
        <v>26</v>
      </c>
      <c r="D39" s="47" t="s">
        <v>62</v>
      </c>
      <c r="E39" s="12">
        <v>46114</v>
      </c>
      <c r="F39" s="20">
        <f t="shared" si="0"/>
        <v>46113</v>
      </c>
    </row>
    <row r="40" spans="1:6" ht="20.25">
      <c r="A40" s="49"/>
      <c r="B40" s="47" t="s">
        <v>1044</v>
      </c>
      <c r="C40" s="47">
        <v>412</v>
      </c>
      <c r="D40" s="47" t="s">
        <v>62</v>
      </c>
      <c r="E40" s="12">
        <v>46114</v>
      </c>
      <c r="F40" s="20">
        <f t="shared" si="0"/>
        <v>46113</v>
      </c>
    </row>
    <row r="41" spans="1:6" ht="20.25">
      <c r="A41" s="49"/>
      <c r="B41" s="47" t="s">
        <v>1044</v>
      </c>
      <c r="C41" s="47">
        <v>55</v>
      </c>
      <c r="D41" s="47" t="s">
        <v>62</v>
      </c>
      <c r="E41" s="12">
        <v>46114</v>
      </c>
      <c r="F41" s="20">
        <f t="shared" si="0"/>
        <v>46113</v>
      </c>
    </row>
    <row r="42" spans="1:6" ht="20.25">
      <c r="A42" s="49"/>
      <c r="B42" s="47" t="s">
        <v>688</v>
      </c>
      <c r="C42" s="47">
        <v>554</v>
      </c>
      <c r="D42" s="47" t="s">
        <v>62</v>
      </c>
      <c r="E42" s="12">
        <v>46114</v>
      </c>
      <c r="F42" s="20">
        <f t="shared" si="0"/>
        <v>46113</v>
      </c>
    </row>
    <row r="43" spans="1:6" ht="20.25">
      <c r="A43" s="49"/>
      <c r="B43" s="47" t="s">
        <v>741</v>
      </c>
      <c r="C43" s="47">
        <v>75</v>
      </c>
      <c r="D43" s="47" t="s">
        <v>62</v>
      </c>
      <c r="E43" s="12">
        <v>46114</v>
      </c>
      <c r="F43" s="20">
        <f t="shared" si="0"/>
        <v>46113</v>
      </c>
    </row>
    <row r="44" spans="1:6" ht="20.25">
      <c r="A44" s="49"/>
      <c r="B44" s="47" t="s">
        <v>883</v>
      </c>
      <c r="C44" s="47">
        <v>73</v>
      </c>
      <c r="D44" s="47" t="s">
        <v>62</v>
      </c>
      <c r="E44" s="12">
        <v>46114</v>
      </c>
      <c r="F44" s="20">
        <f t="shared" si="0"/>
        <v>46113</v>
      </c>
    </row>
    <row r="45" spans="1:6" ht="20.25">
      <c r="A45" s="49"/>
      <c r="B45" s="47" t="s">
        <v>630</v>
      </c>
      <c r="C45" s="47">
        <v>26</v>
      </c>
      <c r="D45" s="47" t="s">
        <v>62</v>
      </c>
      <c r="E45" s="12">
        <v>46114</v>
      </c>
      <c r="F45" s="20">
        <f t="shared" si="0"/>
        <v>46113</v>
      </c>
    </row>
    <row r="46" spans="1:6" ht="20.25">
      <c r="A46" s="49"/>
      <c r="B46" s="47" t="s">
        <v>630</v>
      </c>
      <c r="C46" s="47">
        <v>78</v>
      </c>
      <c r="D46" s="47" t="s">
        <v>62</v>
      </c>
      <c r="E46" s="12">
        <v>46114</v>
      </c>
      <c r="F46" s="20">
        <f t="shared" si="0"/>
        <v>46113</v>
      </c>
    </row>
    <row r="47" spans="1:6" ht="20.25">
      <c r="A47" s="49"/>
      <c r="B47" s="47" t="s">
        <v>887</v>
      </c>
      <c r="C47" s="47">
        <v>31</v>
      </c>
      <c r="D47" s="47" t="s">
        <v>62</v>
      </c>
      <c r="E47" s="12">
        <v>46114</v>
      </c>
      <c r="F47" s="20">
        <f t="shared" si="0"/>
        <v>46113</v>
      </c>
    </row>
    <row r="48" spans="1:6" ht="20.25">
      <c r="A48" s="49"/>
      <c r="B48" s="47" t="s">
        <v>798</v>
      </c>
      <c r="C48" s="47">
        <v>105</v>
      </c>
      <c r="D48" s="47" t="s">
        <v>62</v>
      </c>
      <c r="E48" s="12">
        <v>46114</v>
      </c>
      <c r="F48" s="20">
        <f t="shared" si="0"/>
        <v>46113</v>
      </c>
    </row>
    <row r="49" spans="1:6" ht="20.25">
      <c r="A49" s="49"/>
      <c r="B49" s="47" t="s">
        <v>1280</v>
      </c>
      <c r="C49" s="47">
        <v>156</v>
      </c>
      <c r="D49" s="47" t="s">
        <v>62</v>
      </c>
      <c r="E49" s="12">
        <v>46114</v>
      </c>
      <c r="F49" s="20">
        <f t="shared" si="0"/>
        <v>46113</v>
      </c>
    </row>
    <row r="50" spans="1:6" ht="20.25">
      <c r="A50" s="49"/>
      <c r="B50" s="47" t="s">
        <v>1280</v>
      </c>
      <c r="C50" s="47">
        <v>153</v>
      </c>
      <c r="D50" s="47" t="s">
        <v>62</v>
      </c>
      <c r="E50" s="12">
        <v>46114</v>
      </c>
      <c r="F50" s="20">
        <f t="shared" si="0"/>
        <v>46113</v>
      </c>
    </row>
    <row r="51" spans="1:6" ht="20.25">
      <c r="A51" s="49"/>
      <c r="B51" s="47" t="s">
        <v>1025</v>
      </c>
      <c r="C51" s="47">
        <v>27</v>
      </c>
      <c r="D51" s="47" t="s">
        <v>62</v>
      </c>
      <c r="E51" s="12">
        <v>46114</v>
      </c>
      <c r="F51" s="20">
        <f t="shared" si="0"/>
        <v>46113</v>
      </c>
    </row>
    <row r="52" spans="1:6" ht="20.25">
      <c r="A52" s="49"/>
      <c r="B52" s="47" t="s">
        <v>650</v>
      </c>
      <c r="C52" s="47">
        <v>43</v>
      </c>
      <c r="D52" s="47" t="s">
        <v>62</v>
      </c>
      <c r="E52" s="12">
        <v>46114</v>
      </c>
      <c r="F52" s="20">
        <f t="shared" si="0"/>
        <v>46113</v>
      </c>
    </row>
    <row r="53" spans="1:6" ht="20.25">
      <c r="A53" s="49"/>
      <c r="B53" s="47" t="s">
        <v>1253</v>
      </c>
      <c r="C53" s="47">
        <v>27</v>
      </c>
      <c r="D53" s="47" t="s">
        <v>62</v>
      </c>
      <c r="E53" s="12">
        <v>46114</v>
      </c>
      <c r="F53" s="20">
        <f t="shared" si="0"/>
        <v>46113</v>
      </c>
    </row>
    <row r="54" spans="1:6" ht="20.25">
      <c r="A54" s="49"/>
      <c r="B54" s="47" t="s">
        <v>796</v>
      </c>
      <c r="C54" s="47">
        <v>86</v>
      </c>
      <c r="D54" s="47" t="s">
        <v>62</v>
      </c>
      <c r="E54" s="12">
        <v>46114</v>
      </c>
      <c r="F54" s="20">
        <f t="shared" si="0"/>
        <v>46113</v>
      </c>
    </row>
    <row r="55" spans="1:6" ht="20.25">
      <c r="A55" s="49"/>
      <c r="B55" s="47" t="s">
        <v>651</v>
      </c>
      <c r="C55" s="47">
        <v>82</v>
      </c>
      <c r="D55" s="47" t="s">
        <v>62</v>
      </c>
      <c r="E55" s="12">
        <v>46114</v>
      </c>
      <c r="F55" s="20">
        <f t="shared" si="0"/>
        <v>46113</v>
      </c>
    </row>
    <row r="56" spans="1:6" ht="20.25">
      <c r="A56" s="49"/>
      <c r="B56" s="47" t="s">
        <v>814</v>
      </c>
      <c r="C56" s="47">
        <v>30</v>
      </c>
      <c r="D56" s="47" t="s">
        <v>62</v>
      </c>
      <c r="E56" s="12">
        <v>46114</v>
      </c>
      <c r="F56" s="20">
        <f t="shared" si="0"/>
        <v>46113</v>
      </c>
    </row>
    <row r="57" spans="1:6" ht="20.25">
      <c r="A57" s="49"/>
      <c r="B57" s="47" t="s">
        <v>971</v>
      </c>
      <c r="C57" s="47">
        <v>59</v>
      </c>
      <c r="D57" s="47" t="s">
        <v>62</v>
      </c>
      <c r="E57" s="12">
        <v>46114</v>
      </c>
      <c r="F57" s="20">
        <f t="shared" si="0"/>
        <v>46113</v>
      </c>
    </row>
    <row r="58" spans="1:6" ht="20.25">
      <c r="A58" s="49"/>
      <c r="B58" s="47" t="s">
        <v>656</v>
      </c>
      <c r="C58" s="47">
        <v>79</v>
      </c>
      <c r="D58" s="47" t="s">
        <v>62</v>
      </c>
      <c r="E58" s="12">
        <v>46114</v>
      </c>
      <c r="F58" s="20">
        <f t="shared" si="0"/>
        <v>46113</v>
      </c>
    </row>
    <row r="59" spans="1:6" ht="20.25">
      <c r="A59" s="49"/>
      <c r="B59" s="47" t="s">
        <v>656</v>
      </c>
      <c r="C59" s="47">
        <v>82</v>
      </c>
      <c r="D59" s="47" t="s">
        <v>62</v>
      </c>
      <c r="E59" s="12">
        <v>46114</v>
      </c>
      <c r="F59" s="20">
        <f t="shared" si="0"/>
        <v>46113</v>
      </c>
    </row>
    <row r="60" spans="1:6" ht="20.25">
      <c r="A60" s="49"/>
      <c r="B60" s="47" t="s">
        <v>826</v>
      </c>
      <c r="C60" s="47">
        <v>72</v>
      </c>
      <c r="D60" s="47" t="s">
        <v>62</v>
      </c>
      <c r="E60" s="12">
        <v>46114</v>
      </c>
      <c r="F60" s="20">
        <f t="shared" si="0"/>
        <v>46113</v>
      </c>
    </row>
    <row r="61" spans="1:6" ht="20.25">
      <c r="A61" s="49"/>
      <c r="B61" s="47" t="s">
        <v>921</v>
      </c>
      <c r="C61" s="47">
        <v>74</v>
      </c>
      <c r="D61" s="47" t="s">
        <v>62</v>
      </c>
      <c r="E61" s="12">
        <v>46114</v>
      </c>
      <c r="F61" s="20">
        <f t="shared" si="0"/>
        <v>46113</v>
      </c>
    </row>
    <row r="62" spans="1:6" ht="20.25">
      <c r="A62" s="49"/>
      <c r="B62" s="47" t="s">
        <v>824</v>
      </c>
      <c r="C62" s="47">
        <v>41</v>
      </c>
      <c r="D62" s="47" t="s">
        <v>62</v>
      </c>
      <c r="E62" s="12">
        <v>46114</v>
      </c>
      <c r="F62" s="20">
        <f t="shared" si="0"/>
        <v>46113</v>
      </c>
    </row>
    <row r="63" spans="1:6" ht="20.25">
      <c r="A63" s="49"/>
      <c r="B63" s="47" t="s">
        <v>824</v>
      </c>
      <c r="C63" s="47">
        <v>29</v>
      </c>
      <c r="D63" s="47" t="s">
        <v>62</v>
      </c>
      <c r="E63" s="12">
        <v>46114</v>
      </c>
      <c r="F63" s="20">
        <f t="shared" si="0"/>
        <v>46113</v>
      </c>
    </row>
    <row r="64" spans="1:6" ht="20.25">
      <c r="A64" s="49"/>
      <c r="B64" s="47" t="s">
        <v>782</v>
      </c>
      <c r="C64" s="47">
        <v>77</v>
      </c>
      <c r="D64" s="47" t="s">
        <v>62</v>
      </c>
      <c r="E64" s="12">
        <v>46114</v>
      </c>
      <c r="F64" s="20">
        <f t="shared" si="0"/>
        <v>46113</v>
      </c>
    </row>
    <row r="65" spans="1:6" ht="20.25">
      <c r="A65" s="49"/>
      <c r="B65" s="47" t="s">
        <v>782</v>
      </c>
      <c r="C65" s="47">
        <v>173</v>
      </c>
      <c r="D65" s="47" t="s">
        <v>62</v>
      </c>
      <c r="E65" s="12">
        <v>46114</v>
      </c>
      <c r="F65" s="20">
        <f t="shared" si="0"/>
        <v>46113</v>
      </c>
    </row>
    <row r="66" spans="1:6" ht="20.25">
      <c r="A66" s="49"/>
      <c r="B66" s="47" t="s">
        <v>782</v>
      </c>
      <c r="C66" s="47">
        <v>94</v>
      </c>
      <c r="D66" s="47" t="s">
        <v>62</v>
      </c>
      <c r="E66" s="12">
        <v>46114</v>
      </c>
      <c r="F66" s="20">
        <f t="shared" ref="F66:F129" si="1">EOMONTH(E66,-1)+1</f>
        <v>46113</v>
      </c>
    </row>
    <row r="67" spans="1:6" ht="20.25">
      <c r="A67" s="49"/>
      <c r="B67" s="47" t="s">
        <v>1233</v>
      </c>
      <c r="C67" s="47">
        <v>51</v>
      </c>
      <c r="D67" s="47" t="s">
        <v>62</v>
      </c>
      <c r="E67" s="12">
        <v>46114</v>
      </c>
      <c r="F67" s="20">
        <f t="shared" si="1"/>
        <v>46113</v>
      </c>
    </row>
    <row r="68" spans="1:6" ht="20.25">
      <c r="A68" s="49"/>
      <c r="B68" s="47" t="s">
        <v>1428</v>
      </c>
      <c r="C68" s="47">
        <v>97</v>
      </c>
      <c r="D68" s="47" t="s">
        <v>62</v>
      </c>
      <c r="E68" s="12">
        <v>46114</v>
      </c>
      <c r="F68" s="20">
        <f t="shared" si="1"/>
        <v>46113</v>
      </c>
    </row>
    <row r="69" spans="1:6" ht="20.25">
      <c r="A69" s="49"/>
      <c r="B69" s="47" t="s">
        <v>1427</v>
      </c>
      <c r="C69" s="47">
        <v>52</v>
      </c>
      <c r="D69" s="47" t="s">
        <v>62</v>
      </c>
      <c r="E69" s="12">
        <v>46114</v>
      </c>
      <c r="F69" s="20">
        <f t="shared" si="1"/>
        <v>46113</v>
      </c>
    </row>
    <row r="70" spans="1:6" ht="20.25">
      <c r="A70" s="49"/>
      <c r="B70" s="47" t="s">
        <v>1101</v>
      </c>
      <c r="C70" s="47">
        <v>77</v>
      </c>
      <c r="D70" s="47" t="s">
        <v>62</v>
      </c>
      <c r="E70" s="12">
        <v>46114</v>
      </c>
      <c r="F70" s="20">
        <f t="shared" si="1"/>
        <v>46113</v>
      </c>
    </row>
    <row r="71" spans="1:6" ht="20.25">
      <c r="A71" s="49"/>
      <c r="B71" s="47" t="s">
        <v>1101</v>
      </c>
      <c r="C71" s="47">
        <v>58</v>
      </c>
      <c r="D71" s="47" t="s">
        <v>62</v>
      </c>
      <c r="E71" s="12">
        <v>46114</v>
      </c>
      <c r="F71" s="20">
        <f t="shared" si="1"/>
        <v>46113</v>
      </c>
    </row>
    <row r="72" spans="1:6" ht="20.25">
      <c r="A72" s="49"/>
      <c r="B72" s="47" t="s">
        <v>797</v>
      </c>
      <c r="C72" s="47">
        <v>26</v>
      </c>
      <c r="D72" s="47" t="s">
        <v>62</v>
      </c>
      <c r="E72" s="12">
        <v>46114</v>
      </c>
      <c r="F72" s="20">
        <f t="shared" si="1"/>
        <v>46113</v>
      </c>
    </row>
    <row r="73" spans="1:6" ht="20.25">
      <c r="A73" s="49"/>
      <c r="B73" s="47" t="s">
        <v>1320</v>
      </c>
      <c r="C73" s="47">
        <v>37</v>
      </c>
      <c r="D73" s="47" t="s">
        <v>62</v>
      </c>
      <c r="E73" s="12">
        <v>46114</v>
      </c>
      <c r="F73" s="20">
        <f t="shared" si="1"/>
        <v>46113</v>
      </c>
    </row>
    <row r="74" spans="1:6" ht="20.25">
      <c r="A74" s="49"/>
      <c r="B74" s="47" t="s">
        <v>1132</v>
      </c>
      <c r="C74" s="47">
        <v>29</v>
      </c>
      <c r="D74" s="47" t="s">
        <v>62</v>
      </c>
      <c r="E74" s="12">
        <v>46114</v>
      </c>
      <c r="F74" s="20">
        <f t="shared" si="1"/>
        <v>46113</v>
      </c>
    </row>
    <row r="75" spans="1:6" ht="20.25">
      <c r="A75" s="49"/>
      <c r="B75" s="47" t="s">
        <v>1162</v>
      </c>
      <c r="C75" s="47">
        <v>60</v>
      </c>
      <c r="D75" s="47" t="s">
        <v>62</v>
      </c>
      <c r="E75" s="12">
        <v>46114</v>
      </c>
      <c r="F75" s="20">
        <f t="shared" si="1"/>
        <v>46113</v>
      </c>
    </row>
    <row r="76" spans="1:6" ht="20.25">
      <c r="A76" s="49"/>
      <c r="B76" s="47" t="s">
        <v>1162</v>
      </c>
      <c r="C76" s="47">
        <v>299</v>
      </c>
      <c r="D76" s="47" t="s">
        <v>62</v>
      </c>
      <c r="E76" s="12">
        <v>46114</v>
      </c>
      <c r="F76" s="20">
        <f t="shared" si="1"/>
        <v>46113</v>
      </c>
    </row>
    <row r="77" spans="1:6" ht="20.25">
      <c r="A77" s="49"/>
      <c r="B77" s="47" t="s">
        <v>1322</v>
      </c>
      <c r="C77" s="47">
        <v>157</v>
      </c>
      <c r="D77" s="47" t="s">
        <v>95</v>
      </c>
      <c r="E77" s="12">
        <v>46114</v>
      </c>
      <c r="F77" s="20">
        <f t="shared" si="1"/>
        <v>46113</v>
      </c>
    </row>
    <row r="78" spans="1:6" ht="20.25">
      <c r="A78" s="49"/>
      <c r="B78" s="47" t="s">
        <v>603</v>
      </c>
      <c r="C78" s="47">
        <v>92</v>
      </c>
      <c r="D78" s="47" t="s">
        <v>95</v>
      </c>
      <c r="E78" s="12">
        <v>46114</v>
      </c>
      <c r="F78" s="20">
        <f t="shared" si="1"/>
        <v>46113</v>
      </c>
    </row>
    <row r="79" spans="1:6" ht="20.25">
      <c r="A79" s="49"/>
      <c r="B79" s="47" t="s">
        <v>715</v>
      </c>
      <c r="C79" s="47">
        <v>64</v>
      </c>
      <c r="D79" s="47" t="s">
        <v>95</v>
      </c>
      <c r="E79" s="12">
        <v>46114</v>
      </c>
      <c r="F79" s="20">
        <f t="shared" si="1"/>
        <v>46113</v>
      </c>
    </row>
    <row r="80" spans="1:6" ht="20.25">
      <c r="A80" s="49"/>
      <c r="B80" s="47" t="s">
        <v>708</v>
      </c>
      <c r="C80" s="47">
        <v>83</v>
      </c>
      <c r="D80" s="47" t="s">
        <v>95</v>
      </c>
      <c r="E80" s="12">
        <v>46114</v>
      </c>
      <c r="F80" s="20">
        <f t="shared" si="1"/>
        <v>46113</v>
      </c>
    </row>
    <row r="81" spans="1:6" ht="20.25">
      <c r="A81" s="49"/>
      <c r="B81" s="47" t="s">
        <v>999</v>
      </c>
      <c r="C81" s="47">
        <v>39</v>
      </c>
      <c r="D81" s="47" t="s">
        <v>95</v>
      </c>
      <c r="E81" s="12">
        <v>46114</v>
      </c>
      <c r="F81" s="20">
        <f t="shared" si="1"/>
        <v>46113</v>
      </c>
    </row>
    <row r="82" spans="1:6" ht="20.25">
      <c r="A82" s="49"/>
      <c r="B82" s="47" t="s">
        <v>931</v>
      </c>
      <c r="C82" s="47">
        <v>83</v>
      </c>
      <c r="D82" s="47" t="s">
        <v>95</v>
      </c>
      <c r="E82" s="12">
        <v>46114</v>
      </c>
      <c r="F82" s="20">
        <f t="shared" si="1"/>
        <v>46113</v>
      </c>
    </row>
    <row r="83" spans="1:6" ht="20.25">
      <c r="A83" s="49"/>
      <c r="B83" s="47" t="s">
        <v>871</v>
      </c>
      <c r="C83" s="47">
        <v>69</v>
      </c>
      <c r="D83" s="47" t="s">
        <v>95</v>
      </c>
      <c r="E83" s="12">
        <v>46114</v>
      </c>
      <c r="F83" s="20">
        <f t="shared" si="1"/>
        <v>46113</v>
      </c>
    </row>
    <row r="84" spans="1:6" ht="20.25">
      <c r="A84" s="49"/>
      <c r="B84" s="47" t="s">
        <v>1239</v>
      </c>
      <c r="C84" s="47">
        <v>31</v>
      </c>
      <c r="D84" s="47" t="s">
        <v>95</v>
      </c>
      <c r="E84" s="12">
        <v>46114</v>
      </c>
      <c r="F84" s="20">
        <f t="shared" si="1"/>
        <v>46113</v>
      </c>
    </row>
    <row r="85" spans="1:6" ht="20.25">
      <c r="A85" s="49"/>
      <c r="B85" s="47" t="s">
        <v>845</v>
      </c>
      <c r="C85" s="47">
        <v>27</v>
      </c>
      <c r="D85" s="47" t="s">
        <v>95</v>
      </c>
      <c r="E85" s="12">
        <v>46114</v>
      </c>
      <c r="F85" s="20">
        <f t="shared" si="1"/>
        <v>46113</v>
      </c>
    </row>
    <row r="86" spans="1:6" ht="20.25">
      <c r="A86" s="49"/>
      <c r="B86" s="47" t="s">
        <v>1154</v>
      </c>
      <c r="C86" s="47">
        <v>20</v>
      </c>
      <c r="D86" s="47" t="s">
        <v>97</v>
      </c>
      <c r="E86" s="12">
        <v>46114</v>
      </c>
      <c r="F86" s="20">
        <f t="shared" si="1"/>
        <v>46113</v>
      </c>
    </row>
    <row r="87" spans="1:6" ht="20.25">
      <c r="A87" s="49"/>
      <c r="B87" s="47" t="s">
        <v>731</v>
      </c>
      <c r="C87" s="47">
        <v>20</v>
      </c>
      <c r="D87" s="47" t="s">
        <v>97</v>
      </c>
      <c r="E87" s="12">
        <v>46114</v>
      </c>
      <c r="F87" s="20">
        <f t="shared" si="1"/>
        <v>46113</v>
      </c>
    </row>
    <row r="88" spans="1:6" ht="20.25">
      <c r="A88" s="49"/>
      <c r="B88" s="47" t="s">
        <v>1357</v>
      </c>
      <c r="C88" s="47">
        <v>55</v>
      </c>
      <c r="D88" s="47" t="s">
        <v>97</v>
      </c>
      <c r="E88" s="12">
        <v>46114</v>
      </c>
      <c r="F88" s="20">
        <f t="shared" si="1"/>
        <v>46113</v>
      </c>
    </row>
    <row r="89" spans="1:6" ht="20.25">
      <c r="A89" s="49"/>
      <c r="B89" s="47" t="s">
        <v>1285</v>
      </c>
      <c r="C89" s="47">
        <v>20</v>
      </c>
      <c r="D89" s="47" t="s">
        <v>97</v>
      </c>
      <c r="E89" s="12">
        <v>46114</v>
      </c>
      <c r="F89" s="20">
        <f t="shared" si="1"/>
        <v>46113</v>
      </c>
    </row>
    <row r="90" spans="1:6" ht="20.25">
      <c r="A90" s="49"/>
      <c r="B90" s="47" t="s">
        <v>1276</v>
      </c>
      <c r="C90" s="47">
        <v>20</v>
      </c>
      <c r="D90" s="47" t="s">
        <v>97</v>
      </c>
      <c r="E90" s="12">
        <v>46114</v>
      </c>
      <c r="F90" s="20">
        <f t="shared" si="1"/>
        <v>46113</v>
      </c>
    </row>
    <row r="91" spans="1:6" ht="20.25">
      <c r="A91" s="49"/>
      <c r="B91" s="47" t="s">
        <v>1163</v>
      </c>
      <c r="C91" s="47">
        <v>1</v>
      </c>
      <c r="D91" s="47" t="s">
        <v>97</v>
      </c>
      <c r="E91" s="12">
        <v>46114</v>
      </c>
      <c r="F91" s="20">
        <f t="shared" si="1"/>
        <v>46113</v>
      </c>
    </row>
    <row r="92" spans="1:6" ht="20.25">
      <c r="A92" s="49"/>
      <c r="B92" s="47" t="s">
        <v>932</v>
      </c>
      <c r="C92" s="47">
        <v>176</v>
      </c>
      <c r="D92" s="47" t="s">
        <v>95</v>
      </c>
      <c r="E92" s="12">
        <v>46114</v>
      </c>
      <c r="F92" s="20">
        <f t="shared" si="1"/>
        <v>46113</v>
      </c>
    </row>
    <row r="93" spans="1:6" ht="20.25">
      <c r="A93" s="49"/>
      <c r="B93" s="47" t="s">
        <v>619</v>
      </c>
      <c r="C93" s="47">
        <v>24</v>
      </c>
      <c r="D93" s="47" t="s">
        <v>95</v>
      </c>
      <c r="E93" s="12">
        <v>46114</v>
      </c>
      <c r="F93" s="20">
        <f t="shared" si="1"/>
        <v>46113</v>
      </c>
    </row>
    <row r="94" spans="1:6" ht="20.25">
      <c r="A94" s="49"/>
      <c r="B94" s="47" t="s">
        <v>998</v>
      </c>
      <c r="C94" s="47">
        <v>94</v>
      </c>
      <c r="D94" s="47" t="s">
        <v>95</v>
      </c>
      <c r="E94" s="12">
        <v>46114</v>
      </c>
      <c r="F94" s="20">
        <f t="shared" si="1"/>
        <v>46113</v>
      </c>
    </row>
    <row r="95" spans="1:6" ht="20.25">
      <c r="A95" s="49"/>
      <c r="B95" s="47" t="s">
        <v>931</v>
      </c>
      <c r="C95" s="47">
        <v>105</v>
      </c>
      <c r="D95" s="47" t="s">
        <v>95</v>
      </c>
      <c r="E95" s="12">
        <v>46114</v>
      </c>
      <c r="F95" s="20">
        <f t="shared" si="1"/>
        <v>46113</v>
      </c>
    </row>
    <row r="96" spans="1:6" ht="20.25">
      <c r="A96" s="49"/>
      <c r="B96" s="47" t="s">
        <v>734</v>
      </c>
      <c r="C96" s="47">
        <v>86</v>
      </c>
      <c r="D96" s="47" t="s">
        <v>95</v>
      </c>
      <c r="E96" s="12">
        <v>46114</v>
      </c>
      <c r="F96" s="20">
        <f t="shared" si="1"/>
        <v>46113</v>
      </c>
    </row>
    <row r="97" spans="1:6" ht="20.25">
      <c r="A97" s="49"/>
      <c r="B97" s="47" t="s">
        <v>734</v>
      </c>
      <c r="C97" s="47">
        <v>56</v>
      </c>
      <c r="D97" s="47" t="s">
        <v>95</v>
      </c>
      <c r="E97" s="12">
        <v>46114</v>
      </c>
      <c r="F97" s="20">
        <f t="shared" si="1"/>
        <v>46113</v>
      </c>
    </row>
    <row r="98" spans="1:6" ht="20.25">
      <c r="A98" s="49"/>
      <c r="B98" s="47" t="s">
        <v>679</v>
      </c>
      <c r="C98" s="47">
        <v>56</v>
      </c>
      <c r="D98" s="47" t="s">
        <v>95</v>
      </c>
      <c r="E98" s="12">
        <v>46114</v>
      </c>
      <c r="F98" s="20">
        <f t="shared" si="1"/>
        <v>46113</v>
      </c>
    </row>
    <row r="99" spans="1:6" ht="20.25">
      <c r="A99" s="49"/>
      <c r="B99" s="47" t="s">
        <v>1259</v>
      </c>
      <c r="C99" s="47">
        <v>130</v>
      </c>
      <c r="D99" s="47" t="s">
        <v>95</v>
      </c>
      <c r="E99" s="12">
        <v>46114</v>
      </c>
      <c r="F99" s="20">
        <f t="shared" si="1"/>
        <v>46113</v>
      </c>
    </row>
    <row r="100" spans="1:6" ht="20.25">
      <c r="A100" s="49"/>
      <c r="B100" s="47" t="s">
        <v>1038</v>
      </c>
      <c r="C100" s="47">
        <v>43</v>
      </c>
      <c r="D100" s="47" t="s">
        <v>95</v>
      </c>
      <c r="E100" s="12">
        <v>46114</v>
      </c>
      <c r="F100" s="20">
        <f t="shared" si="1"/>
        <v>46113</v>
      </c>
    </row>
    <row r="101" spans="1:6" ht="20.25">
      <c r="A101" s="49"/>
      <c r="B101" s="47" t="s">
        <v>810</v>
      </c>
      <c r="C101" s="47">
        <v>50</v>
      </c>
      <c r="D101" s="47" t="s">
        <v>95</v>
      </c>
      <c r="E101" s="12">
        <v>46114</v>
      </c>
      <c r="F101" s="20">
        <f t="shared" si="1"/>
        <v>46113</v>
      </c>
    </row>
    <row r="102" spans="1:6" ht="20.25">
      <c r="A102" s="49"/>
      <c r="B102" s="47" t="s">
        <v>810</v>
      </c>
      <c r="C102" s="47">
        <v>31</v>
      </c>
      <c r="D102" s="47" t="s">
        <v>95</v>
      </c>
      <c r="E102" s="12">
        <v>46114</v>
      </c>
      <c r="F102" s="20">
        <f t="shared" si="1"/>
        <v>46113</v>
      </c>
    </row>
    <row r="103" spans="1:6" ht="20.25">
      <c r="A103" s="49"/>
      <c r="B103" s="47" t="s">
        <v>1161</v>
      </c>
      <c r="C103" s="47">
        <v>126</v>
      </c>
      <c r="D103" s="47" t="s">
        <v>95</v>
      </c>
      <c r="E103" s="12">
        <v>46114</v>
      </c>
      <c r="F103" s="20">
        <f t="shared" si="1"/>
        <v>46113</v>
      </c>
    </row>
    <row r="104" spans="1:6" ht="20.25">
      <c r="A104" s="49"/>
      <c r="B104" s="47" t="s">
        <v>684</v>
      </c>
      <c r="C104" s="47">
        <v>263</v>
      </c>
      <c r="D104" s="47" t="s">
        <v>72</v>
      </c>
      <c r="E104" s="12">
        <v>46114</v>
      </c>
      <c r="F104" s="20">
        <f t="shared" si="1"/>
        <v>46113</v>
      </c>
    </row>
    <row r="105" spans="1:6" ht="20.25">
      <c r="A105" s="49"/>
      <c r="B105" s="47" t="s">
        <v>683</v>
      </c>
      <c r="C105" s="47">
        <v>182</v>
      </c>
      <c r="D105" s="47" t="s">
        <v>72</v>
      </c>
      <c r="E105" s="12">
        <v>46114</v>
      </c>
      <c r="F105" s="20">
        <f t="shared" si="1"/>
        <v>46113</v>
      </c>
    </row>
    <row r="106" spans="1:6" ht="20.25">
      <c r="A106" s="49"/>
      <c r="B106" s="47" t="s">
        <v>617</v>
      </c>
      <c r="C106" s="47">
        <v>412</v>
      </c>
      <c r="D106" s="47" t="s">
        <v>72</v>
      </c>
      <c r="E106" s="12">
        <v>46114</v>
      </c>
      <c r="F106" s="20">
        <f t="shared" si="1"/>
        <v>46113</v>
      </c>
    </row>
    <row r="107" spans="1:6" ht="20.25">
      <c r="A107" s="49"/>
      <c r="B107" s="47" t="s">
        <v>641</v>
      </c>
      <c r="C107" s="47">
        <v>255</v>
      </c>
      <c r="D107" s="47" t="s">
        <v>72</v>
      </c>
      <c r="E107" s="12">
        <v>46114</v>
      </c>
      <c r="F107" s="20">
        <f t="shared" si="1"/>
        <v>46113</v>
      </c>
    </row>
    <row r="108" spans="1:6" ht="20.25">
      <c r="A108" s="49"/>
      <c r="B108" s="47" t="s">
        <v>709</v>
      </c>
      <c r="C108" s="47">
        <v>138</v>
      </c>
      <c r="D108" s="47" t="s">
        <v>72</v>
      </c>
      <c r="E108" s="12">
        <v>46114</v>
      </c>
      <c r="F108" s="20">
        <f t="shared" si="1"/>
        <v>46113</v>
      </c>
    </row>
    <row r="109" spans="1:6" ht="20.25">
      <c r="A109" s="49"/>
      <c r="B109" s="47" t="s">
        <v>1549</v>
      </c>
      <c r="C109" s="47">
        <v>333</v>
      </c>
      <c r="D109" s="47" t="s">
        <v>72</v>
      </c>
      <c r="E109" s="12">
        <v>46114</v>
      </c>
      <c r="F109" s="20">
        <f t="shared" si="1"/>
        <v>46113</v>
      </c>
    </row>
    <row r="110" spans="1:6" ht="20.25">
      <c r="A110" s="49"/>
      <c r="B110" s="47" t="s">
        <v>1056</v>
      </c>
      <c r="C110" s="47">
        <v>135</v>
      </c>
      <c r="D110" s="47" t="s">
        <v>72</v>
      </c>
      <c r="E110" s="12">
        <v>46114</v>
      </c>
      <c r="F110" s="20">
        <f t="shared" si="1"/>
        <v>46113</v>
      </c>
    </row>
    <row r="111" spans="1:6" ht="20.25">
      <c r="A111" s="49"/>
      <c r="B111" s="47" t="s">
        <v>780</v>
      </c>
      <c r="C111" s="47">
        <v>204</v>
      </c>
      <c r="D111" s="47" t="s">
        <v>72</v>
      </c>
      <c r="E111" s="12">
        <v>46114</v>
      </c>
      <c r="F111" s="20">
        <f t="shared" si="1"/>
        <v>46113</v>
      </c>
    </row>
    <row r="112" spans="1:6" ht="20.25">
      <c r="A112" s="49"/>
      <c r="B112" s="47" t="s">
        <v>667</v>
      </c>
      <c r="C112" s="47">
        <v>1</v>
      </c>
      <c r="D112" s="47" t="s">
        <v>72</v>
      </c>
      <c r="E112" s="12">
        <v>46114</v>
      </c>
      <c r="F112" s="20">
        <f t="shared" si="1"/>
        <v>46113</v>
      </c>
    </row>
    <row r="113" spans="1:6" ht="20.25">
      <c r="A113" s="49"/>
      <c r="B113" s="47" t="s">
        <v>1346</v>
      </c>
      <c r="C113" s="47">
        <v>296</v>
      </c>
      <c r="D113" s="47" t="s">
        <v>72</v>
      </c>
      <c r="E113" s="12">
        <v>46114</v>
      </c>
      <c r="F113" s="20">
        <f t="shared" si="1"/>
        <v>46113</v>
      </c>
    </row>
    <row r="114" spans="1:6" ht="20.25">
      <c r="A114" s="49"/>
      <c r="B114" s="47" t="s">
        <v>960</v>
      </c>
      <c r="C114" s="47">
        <v>28</v>
      </c>
      <c r="D114" s="47" t="s">
        <v>114</v>
      </c>
      <c r="E114" s="12">
        <v>46114</v>
      </c>
      <c r="F114" s="20">
        <f t="shared" si="1"/>
        <v>46113</v>
      </c>
    </row>
    <row r="115" spans="1:6" ht="20.25">
      <c r="A115" s="49"/>
      <c r="B115" s="47" t="s">
        <v>720</v>
      </c>
      <c r="C115" s="47">
        <v>261</v>
      </c>
      <c r="D115" s="47" t="s">
        <v>114</v>
      </c>
      <c r="E115" s="12">
        <v>46114</v>
      </c>
      <c r="F115" s="20">
        <f t="shared" si="1"/>
        <v>46113</v>
      </c>
    </row>
    <row r="116" spans="1:6" ht="20.25">
      <c r="A116" s="49"/>
      <c r="B116" s="47" t="s">
        <v>945</v>
      </c>
      <c r="C116" s="47">
        <v>70</v>
      </c>
      <c r="D116" s="47" t="s">
        <v>114</v>
      </c>
      <c r="E116" s="12">
        <v>46114</v>
      </c>
      <c r="F116" s="20">
        <f t="shared" si="1"/>
        <v>46113</v>
      </c>
    </row>
    <row r="117" spans="1:6" ht="20.25">
      <c r="A117" s="49"/>
      <c r="B117" s="47" t="s">
        <v>1361</v>
      </c>
      <c r="C117" s="47">
        <v>6</v>
      </c>
      <c r="D117" s="47" t="s">
        <v>114</v>
      </c>
      <c r="E117" s="12">
        <v>46114</v>
      </c>
      <c r="F117" s="20">
        <f t="shared" si="1"/>
        <v>46113</v>
      </c>
    </row>
    <row r="118" spans="1:6" ht="20.25">
      <c r="A118" s="49"/>
      <c r="B118" s="47" t="s">
        <v>960</v>
      </c>
      <c r="C118" s="47">
        <v>176</v>
      </c>
      <c r="D118" s="47" t="s">
        <v>114</v>
      </c>
      <c r="E118" s="12">
        <v>46114</v>
      </c>
      <c r="F118" s="20">
        <f t="shared" si="1"/>
        <v>46113</v>
      </c>
    </row>
    <row r="119" spans="1:6" ht="20.25">
      <c r="A119" s="49"/>
      <c r="B119" s="47" t="s">
        <v>1099</v>
      </c>
      <c r="C119" s="47">
        <v>4</v>
      </c>
      <c r="D119" s="47" t="s">
        <v>82</v>
      </c>
      <c r="E119" s="12">
        <v>46114</v>
      </c>
      <c r="F119" s="20">
        <f t="shared" si="1"/>
        <v>46113</v>
      </c>
    </row>
    <row r="120" spans="1:6" ht="20.25">
      <c r="A120" s="49"/>
      <c r="B120" s="47" t="s">
        <v>1249</v>
      </c>
      <c r="C120" s="47">
        <v>325</v>
      </c>
      <c r="D120" s="47" t="s">
        <v>82</v>
      </c>
      <c r="E120" s="12">
        <v>46114</v>
      </c>
      <c r="F120" s="20">
        <f t="shared" si="1"/>
        <v>46113</v>
      </c>
    </row>
    <row r="121" spans="1:6" ht="20.25">
      <c r="A121" s="49"/>
      <c r="B121" s="47" t="s">
        <v>1329</v>
      </c>
      <c r="C121" s="47">
        <v>42</v>
      </c>
      <c r="D121" s="47" t="s">
        <v>82</v>
      </c>
      <c r="E121" s="12">
        <v>46114</v>
      </c>
      <c r="F121" s="20">
        <f t="shared" si="1"/>
        <v>46113</v>
      </c>
    </row>
    <row r="122" spans="1:6" ht="20.25">
      <c r="A122" s="49"/>
      <c r="B122" s="47" t="s">
        <v>942</v>
      </c>
      <c r="C122" s="47">
        <v>69</v>
      </c>
      <c r="D122" s="47" t="s">
        <v>82</v>
      </c>
      <c r="E122" s="12">
        <v>46114</v>
      </c>
      <c r="F122" s="20">
        <f t="shared" si="1"/>
        <v>46113</v>
      </c>
    </row>
    <row r="123" spans="1:6" ht="20.25">
      <c r="A123" s="49"/>
      <c r="B123" s="47" t="s">
        <v>696</v>
      </c>
      <c r="C123" s="47">
        <v>283</v>
      </c>
      <c r="D123" s="47" t="s">
        <v>82</v>
      </c>
      <c r="E123" s="12">
        <v>46114</v>
      </c>
      <c r="F123" s="20">
        <f t="shared" si="1"/>
        <v>46113</v>
      </c>
    </row>
    <row r="124" spans="1:6" ht="20.25">
      <c r="A124" s="49"/>
      <c r="B124" s="47" t="s">
        <v>696</v>
      </c>
      <c r="C124" s="47">
        <v>42</v>
      </c>
      <c r="D124" s="47" t="s">
        <v>82</v>
      </c>
      <c r="E124" s="12">
        <v>46114</v>
      </c>
      <c r="F124" s="20">
        <f t="shared" si="1"/>
        <v>46113</v>
      </c>
    </row>
    <row r="125" spans="1:6" ht="20.25">
      <c r="A125" s="49"/>
      <c r="B125" s="47" t="s">
        <v>666</v>
      </c>
      <c r="C125" s="47">
        <v>110</v>
      </c>
      <c r="D125" s="47" t="s">
        <v>82</v>
      </c>
      <c r="E125" s="12">
        <v>46114</v>
      </c>
      <c r="F125" s="20">
        <f t="shared" si="1"/>
        <v>46113</v>
      </c>
    </row>
    <row r="126" spans="1:6" ht="20.25">
      <c r="A126" s="49"/>
      <c r="B126" s="47" t="s">
        <v>1549</v>
      </c>
      <c r="C126" s="47">
        <v>992</v>
      </c>
      <c r="D126" s="47" t="s">
        <v>82</v>
      </c>
      <c r="E126" s="12">
        <v>46114</v>
      </c>
      <c r="F126" s="20">
        <f t="shared" si="1"/>
        <v>46113</v>
      </c>
    </row>
    <row r="127" spans="1:6" ht="20.25">
      <c r="A127" s="49"/>
      <c r="B127" s="47" t="s">
        <v>666</v>
      </c>
      <c r="C127" s="47">
        <v>49</v>
      </c>
      <c r="D127" s="47" t="s">
        <v>82</v>
      </c>
      <c r="E127" s="12">
        <v>46114</v>
      </c>
      <c r="F127" s="20">
        <f t="shared" si="1"/>
        <v>46113</v>
      </c>
    </row>
    <row r="128" spans="1:6" ht="20.25">
      <c r="A128" s="49"/>
      <c r="B128" s="47" t="s">
        <v>738</v>
      </c>
      <c r="C128" s="47">
        <v>108</v>
      </c>
      <c r="D128" s="47" t="s">
        <v>82</v>
      </c>
      <c r="E128" s="12">
        <v>46114</v>
      </c>
      <c r="F128" s="20">
        <f t="shared" si="1"/>
        <v>46113</v>
      </c>
    </row>
    <row r="129" spans="1:6" ht="20.25">
      <c r="A129" s="49"/>
      <c r="B129" s="47" t="s">
        <v>649</v>
      </c>
      <c r="C129" s="47">
        <v>262</v>
      </c>
      <c r="D129" s="47" t="s">
        <v>82</v>
      </c>
      <c r="E129" s="12">
        <v>46114</v>
      </c>
      <c r="F129" s="20">
        <f t="shared" si="1"/>
        <v>46113</v>
      </c>
    </row>
    <row r="130" spans="1:6" ht="20.25">
      <c r="A130" s="49"/>
      <c r="B130" s="47" t="s">
        <v>1437</v>
      </c>
      <c r="C130" s="47">
        <v>122</v>
      </c>
      <c r="D130" s="47" t="s">
        <v>82</v>
      </c>
      <c r="E130" s="12">
        <v>46114</v>
      </c>
      <c r="F130" s="20">
        <f t="shared" ref="F130:F193" si="2">EOMONTH(E130,-1)+1</f>
        <v>46113</v>
      </c>
    </row>
    <row r="131" spans="1:6" ht="20.25">
      <c r="A131" s="49"/>
      <c r="B131" s="47" t="s">
        <v>678</v>
      </c>
      <c r="C131" s="47">
        <v>53</v>
      </c>
      <c r="D131" s="47" t="s">
        <v>82</v>
      </c>
      <c r="E131" s="12">
        <v>46114</v>
      </c>
      <c r="F131" s="20">
        <f t="shared" si="2"/>
        <v>46113</v>
      </c>
    </row>
    <row r="132" spans="1:6" ht="20.25">
      <c r="A132" s="49"/>
      <c r="B132" s="47" t="s">
        <v>1240</v>
      </c>
      <c r="C132" s="47">
        <v>26</v>
      </c>
      <c r="D132" s="47" t="s">
        <v>82</v>
      </c>
      <c r="E132" s="12">
        <v>46114</v>
      </c>
      <c r="F132" s="20">
        <f t="shared" si="2"/>
        <v>46113</v>
      </c>
    </row>
    <row r="133" spans="1:6" ht="20.25">
      <c r="A133" s="49"/>
      <c r="B133" s="47" t="s">
        <v>885</v>
      </c>
      <c r="C133" s="47">
        <v>25</v>
      </c>
      <c r="D133" s="47" t="s">
        <v>82</v>
      </c>
      <c r="E133" s="12">
        <v>46114</v>
      </c>
      <c r="F133" s="20">
        <f t="shared" si="2"/>
        <v>46113</v>
      </c>
    </row>
    <row r="134" spans="1:6" ht="20.25">
      <c r="A134" s="49"/>
      <c r="B134" s="47" t="s">
        <v>1146</v>
      </c>
      <c r="C134" s="47">
        <v>29</v>
      </c>
      <c r="D134" s="47" t="s">
        <v>82</v>
      </c>
      <c r="E134" s="12">
        <v>46114</v>
      </c>
      <c r="F134" s="20">
        <f t="shared" si="2"/>
        <v>46113</v>
      </c>
    </row>
    <row r="135" spans="1:6" ht="20.25">
      <c r="A135" s="49"/>
      <c r="B135" s="47" t="s">
        <v>956</v>
      </c>
      <c r="C135" s="47">
        <v>56</v>
      </c>
      <c r="D135" s="47" t="s">
        <v>82</v>
      </c>
      <c r="E135" s="12">
        <v>46114</v>
      </c>
      <c r="F135" s="20">
        <f t="shared" si="2"/>
        <v>46113</v>
      </c>
    </row>
    <row r="136" spans="1:6" ht="20.25">
      <c r="A136" s="49"/>
      <c r="B136" s="47" t="s">
        <v>807</v>
      </c>
      <c r="C136" s="47">
        <v>34</v>
      </c>
      <c r="D136" s="47" t="s">
        <v>82</v>
      </c>
      <c r="E136" s="12">
        <v>46114</v>
      </c>
      <c r="F136" s="20">
        <f t="shared" si="2"/>
        <v>46113</v>
      </c>
    </row>
    <row r="137" spans="1:6" ht="20.25">
      <c r="A137" s="49"/>
      <c r="B137" s="47" t="s">
        <v>844</v>
      </c>
      <c r="C137" s="47">
        <v>166</v>
      </c>
      <c r="D137" s="47" t="s">
        <v>95</v>
      </c>
      <c r="E137" s="12">
        <v>46114</v>
      </c>
      <c r="F137" s="20">
        <f t="shared" si="2"/>
        <v>46113</v>
      </c>
    </row>
    <row r="138" spans="1:6" ht="20.25">
      <c r="A138" s="49"/>
      <c r="B138" s="47" t="s">
        <v>638</v>
      </c>
      <c r="C138" s="47">
        <v>365</v>
      </c>
      <c r="D138" s="47" t="s">
        <v>95</v>
      </c>
      <c r="E138" s="12">
        <v>46114</v>
      </c>
      <c r="F138" s="20">
        <f t="shared" si="2"/>
        <v>46113</v>
      </c>
    </row>
    <row r="139" spans="1:6" ht="20.25">
      <c r="A139" s="49"/>
      <c r="B139" s="47" t="s">
        <v>1165</v>
      </c>
      <c r="C139" s="47">
        <v>147</v>
      </c>
      <c r="D139" s="47" t="s">
        <v>95</v>
      </c>
      <c r="E139" s="12">
        <v>46114</v>
      </c>
      <c r="F139" s="20">
        <f t="shared" si="2"/>
        <v>46113</v>
      </c>
    </row>
    <row r="140" spans="1:6" ht="20.25">
      <c r="A140" s="49"/>
      <c r="B140" s="47" t="s">
        <v>1351</v>
      </c>
      <c r="C140" s="47">
        <v>31</v>
      </c>
      <c r="D140" s="47" t="s">
        <v>95</v>
      </c>
      <c r="E140" s="12">
        <v>46114</v>
      </c>
      <c r="F140" s="20">
        <f t="shared" si="2"/>
        <v>46113</v>
      </c>
    </row>
    <row r="141" spans="1:6" ht="20.25">
      <c r="A141" s="49"/>
      <c r="B141" s="47" t="s">
        <v>939</v>
      </c>
      <c r="C141" s="47">
        <v>189</v>
      </c>
      <c r="D141" s="47" t="s">
        <v>95</v>
      </c>
      <c r="E141" s="12">
        <v>46114</v>
      </c>
      <c r="F141" s="20">
        <f t="shared" si="2"/>
        <v>46113</v>
      </c>
    </row>
    <row r="142" spans="1:6" ht="20.25">
      <c r="A142" s="49"/>
      <c r="B142" s="47" t="s">
        <v>640</v>
      </c>
      <c r="C142" s="47">
        <v>24</v>
      </c>
      <c r="D142" s="47" t="s">
        <v>72</v>
      </c>
      <c r="E142" s="12">
        <v>46114</v>
      </c>
      <c r="F142" s="20">
        <f t="shared" si="2"/>
        <v>46113</v>
      </c>
    </row>
    <row r="143" spans="1:6" ht="20.25">
      <c r="A143" s="49"/>
      <c r="B143" s="47" t="s">
        <v>1546</v>
      </c>
      <c r="C143" s="47">
        <v>264</v>
      </c>
      <c r="D143" s="47" t="s">
        <v>133</v>
      </c>
      <c r="E143" s="12">
        <v>46114</v>
      </c>
      <c r="F143" s="20">
        <f t="shared" si="2"/>
        <v>46113</v>
      </c>
    </row>
    <row r="144" spans="1:6" ht="20.25">
      <c r="A144" s="49"/>
      <c r="B144" s="47" t="s">
        <v>1546</v>
      </c>
      <c r="C144" s="47">
        <v>22</v>
      </c>
      <c r="D144" s="47" t="s">
        <v>133</v>
      </c>
      <c r="E144" s="12">
        <v>46114</v>
      </c>
      <c r="F144" s="20">
        <f t="shared" si="2"/>
        <v>46113</v>
      </c>
    </row>
    <row r="145" spans="1:6" ht="20.25">
      <c r="A145" s="49"/>
      <c r="B145" s="47" t="s">
        <v>1546</v>
      </c>
      <c r="C145" s="47">
        <v>80</v>
      </c>
      <c r="D145" s="47" t="s">
        <v>133</v>
      </c>
      <c r="E145" s="12">
        <v>46114</v>
      </c>
      <c r="F145" s="20">
        <f t="shared" si="2"/>
        <v>46113</v>
      </c>
    </row>
    <row r="146" spans="1:6" ht="20.25">
      <c r="A146" s="49"/>
      <c r="B146" s="47" t="s">
        <v>1550</v>
      </c>
      <c r="C146" s="47">
        <v>76</v>
      </c>
      <c r="D146" s="47" t="s">
        <v>133</v>
      </c>
      <c r="E146" s="12">
        <v>46114</v>
      </c>
      <c r="F146" s="20">
        <f t="shared" si="2"/>
        <v>46113</v>
      </c>
    </row>
    <row r="147" spans="1:6" ht="20.25">
      <c r="A147" s="49"/>
      <c r="B147" s="47" t="s">
        <v>1248</v>
      </c>
      <c r="C147" s="47">
        <v>77</v>
      </c>
      <c r="D147" s="47" t="s">
        <v>133</v>
      </c>
      <c r="E147" s="12">
        <v>46114</v>
      </c>
      <c r="F147" s="20">
        <f t="shared" si="2"/>
        <v>46113</v>
      </c>
    </row>
    <row r="148" spans="1:6" ht="20.25">
      <c r="A148" s="49"/>
      <c r="B148" s="47" t="s">
        <v>1475</v>
      </c>
      <c r="C148" s="47">
        <v>20</v>
      </c>
      <c r="D148" s="47" t="s">
        <v>133</v>
      </c>
      <c r="E148" s="12">
        <v>46114</v>
      </c>
      <c r="F148" s="20">
        <f t="shared" si="2"/>
        <v>46113</v>
      </c>
    </row>
    <row r="149" spans="1:6" ht="20.25">
      <c r="A149" s="49"/>
      <c r="B149" s="47" t="s">
        <v>896</v>
      </c>
      <c r="C149" s="47">
        <v>20</v>
      </c>
      <c r="D149" s="47" t="s">
        <v>133</v>
      </c>
      <c r="E149" s="12">
        <v>46114</v>
      </c>
      <c r="F149" s="20">
        <f t="shared" si="2"/>
        <v>46113</v>
      </c>
    </row>
    <row r="150" spans="1:6" ht="20.25">
      <c r="A150" s="49"/>
      <c r="B150" s="47" t="s">
        <v>854</v>
      </c>
      <c r="C150" s="47">
        <v>10</v>
      </c>
      <c r="D150" s="47" t="s">
        <v>1484</v>
      </c>
      <c r="E150" s="12">
        <v>46114</v>
      </c>
      <c r="F150" s="20">
        <f t="shared" si="2"/>
        <v>46113</v>
      </c>
    </row>
    <row r="151" spans="1:6" ht="20.25">
      <c r="A151" s="49"/>
      <c r="B151" s="47" t="s">
        <v>663</v>
      </c>
      <c r="C151" s="47">
        <v>13</v>
      </c>
      <c r="D151" s="47" t="s">
        <v>1484</v>
      </c>
      <c r="E151" s="12">
        <v>46114</v>
      </c>
      <c r="F151" s="20">
        <f t="shared" si="2"/>
        <v>46113</v>
      </c>
    </row>
    <row r="152" spans="1:6" ht="20.25">
      <c r="A152" s="49"/>
      <c r="B152" s="47" t="s">
        <v>895</v>
      </c>
      <c r="C152" s="47">
        <v>51</v>
      </c>
      <c r="D152" s="47" t="s">
        <v>1484</v>
      </c>
      <c r="E152" s="12">
        <v>46114</v>
      </c>
      <c r="F152" s="20">
        <f t="shared" si="2"/>
        <v>46113</v>
      </c>
    </row>
    <row r="153" spans="1:6" ht="20.25">
      <c r="A153" s="49"/>
      <c r="B153" s="47" t="s">
        <v>1059</v>
      </c>
      <c r="C153" s="47">
        <v>75</v>
      </c>
      <c r="D153" s="47" t="s">
        <v>63</v>
      </c>
      <c r="E153" s="12">
        <v>46114</v>
      </c>
      <c r="F153" s="20">
        <f t="shared" si="2"/>
        <v>46113</v>
      </c>
    </row>
    <row r="154" spans="1:6" ht="20.25">
      <c r="A154" s="49"/>
      <c r="B154" s="47" t="s">
        <v>1059</v>
      </c>
      <c r="C154" s="47">
        <v>43</v>
      </c>
      <c r="D154" s="47" t="s">
        <v>63</v>
      </c>
      <c r="E154" s="12">
        <v>46114</v>
      </c>
      <c r="F154" s="20">
        <f t="shared" si="2"/>
        <v>46113</v>
      </c>
    </row>
    <row r="155" spans="1:6" ht="20.25">
      <c r="A155" s="49"/>
      <c r="B155" s="47" t="s">
        <v>717</v>
      </c>
      <c r="C155" s="47">
        <v>357</v>
      </c>
      <c r="D155" s="47" t="s">
        <v>63</v>
      </c>
      <c r="E155" s="12">
        <v>46114</v>
      </c>
      <c r="F155" s="20">
        <f t="shared" si="2"/>
        <v>46113</v>
      </c>
    </row>
    <row r="156" spans="1:6" ht="20.25">
      <c r="A156" s="49"/>
      <c r="B156" s="47" t="s">
        <v>717</v>
      </c>
      <c r="C156" s="47">
        <v>477</v>
      </c>
      <c r="D156" s="47" t="s">
        <v>63</v>
      </c>
      <c r="E156" s="12">
        <v>46114</v>
      </c>
      <c r="F156" s="20">
        <f t="shared" si="2"/>
        <v>46113</v>
      </c>
    </row>
    <row r="157" spans="1:6" ht="20.25">
      <c r="A157" s="49"/>
      <c r="B157" s="47" t="s">
        <v>774</v>
      </c>
      <c r="C157" s="47">
        <v>163</v>
      </c>
      <c r="D157" s="47" t="s">
        <v>160</v>
      </c>
      <c r="E157" s="12">
        <v>46114</v>
      </c>
      <c r="F157" s="20">
        <f t="shared" si="2"/>
        <v>46113</v>
      </c>
    </row>
    <row r="158" spans="1:6" ht="20.25">
      <c r="A158" s="49"/>
      <c r="B158" s="47" t="s">
        <v>658</v>
      </c>
      <c r="C158" s="47">
        <v>15</v>
      </c>
      <c r="D158" s="47" t="s">
        <v>160</v>
      </c>
      <c r="E158" s="12">
        <v>46114</v>
      </c>
      <c r="F158" s="20">
        <f t="shared" si="2"/>
        <v>46113</v>
      </c>
    </row>
    <row r="159" spans="1:6" ht="20.25">
      <c r="A159" s="49"/>
      <c r="B159" s="47" t="s">
        <v>1020</v>
      </c>
      <c r="C159" s="47">
        <v>6</v>
      </c>
      <c r="D159" s="47" t="s">
        <v>160</v>
      </c>
      <c r="E159" s="12">
        <v>46114</v>
      </c>
      <c r="F159" s="20">
        <f t="shared" si="2"/>
        <v>46113</v>
      </c>
    </row>
    <row r="160" spans="1:6" ht="20.25">
      <c r="A160" s="49"/>
      <c r="B160" s="47" t="s">
        <v>1054</v>
      </c>
      <c r="C160" s="47">
        <v>396</v>
      </c>
      <c r="D160" s="47" t="s">
        <v>160</v>
      </c>
      <c r="E160" s="12">
        <v>46114</v>
      </c>
      <c r="F160" s="20">
        <f t="shared" si="2"/>
        <v>46113</v>
      </c>
    </row>
    <row r="161" spans="1:6" ht="20.25">
      <c r="A161" s="49"/>
      <c r="B161" s="47" t="s">
        <v>828</v>
      </c>
      <c r="C161" s="47">
        <v>32</v>
      </c>
      <c r="D161" s="47" t="s">
        <v>160</v>
      </c>
      <c r="E161" s="12">
        <v>46114</v>
      </c>
      <c r="F161" s="20">
        <f t="shared" si="2"/>
        <v>46113</v>
      </c>
    </row>
    <row r="162" spans="1:6" ht="20.25">
      <c r="A162" s="49"/>
      <c r="B162" s="47" t="s">
        <v>828</v>
      </c>
      <c r="C162" s="47">
        <v>86</v>
      </c>
      <c r="D162" s="47" t="s">
        <v>160</v>
      </c>
      <c r="E162" s="12">
        <v>46114</v>
      </c>
      <c r="F162" s="20">
        <f t="shared" si="2"/>
        <v>46113</v>
      </c>
    </row>
    <row r="163" spans="1:6" ht="20.25">
      <c r="A163" s="49"/>
      <c r="B163" s="47" t="s">
        <v>1370</v>
      </c>
      <c r="C163" s="47">
        <v>40</v>
      </c>
      <c r="D163" s="47" t="s">
        <v>63</v>
      </c>
      <c r="E163" s="12">
        <v>46114</v>
      </c>
      <c r="F163" s="20">
        <f t="shared" si="2"/>
        <v>46113</v>
      </c>
    </row>
    <row r="164" spans="1:6" ht="20.25">
      <c r="A164" s="49"/>
      <c r="B164" s="47" t="s">
        <v>1017</v>
      </c>
      <c r="C164" s="47">
        <v>54</v>
      </c>
      <c r="D164" s="47" t="s">
        <v>63</v>
      </c>
      <c r="E164" s="12">
        <v>46114</v>
      </c>
      <c r="F164" s="20">
        <f t="shared" si="2"/>
        <v>46113</v>
      </c>
    </row>
    <row r="165" spans="1:6" ht="20.25">
      <c r="A165" s="49"/>
      <c r="B165" s="47" t="s">
        <v>736</v>
      </c>
      <c r="C165" s="47">
        <v>20</v>
      </c>
      <c r="D165" s="47" t="s">
        <v>63</v>
      </c>
      <c r="E165" s="12">
        <v>46114</v>
      </c>
      <c r="F165" s="20">
        <f t="shared" si="2"/>
        <v>46113</v>
      </c>
    </row>
    <row r="166" spans="1:6" ht="20.25">
      <c r="A166" s="49"/>
      <c r="B166" s="47" t="s">
        <v>1101</v>
      </c>
      <c r="C166" s="47">
        <v>197</v>
      </c>
      <c r="D166" s="47" t="s">
        <v>62</v>
      </c>
      <c r="E166" s="12">
        <v>46114</v>
      </c>
      <c r="F166" s="20">
        <f t="shared" si="2"/>
        <v>46113</v>
      </c>
    </row>
    <row r="167" spans="1:6" ht="20.25">
      <c r="A167" s="49"/>
      <c r="B167" s="47" t="s">
        <v>1053</v>
      </c>
      <c r="C167" s="47">
        <v>109</v>
      </c>
      <c r="D167" s="47" t="s">
        <v>62</v>
      </c>
      <c r="E167" s="12">
        <v>46114</v>
      </c>
      <c r="F167" s="20">
        <f t="shared" si="2"/>
        <v>46113</v>
      </c>
    </row>
    <row r="168" spans="1:6" ht="20.25">
      <c r="A168" s="49"/>
      <c r="B168" s="47" t="s">
        <v>1233</v>
      </c>
      <c r="C168" s="47">
        <v>107</v>
      </c>
      <c r="D168" s="47" t="s">
        <v>62</v>
      </c>
      <c r="E168" s="12">
        <v>46114</v>
      </c>
      <c r="F168" s="20">
        <f t="shared" si="2"/>
        <v>46113</v>
      </c>
    </row>
    <row r="169" spans="1:6" ht="20.25">
      <c r="A169" s="49"/>
      <c r="B169" s="47" t="s">
        <v>1427</v>
      </c>
      <c r="C169" s="47">
        <v>91</v>
      </c>
      <c r="D169" s="47" t="s">
        <v>62</v>
      </c>
      <c r="E169" s="12">
        <v>46114</v>
      </c>
      <c r="F169" s="20">
        <f t="shared" si="2"/>
        <v>46113</v>
      </c>
    </row>
    <row r="170" spans="1:6" ht="20.25">
      <c r="A170" s="49"/>
      <c r="B170" s="47" t="s">
        <v>971</v>
      </c>
      <c r="C170" s="47">
        <v>141</v>
      </c>
      <c r="D170" s="47" t="s">
        <v>62</v>
      </c>
      <c r="E170" s="12">
        <v>46114</v>
      </c>
      <c r="F170" s="20">
        <f t="shared" si="2"/>
        <v>46113</v>
      </c>
    </row>
    <row r="171" spans="1:6" ht="20.25">
      <c r="A171" s="49"/>
      <c r="B171" s="47" t="s">
        <v>656</v>
      </c>
      <c r="C171" s="47">
        <v>116</v>
      </c>
      <c r="D171" s="47" t="s">
        <v>62</v>
      </c>
      <c r="E171" s="12">
        <v>46114</v>
      </c>
      <c r="F171" s="20">
        <f t="shared" si="2"/>
        <v>46113</v>
      </c>
    </row>
    <row r="172" spans="1:6" ht="20.25">
      <c r="A172" s="49"/>
      <c r="B172" s="47" t="s">
        <v>814</v>
      </c>
      <c r="C172" s="47">
        <v>177</v>
      </c>
      <c r="D172" s="47" t="s">
        <v>62</v>
      </c>
      <c r="E172" s="12">
        <v>46114</v>
      </c>
      <c r="F172" s="20">
        <f t="shared" si="2"/>
        <v>46113</v>
      </c>
    </row>
    <row r="173" spans="1:6" ht="20.25">
      <c r="A173" s="49"/>
      <c r="B173" s="47" t="s">
        <v>1056</v>
      </c>
      <c r="C173" s="47">
        <v>154</v>
      </c>
      <c r="D173" s="47" t="s">
        <v>95</v>
      </c>
      <c r="E173" s="12">
        <v>46114</v>
      </c>
      <c r="F173" s="20">
        <f t="shared" si="2"/>
        <v>46113</v>
      </c>
    </row>
    <row r="174" spans="1:6" ht="20.25">
      <c r="A174" s="49"/>
      <c r="B174" s="47" t="s">
        <v>915</v>
      </c>
      <c r="C174" s="47">
        <v>28</v>
      </c>
      <c r="D174" s="47" t="s">
        <v>95</v>
      </c>
      <c r="E174" s="12">
        <v>46114</v>
      </c>
      <c r="F174" s="20">
        <f t="shared" si="2"/>
        <v>46113</v>
      </c>
    </row>
    <row r="175" spans="1:6" ht="20.25">
      <c r="A175" s="49"/>
      <c r="B175" s="47" t="s">
        <v>1031</v>
      </c>
      <c r="C175" s="47">
        <v>47</v>
      </c>
      <c r="D175" s="47" t="s">
        <v>95</v>
      </c>
      <c r="E175" s="12">
        <v>46114</v>
      </c>
      <c r="F175" s="20">
        <f t="shared" si="2"/>
        <v>46113</v>
      </c>
    </row>
    <row r="176" spans="1:6" ht="20.25">
      <c r="A176" s="49"/>
      <c r="B176" s="47" t="s">
        <v>857</v>
      </c>
      <c r="C176" s="47">
        <v>86</v>
      </c>
      <c r="D176" s="47" t="s">
        <v>95</v>
      </c>
      <c r="E176" s="12">
        <v>46114</v>
      </c>
      <c r="F176" s="20">
        <f t="shared" si="2"/>
        <v>46113</v>
      </c>
    </row>
    <row r="177" spans="1:6" ht="20.25">
      <c r="A177" s="49"/>
      <c r="B177" s="47" t="s">
        <v>801</v>
      </c>
      <c r="C177" s="47">
        <v>55</v>
      </c>
      <c r="D177" s="47" t="s">
        <v>95</v>
      </c>
      <c r="E177" s="12">
        <v>46114</v>
      </c>
      <c r="F177" s="20">
        <f t="shared" si="2"/>
        <v>46113</v>
      </c>
    </row>
    <row r="178" spans="1:6" ht="20.25">
      <c r="A178" s="49"/>
      <c r="B178" s="47" t="s">
        <v>913</v>
      </c>
      <c r="C178" s="47">
        <v>113</v>
      </c>
      <c r="D178" s="47" t="s">
        <v>72</v>
      </c>
      <c r="E178" s="12">
        <v>46114</v>
      </c>
      <c r="F178" s="20">
        <f t="shared" si="2"/>
        <v>46113</v>
      </c>
    </row>
    <row r="179" spans="1:6" ht="20.25">
      <c r="A179" s="49"/>
      <c r="B179" s="47" t="s">
        <v>683</v>
      </c>
      <c r="C179" s="47">
        <v>82</v>
      </c>
      <c r="D179" s="47" t="s">
        <v>72</v>
      </c>
      <c r="E179" s="12">
        <v>46114</v>
      </c>
      <c r="F179" s="20">
        <f t="shared" si="2"/>
        <v>46113</v>
      </c>
    </row>
    <row r="180" spans="1:6" ht="20.25">
      <c r="A180" s="49"/>
      <c r="B180" s="47" t="s">
        <v>684</v>
      </c>
      <c r="C180" s="47">
        <v>206</v>
      </c>
      <c r="D180" s="47" t="s">
        <v>72</v>
      </c>
      <c r="E180" s="12">
        <v>46114</v>
      </c>
      <c r="F180" s="20">
        <f t="shared" si="2"/>
        <v>46113</v>
      </c>
    </row>
    <row r="181" spans="1:6" ht="20.25">
      <c r="A181" s="49"/>
      <c r="B181" s="47" t="s">
        <v>780</v>
      </c>
      <c r="C181" s="47">
        <v>202</v>
      </c>
      <c r="D181" s="47" t="s">
        <v>72</v>
      </c>
      <c r="E181" s="12">
        <v>46114</v>
      </c>
      <c r="F181" s="20">
        <f t="shared" si="2"/>
        <v>46113</v>
      </c>
    </row>
    <row r="182" spans="1:6" ht="20.25">
      <c r="A182" s="49"/>
      <c r="B182" s="47" t="s">
        <v>701</v>
      </c>
      <c r="C182" s="47">
        <v>107</v>
      </c>
      <c r="D182" s="47" t="s">
        <v>72</v>
      </c>
      <c r="E182" s="12">
        <v>46114</v>
      </c>
      <c r="F182" s="20">
        <f t="shared" si="2"/>
        <v>46113</v>
      </c>
    </row>
    <row r="183" spans="1:6" ht="20.25">
      <c r="A183" s="49"/>
      <c r="B183" s="47" t="s">
        <v>693</v>
      </c>
      <c r="C183" s="47">
        <v>411</v>
      </c>
      <c r="D183" s="47" t="s">
        <v>72</v>
      </c>
      <c r="E183" s="12">
        <v>46114</v>
      </c>
      <c r="F183" s="20">
        <f t="shared" si="2"/>
        <v>46113</v>
      </c>
    </row>
    <row r="184" spans="1:6" ht="20.25">
      <c r="A184" s="49"/>
      <c r="B184" s="47" t="s">
        <v>841</v>
      </c>
      <c r="C184" s="47">
        <v>169</v>
      </c>
      <c r="D184" s="47" t="s">
        <v>72</v>
      </c>
      <c r="E184" s="12">
        <v>46114</v>
      </c>
      <c r="F184" s="20">
        <f t="shared" si="2"/>
        <v>46113</v>
      </c>
    </row>
    <row r="185" spans="1:6" ht="20.25">
      <c r="A185" s="49"/>
      <c r="B185" s="47" t="s">
        <v>841</v>
      </c>
      <c r="C185" s="47">
        <v>30</v>
      </c>
      <c r="D185" s="47" t="s">
        <v>72</v>
      </c>
      <c r="E185" s="12">
        <v>46114</v>
      </c>
      <c r="F185" s="20">
        <f t="shared" si="2"/>
        <v>46113</v>
      </c>
    </row>
    <row r="186" spans="1:6" ht="20.25">
      <c r="A186" s="49"/>
      <c r="B186" s="47" t="s">
        <v>1489</v>
      </c>
      <c r="C186" s="47">
        <v>45</v>
      </c>
      <c r="D186" s="47" t="s">
        <v>72</v>
      </c>
      <c r="E186" s="12">
        <v>46114</v>
      </c>
      <c r="F186" s="20">
        <f t="shared" si="2"/>
        <v>46113</v>
      </c>
    </row>
    <row r="187" spans="1:6" ht="20.25">
      <c r="A187" s="49"/>
      <c r="B187" s="47" t="s">
        <v>865</v>
      </c>
      <c r="C187" s="47">
        <v>167</v>
      </c>
      <c r="D187" s="47" t="s">
        <v>55</v>
      </c>
      <c r="E187" s="12">
        <v>46114</v>
      </c>
      <c r="F187" s="20">
        <f t="shared" si="2"/>
        <v>46113</v>
      </c>
    </row>
    <row r="188" spans="1:6" ht="20.25">
      <c r="A188" s="49"/>
      <c r="B188" s="47" t="s">
        <v>865</v>
      </c>
      <c r="C188" s="47">
        <v>30</v>
      </c>
      <c r="D188" s="47" t="s">
        <v>55</v>
      </c>
      <c r="E188" s="12">
        <v>46114</v>
      </c>
      <c r="F188" s="20">
        <f t="shared" si="2"/>
        <v>46113</v>
      </c>
    </row>
    <row r="189" spans="1:6" ht="20.25">
      <c r="A189" s="49"/>
      <c r="B189" s="47" t="s">
        <v>815</v>
      </c>
      <c r="C189" s="47">
        <v>76</v>
      </c>
      <c r="D189" s="47" t="s">
        <v>55</v>
      </c>
      <c r="E189" s="12">
        <v>46114</v>
      </c>
      <c r="F189" s="20">
        <f t="shared" si="2"/>
        <v>46113</v>
      </c>
    </row>
    <row r="190" spans="1:6" ht="20.25">
      <c r="A190" s="49"/>
      <c r="B190" s="47" t="s">
        <v>815</v>
      </c>
      <c r="C190" s="47">
        <v>188</v>
      </c>
      <c r="D190" s="47" t="s">
        <v>55</v>
      </c>
      <c r="E190" s="12">
        <v>46114</v>
      </c>
      <c r="F190" s="20">
        <f t="shared" si="2"/>
        <v>46113</v>
      </c>
    </row>
    <row r="191" spans="1:6" ht="20.25">
      <c r="A191" s="49"/>
      <c r="B191" s="47" t="s">
        <v>765</v>
      </c>
      <c r="C191" s="47">
        <v>190</v>
      </c>
      <c r="D191" s="47" t="s">
        <v>55</v>
      </c>
      <c r="E191" s="12">
        <v>46114</v>
      </c>
      <c r="F191" s="20">
        <f t="shared" si="2"/>
        <v>46113</v>
      </c>
    </row>
    <row r="192" spans="1:6" ht="20.25">
      <c r="A192" s="49"/>
      <c r="B192" s="47" t="s">
        <v>941</v>
      </c>
      <c r="C192" s="47">
        <v>486</v>
      </c>
      <c r="D192" s="47" t="s">
        <v>66</v>
      </c>
      <c r="E192" s="12">
        <v>46114</v>
      </c>
      <c r="F192" s="20">
        <f t="shared" si="2"/>
        <v>46113</v>
      </c>
    </row>
    <row r="193" spans="1:6" ht="20.25">
      <c r="A193" s="49"/>
      <c r="B193" s="47" t="s">
        <v>1589</v>
      </c>
      <c r="C193" s="47">
        <v>128</v>
      </c>
      <c r="D193" s="47" t="s">
        <v>66</v>
      </c>
      <c r="E193" s="12">
        <v>46114</v>
      </c>
      <c r="F193" s="20">
        <f t="shared" si="2"/>
        <v>46113</v>
      </c>
    </row>
    <row r="194" spans="1:6" ht="20.25">
      <c r="A194" s="49"/>
      <c r="B194" s="47" t="s">
        <v>1342</v>
      </c>
      <c r="C194" s="47">
        <v>165</v>
      </c>
      <c r="D194" s="47" t="s">
        <v>66</v>
      </c>
      <c r="E194" s="12">
        <v>46114</v>
      </c>
      <c r="F194" s="20">
        <f t="shared" ref="F194:F257" si="3">EOMONTH(E194,-1)+1</f>
        <v>46113</v>
      </c>
    </row>
    <row r="195" spans="1:6" ht="20.25">
      <c r="A195" s="49"/>
      <c r="B195" s="47" t="s">
        <v>1328</v>
      </c>
      <c r="C195" s="47">
        <v>56</v>
      </c>
      <c r="D195" s="47" t="s">
        <v>66</v>
      </c>
      <c r="E195" s="12">
        <v>46114</v>
      </c>
      <c r="F195" s="20">
        <f t="shared" si="3"/>
        <v>46113</v>
      </c>
    </row>
    <row r="196" spans="1:6" ht="20.25">
      <c r="A196" s="49"/>
      <c r="B196" s="47" t="s">
        <v>825</v>
      </c>
      <c r="C196" s="47">
        <v>166</v>
      </c>
      <c r="D196" s="47" t="s">
        <v>63</v>
      </c>
      <c r="E196" s="12">
        <v>46114</v>
      </c>
      <c r="F196" s="20">
        <f t="shared" si="3"/>
        <v>46113</v>
      </c>
    </row>
    <row r="197" spans="1:6" ht="20.25">
      <c r="A197" s="49"/>
      <c r="B197" s="47" t="s">
        <v>906</v>
      </c>
      <c r="C197" s="47">
        <v>119</v>
      </c>
      <c r="D197" s="47" t="s">
        <v>133</v>
      </c>
      <c r="E197" s="12">
        <v>46114</v>
      </c>
      <c r="F197" s="20">
        <f t="shared" si="3"/>
        <v>46113</v>
      </c>
    </row>
    <row r="198" spans="1:6" ht="20.25">
      <c r="A198" s="49"/>
      <c r="B198" s="47" t="s">
        <v>680</v>
      </c>
      <c r="C198" s="47">
        <v>168</v>
      </c>
      <c r="D198" s="47" t="s">
        <v>133</v>
      </c>
      <c r="E198" s="12">
        <v>46114</v>
      </c>
      <c r="F198" s="20">
        <f t="shared" si="3"/>
        <v>46113</v>
      </c>
    </row>
    <row r="199" spans="1:6" ht="20.25">
      <c r="A199" s="49"/>
      <c r="B199" s="47" t="s">
        <v>727</v>
      </c>
      <c r="C199" s="47">
        <v>5</v>
      </c>
      <c r="D199" s="47" t="s">
        <v>1484</v>
      </c>
      <c r="E199" s="12">
        <v>46114</v>
      </c>
      <c r="F199" s="20">
        <f t="shared" si="3"/>
        <v>46113</v>
      </c>
    </row>
    <row r="200" spans="1:6" ht="20.25">
      <c r="A200" s="49"/>
      <c r="B200" s="47" t="s">
        <v>1099</v>
      </c>
      <c r="C200" s="47">
        <v>51</v>
      </c>
      <c r="D200" s="47" t="s">
        <v>66</v>
      </c>
      <c r="E200" s="12">
        <v>46114</v>
      </c>
      <c r="F200" s="20">
        <f t="shared" si="3"/>
        <v>46113</v>
      </c>
    </row>
    <row r="201" spans="1:6" ht="20.25">
      <c r="A201" s="49"/>
      <c r="B201" s="47" t="s">
        <v>969</v>
      </c>
      <c r="C201" s="47">
        <v>55</v>
      </c>
      <c r="D201" s="47" t="s">
        <v>160</v>
      </c>
      <c r="E201" s="12">
        <v>46114</v>
      </c>
      <c r="F201" s="20">
        <f t="shared" si="3"/>
        <v>46113</v>
      </c>
    </row>
    <row r="202" spans="1:6" ht="20.25">
      <c r="A202" s="49"/>
      <c r="B202" s="47" t="s">
        <v>769</v>
      </c>
      <c r="C202" s="47">
        <v>33</v>
      </c>
      <c r="D202" s="47" t="s">
        <v>114</v>
      </c>
      <c r="E202" s="12">
        <v>46114</v>
      </c>
      <c r="F202" s="20">
        <f t="shared" si="3"/>
        <v>46113</v>
      </c>
    </row>
    <row r="203" spans="1:6" ht="20.25">
      <c r="A203" s="49"/>
      <c r="B203" s="47" t="s">
        <v>1527</v>
      </c>
      <c r="C203" s="47">
        <v>28</v>
      </c>
      <c r="D203" s="47" t="s">
        <v>114</v>
      </c>
      <c r="E203" s="12">
        <v>46114</v>
      </c>
      <c r="F203" s="20">
        <f t="shared" si="3"/>
        <v>46113</v>
      </c>
    </row>
    <row r="204" spans="1:6" ht="20.25">
      <c r="A204" s="49"/>
      <c r="B204" s="47" t="s">
        <v>1376</v>
      </c>
      <c r="C204" s="47">
        <v>295</v>
      </c>
      <c r="D204" s="47" t="s">
        <v>114</v>
      </c>
      <c r="E204" s="12">
        <v>46114</v>
      </c>
      <c r="F204" s="20">
        <f t="shared" si="3"/>
        <v>46113</v>
      </c>
    </row>
    <row r="205" spans="1:6" ht="20.25">
      <c r="A205" s="49"/>
      <c r="B205" s="47" t="s">
        <v>1056</v>
      </c>
      <c r="C205" s="47">
        <v>100</v>
      </c>
      <c r="D205" s="47" t="s">
        <v>46</v>
      </c>
      <c r="E205" s="12">
        <v>46114</v>
      </c>
      <c r="F205" s="20">
        <f t="shared" si="3"/>
        <v>46113</v>
      </c>
    </row>
    <row r="206" spans="1:6" ht="20.25">
      <c r="A206" s="49"/>
      <c r="B206" s="47" t="s">
        <v>819</v>
      </c>
      <c r="C206" s="47">
        <v>88</v>
      </c>
      <c r="D206" s="47" t="s">
        <v>46</v>
      </c>
      <c r="E206" s="12">
        <v>46114</v>
      </c>
      <c r="F206" s="20">
        <f t="shared" si="3"/>
        <v>46113</v>
      </c>
    </row>
    <row r="207" spans="1:6" ht="20.25">
      <c r="A207" s="49"/>
      <c r="B207" s="47" t="s">
        <v>865</v>
      </c>
      <c r="C207" s="47">
        <v>435</v>
      </c>
      <c r="D207" s="47" t="s">
        <v>46</v>
      </c>
      <c r="E207" s="12">
        <v>46114</v>
      </c>
      <c r="F207" s="20">
        <f t="shared" si="3"/>
        <v>46113</v>
      </c>
    </row>
    <row r="208" spans="1:6" ht="20.25">
      <c r="A208" s="49"/>
      <c r="B208" s="47" t="s">
        <v>768</v>
      </c>
      <c r="C208" s="47">
        <v>39</v>
      </c>
      <c r="D208" s="47" t="s">
        <v>46</v>
      </c>
      <c r="E208" s="12">
        <v>46114</v>
      </c>
      <c r="F208" s="20">
        <f t="shared" si="3"/>
        <v>46113</v>
      </c>
    </row>
    <row r="209" spans="1:6" ht="20.25">
      <c r="A209" s="49"/>
      <c r="B209" s="47" t="s">
        <v>768</v>
      </c>
      <c r="C209" s="47">
        <v>307</v>
      </c>
      <c r="D209" s="47" t="s">
        <v>46</v>
      </c>
      <c r="E209" s="12">
        <v>46114</v>
      </c>
      <c r="F209" s="20">
        <f t="shared" si="3"/>
        <v>46113</v>
      </c>
    </row>
    <row r="210" spans="1:6" ht="20.25">
      <c r="A210" s="49"/>
      <c r="B210" s="47" t="s">
        <v>1051</v>
      </c>
      <c r="C210" s="47">
        <v>231</v>
      </c>
      <c r="D210" s="47" t="s">
        <v>46</v>
      </c>
      <c r="E210" s="12">
        <v>46114</v>
      </c>
      <c r="F210" s="20">
        <f t="shared" si="3"/>
        <v>46113</v>
      </c>
    </row>
    <row r="211" spans="1:6" ht="20.25">
      <c r="A211" s="49"/>
      <c r="B211" s="47" t="s">
        <v>778</v>
      </c>
      <c r="C211" s="47">
        <v>71</v>
      </c>
      <c r="D211" s="47" t="s">
        <v>160</v>
      </c>
      <c r="E211" s="12">
        <v>46114</v>
      </c>
      <c r="F211" s="20">
        <f t="shared" si="3"/>
        <v>46113</v>
      </c>
    </row>
    <row r="212" spans="1:6" ht="20.25">
      <c r="A212" s="49"/>
      <c r="B212" s="47" t="s">
        <v>820</v>
      </c>
      <c r="C212" s="47">
        <v>144</v>
      </c>
      <c r="D212" s="47" t="s">
        <v>95</v>
      </c>
      <c r="E212" s="12">
        <v>46114</v>
      </c>
      <c r="F212" s="20">
        <f t="shared" si="3"/>
        <v>46113</v>
      </c>
    </row>
    <row r="213" spans="1:6" ht="20.25">
      <c r="A213" s="49"/>
      <c r="B213" s="47" t="s">
        <v>820</v>
      </c>
      <c r="C213" s="47">
        <v>549</v>
      </c>
      <c r="D213" s="47" t="s">
        <v>95</v>
      </c>
      <c r="E213" s="12">
        <v>46114</v>
      </c>
      <c r="F213" s="20">
        <f t="shared" si="3"/>
        <v>46113</v>
      </c>
    </row>
    <row r="214" spans="1:6" ht="20.25">
      <c r="A214" s="49"/>
      <c r="B214" s="47" t="s">
        <v>1376</v>
      </c>
      <c r="C214" s="47">
        <v>342</v>
      </c>
      <c r="D214" s="47" t="s">
        <v>114</v>
      </c>
      <c r="E214" s="12">
        <v>46114</v>
      </c>
      <c r="F214" s="20">
        <f t="shared" si="3"/>
        <v>46113</v>
      </c>
    </row>
    <row r="215" spans="1:6" ht="20.25">
      <c r="A215" s="49"/>
      <c r="B215" s="47" t="s">
        <v>670</v>
      </c>
      <c r="C215" s="47">
        <v>123</v>
      </c>
      <c r="D215" s="47" t="s">
        <v>46</v>
      </c>
      <c r="E215" s="12">
        <v>46114</v>
      </c>
      <c r="F215" s="20">
        <f t="shared" si="3"/>
        <v>46113</v>
      </c>
    </row>
    <row r="216" spans="1:6" ht="20.25">
      <c r="A216" s="49"/>
      <c r="B216" s="47" t="s">
        <v>1424</v>
      </c>
      <c r="C216" s="47">
        <v>277</v>
      </c>
      <c r="D216" s="47" t="s">
        <v>82</v>
      </c>
      <c r="E216" s="12">
        <v>46114</v>
      </c>
      <c r="F216" s="20">
        <f t="shared" si="3"/>
        <v>46113</v>
      </c>
    </row>
    <row r="217" spans="1:6" ht="20.25">
      <c r="A217" s="49"/>
      <c r="B217" s="47" t="s">
        <v>1424</v>
      </c>
      <c r="C217" s="47">
        <v>149</v>
      </c>
      <c r="D217" s="47" t="s">
        <v>82</v>
      </c>
      <c r="E217" s="12">
        <v>46114</v>
      </c>
      <c r="F217" s="20">
        <f t="shared" si="3"/>
        <v>46113</v>
      </c>
    </row>
    <row r="218" spans="1:6" ht="20.25">
      <c r="A218" s="49"/>
      <c r="B218" s="47" t="s">
        <v>749</v>
      </c>
      <c r="C218" s="47">
        <v>161</v>
      </c>
      <c r="D218" s="47" t="s">
        <v>82</v>
      </c>
      <c r="E218" s="12">
        <v>46114</v>
      </c>
      <c r="F218" s="20">
        <f t="shared" si="3"/>
        <v>46113</v>
      </c>
    </row>
    <row r="219" spans="1:6" ht="20.25">
      <c r="A219" s="49"/>
      <c r="B219" s="47" t="s">
        <v>1437</v>
      </c>
      <c r="C219" s="47">
        <v>123</v>
      </c>
      <c r="D219" s="47" t="s">
        <v>82</v>
      </c>
      <c r="E219" s="12">
        <v>46114</v>
      </c>
      <c r="F219" s="20">
        <f t="shared" si="3"/>
        <v>46113</v>
      </c>
    </row>
    <row r="220" spans="1:6" ht="20.25">
      <c r="A220" s="49"/>
      <c r="B220" s="47" t="s">
        <v>696</v>
      </c>
      <c r="C220" s="47">
        <v>255</v>
      </c>
      <c r="D220" s="47" t="s">
        <v>82</v>
      </c>
      <c r="E220" s="12">
        <v>46114</v>
      </c>
      <c r="F220" s="20">
        <f t="shared" si="3"/>
        <v>46113</v>
      </c>
    </row>
    <row r="221" spans="1:6" ht="20.25">
      <c r="A221" s="49"/>
      <c r="B221" s="47" t="s">
        <v>1001</v>
      </c>
      <c r="C221" s="47">
        <v>148</v>
      </c>
      <c r="D221" s="47" t="s">
        <v>63</v>
      </c>
      <c r="E221" s="12">
        <v>46114</v>
      </c>
      <c r="F221" s="20">
        <f t="shared" si="3"/>
        <v>46113</v>
      </c>
    </row>
    <row r="222" spans="1:6" ht="20.25">
      <c r="A222" s="49"/>
      <c r="B222" s="47" t="s">
        <v>1258</v>
      </c>
      <c r="C222" s="47">
        <v>136</v>
      </c>
      <c r="D222" s="47" t="s">
        <v>55</v>
      </c>
      <c r="E222" s="12">
        <v>46114</v>
      </c>
      <c r="F222" s="20">
        <f t="shared" si="3"/>
        <v>46113</v>
      </c>
    </row>
    <row r="223" spans="1:6" ht="20.25">
      <c r="A223" s="49"/>
      <c r="B223" s="47" t="s">
        <v>982</v>
      </c>
      <c r="C223" s="47">
        <v>141</v>
      </c>
      <c r="D223" s="47" t="s">
        <v>66</v>
      </c>
      <c r="E223" s="12">
        <v>46114</v>
      </c>
      <c r="F223" s="20">
        <f t="shared" si="3"/>
        <v>46113</v>
      </c>
    </row>
    <row r="224" spans="1:6" ht="20.25">
      <c r="A224" s="49"/>
      <c r="B224" s="47" t="s">
        <v>982</v>
      </c>
      <c r="C224" s="47">
        <v>133</v>
      </c>
      <c r="D224" s="47" t="s">
        <v>66</v>
      </c>
      <c r="E224" s="12">
        <v>46114</v>
      </c>
      <c r="F224" s="20">
        <f t="shared" si="3"/>
        <v>46113</v>
      </c>
    </row>
    <row r="225" spans="1:6" ht="20.25">
      <c r="A225" s="49"/>
      <c r="B225" s="47" t="s">
        <v>757</v>
      </c>
      <c r="C225" s="47">
        <v>138</v>
      </c>
      <c r="D225" s="47" t="s">
        <v>66</v>
      </c>
      <c r="E225" s="12">
        <v>46114</v>
      </c>
      <c r="F225" s="20">
        <f t="shared" si="3"/>
        <v>46113</v>
      </c>
    </row>
    <row r="226" spans="1:6" ht="20.25">
      <c r="A226" s="49"/>
      <c r="B226" s="47" t="s">
        <v>1319</v>
      </c>
      <c r="C226" s="47">
        <v>291</v>
      </c>
      <c r="D226" s="47" t="s">
        <v>66</v>
      </c>
      <c r="E226" s="12">
        <v>46114</v>
      </c>
      <c r="F226" s="20">
        <f t="shared" si="3"/>
        <v>46113</v>
      </c>
    </row>
    <row r="227" spans="1:6" ht="20.25">
      <c r="A227" s="49"/>
      <c r="B227" s="47" t="s">
        <v>819</v>
      </c>
      <c r="C227" s="47">
        <v>142</v>
      </c>
      <c r="D227" s="47" t="s">
        <v>95</v>
      </c>
      <c r="E227" s="12">
        <v>46114</v>
      </c>
      <c r="F227" s="20">
        <f t="shared" si="3"/>
        <v>46113</v>
      </c>
    </row>
    <row r="228" spans="1:6" ht="20.25">
      <c r="A228" s="49"/>
      <c r="B228" s="47" t="s">
        <v>1147</v>
      </c>
      <c r="C228" s="47">
        <v>217</v>
      </c>
      <c r="D228" s="47" t="s">
        <v>95</v>
      </c>
      <c r="E228" s="12">
        <v>46114</v>
      </c>
      <c r="F228" s="20">
        <f t="shared" si="3"/>
        <v>46113</v>
      </c>
    </row>
    <row r="229" spans="1:6" ht="20.25">
      <c r="A229" s="49"/>
      <c r="B229" s="47" t="s">
        <v>812</v>
      </c>
      <c r="C229" s="47">
        <v>211</v>
      </c>
      <c r="D229" s="47" t="s">
        <v>55</v>
      </c>
      <c r="E229" s="12">
        <v>46114</v>
      </c>
      <c r="F229" s="20">
        <f t="shared" si="3"/>
        <v>46113</v>
      </c>
    </row>
    <row r="230" spans="1:6" ht="20.25">
      <c r="A230" s="49"/>
      <c r="B230" s="47" t="s">
        <v>1173</v>
      </c>
      <c r="C230" s="47">
        <v>40</v>
      </c>
      <c r="D230" s="47" t="s">
        <v>46</v>
      </c>
      <c r="E230" s="12">
        <v>46114</v>
      </c>
      <c r="F230" s="20">
        <f t="shared" si="3"/>
        <v>46113</v>
      </c>
    </row>
    <row r="231" spans="1:6" ht="20.25">
      <c r="A231" s="49"/>
      <c r="B231" s="47" t="s">
        <v>1286</v>
      </c>
      <c r="C231" s="47">
        <v>93</v>
      </c>
      <c r="D231" s="47" t="s">
        <v>55</v>
      </c>
      <c r="E231" s="12">
        <v>46114</v>
      </c>
      <c r="F231" s="20">
        <f t="shared" si="3"/>
        <v>46113</v>
      </c>
    </row>
    <row r="232" spans="1:6" ht="20.25">
      <c r="A232" s="49"/>
      <c r="B232" s="47" t="s">
        <v>1286</v>
      </c>
      <c r="C232" s="47">
        <v>49</v>
      </c>
      <c r="D232" s="47" t="s">
        <v>55</v>
      </c>
      <c r="E232" s="12">
        <v>46114</v>
      </c>
      <c r="F232" s="20">
        <f t="shared" si="3"/>
        <v>46113</v>
      </c>
    </row>
    <row r="233" spans="1:6" ht="20.25">
      <c r="A233" s="49"/>
      <c r="B233" s="47" t="s">
        <v>758</v>
      </c>
      <c r="C233" s="47">
        <v>138</v>
      </c>
      <c r="D233" s="47" t="s">
        <v>97</v>
      </c>
      <c r="E233" s="12">
        <v>46114</v>
      </c>
      <c r="F233" s="20">
        <f t="shared" si="3"/>
        <v>46113</v>
      </c>
    </row>
    <row r="234" spans="1:6" ht="20.25">
      <c r="A234" s="49"/>
      <c r="B234" s="47" t="s">
        <v>1349</v>
      </c>
      <c r="C234" s="47">
        <v>32</v>
      </c>
      <c r="D234" s="47" t="s">
        <v>160</v>
      </c>
      <c r="E234" s="12">
        <v>46115</v>
      </c>
      <c r="F234" s="20">
        <f t="shared" si="3"/>
        <v>46113</v>
      </c>
    </row>
    <row r="235" spans="1:6" ht="20.25">
      <c r="A235" s="49"/>
      <c r="B235" s="47" t="s">
        <v>779</v>
      </c>
      <c r="C235" s="47">
        <v>157</v>
      </c>
      <c r="D235" s="47" t="s">
        <v>160</v>
      </c>
      <c r="E235" s="12">
        <v>46115</v>
      </c>
      <c r="F235" s="20">
        <f t="shared" si="3"/>
        <v>46113</v>
      </c>
    </row>
    <row r="236" spans="1:6" ht="20.25">
      <c r="A236" s="49"/>
      <c r="B236" s="47" t="s">
        <v>779</v>
      </c>
      <c r="C236" s="47">
        <v>23</v>
      </c>
      <c r="D236" s="47" t="s">
        <v>160</v>
      </c>
      <c r="E236" s="12">
        <v>46115</v>
      </c>
      <c r="F236" s="20">
        <f t="shared" si="3"/>
        <v>46113</v>
      </c>
    </row>
    <row r="237" spans="1:6" ht="20.25">
      <c r="A237" s="49"/>
      <c r="B237" s="47" t="s">
        <v>648</v>
      </c>
      <c r="C237" s="47">
        <v>74</v>
      </c>
      <c r="D237" s="47" t="s">
        <v>160</v>
      </c>
      <c r="E237" s="12">
        <v>46115</v>
      </c>
      <c r="F237" s="20">
        <f t="shared" si="3"/>
        <v>46113</v>
      </c>
    </row>
    <row r="238" spans="1:6" ht="20.25">
      <c r="A238" s="49"/>
      <c r="B238" s="47" t="s">
        <v>837</v>
      </c>
      <c r="C238" s="47">
        <v>52</v>
      </c>
      <c r="D238" s="47" t="s">
        <v>160</v>
      </c>
      <c r="E238" s="12">
        <v>46115</v>
      </c>
      <c r="F238" s="20">
        <f t="shared" si="3"/>
        <v>46113</v>
      </c>
    </row>
    <row r="239" spans="1:6" ht="20.25">
      <c r="A239" s="49"/>
      <c r="B239" s="47" t="s">
        <v>1106</v>
      </c>
      <c r="C239" s="47">
        <v>98</v>
      </c>
      <c r="D239" s="47" t="s">
        <v>160</v>
      </c>
      <c r="E239" s="12">
        <v>46115</v>
      </c>
      <c r="F239" s="20">
        <f t="shared" si="3"/>
        <v>46113</v>
      </c>
    </row>
    <row r="240" spans="1:6" ht="20.25">
      <c r="A240" s="49"/>
      <c r="B240" s="47" t="s">
        <v>837</v>
      </c>
      <c r="C240" s="47">
        <v>82</v>
      </c>
      <c r="D240" s="47" t="s">
        <v>160</v>
      </c>
      <c r="E240" s="12">
        <v>46115</v>
      </c>
      <c r="F240" s="20">
        <f t="shared" si="3"/>
        <v>46113</v>
      </c>
    </row>
    <row r="241" spans="1:6" ht="20.25">
      <c r="A241" s="49"/>
      <c r="B241" s="47" t="s">
        <v>932</v>
      </c>
      <c r="C241" s="47">
        <v>116</v>
      </c>
      <c r="D241" s="47" t="s">
        <v>95</v>
      </c>
      <c r="E241" s="12">
        <v>46115</v>
      </c>
      <c r="F241" s="20">
        <f t="shared" si="3"/>
        <v>46113</v>
      </c>
    </row>
    <row r="242" spans="1:6" ht="20.25">
      <c r="A242" s="49"/>
      <c r="B242" s="47" t="s">
        <v>939</v>
      </c>
      <c r="C242" s="47">
        <v>378</v>
      </c>
      <c r="D242" s="47" t="s">
        <v>95</v>
      </c>
      <c r="E242" s="12">
        <v>46115</v>
      </c>
      <c r="F242" s="20">
        <f t="shared" si="3"/>
        <v>46113</v>
      </c>
    </row>
    <row r="243" spans="1:6" ht="20.25">
      <c r="A243" s="49"/>
      <c r="B243" s="47" t="s">
        <v>1165</v>
      </c>
      <c r="C243" s="47">
        <v>129</v>
      </c>
      <c r="D243" s="47" t="s">
        <v>95</v>
      </c>
      <c r="E243" s="12">
        <v>46115</v>
      </c>
      <c r="F243" s="20">
        <f t="shared" si="3"/>
        <v>46113</v>
      </c>
    </row>
    <row r="244" spans="1:6" ht="20.25">
      <c r="A244" s="49"/>
      <c r="B244" s="47" t="s">
        <v>734</v>
      </c>
      <c r="C244" s="47">
        <v>90</v>
      </c>
      <c r="D244" s="47" t="s">
        <v>95</v>
      </c>
      <c r="E244" s="12">
        <v>46115</v>
      </c>
      <c r="F244" s="20">
        <f t="shared" si="3"/>
        <v>46113</v>
      </c>
    </row>
    <row r="245" spans="1:6" ht="20.25">
      <c r="A245" s="49"/>
      <c r="B245" s="47" t="s">
        <v>1444</v>
      </c>
      <c r="C245" s="47">
        <v>19</v>
      </c>
      <c r="D245" s="47" t="s">
        <v>95</v>
      </c>
      <c r="E245" s="12">
        <v>46115</v>
      </c>
      <c r="F245" s="20">
        <f t="shared" si="3"/>
        <v>46113</v>
      </c>
    </row>
    <row r="246" spans="1:6" ht="20.25">
      <c r="A246" s="49"/>
      <c r="B246" s="47" t="s">
        <v>1259</v>
      </c>
      <c r="C246" s="47">
        <v>38</v>
      </c>
      <c r="D246" s="47" t="s">
        <v>95</v>
      </c>
      <c r="E246" s="12">
        <v>46115</v>
      </c>
      <c r="F246" s="20">
        <f t="shared" si="3"/>
        <v>46113</v>
      </c>
    </row>
    <row r="247" spans="1:6" ht="20.25">
      <c r="A247" s="49"/>
      <c r="B247" s="47" t="s">
        <v>1066</v>
      </c>
      <c r="C247" s="47">
        <v>123</v>
      </c>
      <c r="D247" s="47" t="s">
        <v>95</v>
      </c>
      <c r="E247" s="12">
        <v>46115</v>
      </c>
      <c r="F247" s="20">
        <f t="shared" si="3"/>
        <v>46113</v>
      </c>
    </row>
    <row r="248" spans="1:6" ht="20.25">
      <c r="A248" s="49"/>
      <c r="B248" s="47" t="s">
        <v>708</v>
      </c>
      <c r="C248" s="47">
        <v>6</v>
      </c>
      <c r="D248" s="47" t="s">
        <v>95</v>
      </c>
      <c r="E248" s="12">
        <v>46115</v>
      </c>
      <c r="F248" s="20">
        <f t="shared" si="3"/>
        <v>46113</v>
      </c>
    </row>
    <row r="249" spans="1:6" ht="20.25">
      <c r="A249" s="49"/>
      <c r="B249" s="47" t="s">
        <v>992</v>
      </c>
      <c r="C249" s="47">
        <v>66</v>
      </c>
      <c r="D249" s="47" t="s">
        <v>72</v>
      </c>
      <c r="E249" s="12">
        <v>46115</v>
      </c>
      <c r="F249" s="20">
        <f t="shared" si="3"/>
        <v>46113</v>
      </c>
    </row>
    <row r="250" spans="1:6" ht="20.25">
      <c r="A250" s="49"/>
      <c r="B250" s="47" t="s">
        <v>917</v>
      </c>
      <c r="C250" s="47">
        <v>43</v>
      </c>
      <c r="D250" s="47" t="s">
        <v>72</v>
      </c>
      <c r="E250" s="12">
        <v>46115</v>
      </c>
      <c r="F250" s="20">
        <f t="shared" si="3"/>
        <v>46113</v>
      </c>
    </row>
    <row r="251" spans="1:6" ht="20.25">
      <c r="A251" s="49"/>
      <c r="B251" s="47" t="s">
        <v>830</v>
      </c>
      <c r="C251" s="47">
        <v>137</v>
      </c>
      <c r="D251" s="47" t="s">
        <v>72</v>
      </c>
      <c r="E251" s="12">
        <v>46115</v>
      </c>
      <c r="F251" s="20">
        <f t="shared" si="3"/>
        <v>46113</v>
      </c>
    </row>
    <row r="252" spans="1:6" ht="20.25">
      <c r="A252" s="49"/>
      <c r="B252" s="47" t="s">
        <v>1055</v>
      </c>
      <c r="C252" s="47">
        <v>34</v>
      </c>
      <c r="D252" s="47" t="s">
        <v>72</v>
      </c>
      <c r="E252" s="12">
        <v>46115</v>
      </c>
      <c r="F252" s="20">
        <f t="shared" si="3"/>
        <v>46113</v>
      </c>
    </row>
    <row r="253" spans="1:6" ht="20.25">
      <c r="A253" s="49"/>
      <c r="B253" s="47" t="s">
        <v>1055</v>
      </c>
      <c r="C253" s="47">
        <v>122</v>
      </c>
      <c r="D253" s="47" t="s">
        <v>72</v>
      </c>
      <c r="E253" s="12">
        <v>46115</v>
      </c>
      <c r="F253" s="20">
        <f t="shared" si="3"/>
        <v>46113</v>
      </c>
    </row>
    <row r="254" spans="1:6" ht="20.25">
      <c r="A254" s="49"/>
      <c r="B254" s="47" t="s">
        <v>701</v>
      </c>
      <c r="C254" s="47">
        <v>577</v>
      </c>
      <c r="D254" s="47" t="s">
        <v>72</v>
      </c>
      <c r="E254" s="12">
        <v>46115</v>
      </c>
      <c r="F254" s="20">
        <f t="shared" si="3"/>
        <v>46113</v>
      </c>
    </row>
    <row r="255" spans="1:6" ht="20.25">
      <c r="A255" s="49"/>
      <c r="B255" s="47" t="s">
        <v>702</v>
      </c>
      <c r="C255" s="47">
        <v>82</v>
      </c>
      <c r="D255" s="47" t="s">
        <v>72</v>
      </c>
      <c r="E255" s="12">
        <v>46115</v>
      </c>
      <c r="F255" s="20">
        <f t="shared" si="3"/>
        <v>46113</v>
      </c>
    </row>
    <row r="256" spans="1:6" ht="20.25">
      <c r="A256" s="49"/>
      <c r="B256" s="47" t="s">
        <v>626</v>
      </c>
      <c r="C256" s="47">
        <v>89</v>
      </c>
      <c r="D256" s="47" t="s">
        <v>72</v>
      </c>
      <c r="E256" s="12">
        <v>46115</v>
      </c>
      <c r="F256" s="20">
        <f t="shared" si="3"/>
        <v>46113</v>
      </c>
    </row>
    <row r="257" spans="1:6" ht="20.25">
      <c r="A257" s="49"/>
      <c r="B257" s="47" t="s">
        <v>626</v>
      </c>
      <c r="C257" s="47">
        <v>70</v>
      </c>
      <c r="D257" s="47" t="s">
        <v>72</v>
      </c>
      <c r="E257" s="12">
        <v>46115</v>
      </c>
      <c r="F257" s="20">
        <f t="shared" si="3"/>
        <v>46113</v>
      </c>
    </row>
    <row r="258" spans="1:6" ht="20.25">
      <c r="A258" s="49"/>
      <c r="B258" s="47" t="s">
        <v>728</v>
      </c>
      <c r="C258" s="47">
        <v>57</v>
      </c>
      <c r="D258" s="47" t="s">
        <v>72</v>
      </c>
      <c r="E258" s="12">
        <v>46115</v>
      </c>
      <c r="F258" s="20">
        <f t="shared" ref="F258:F321" si="4">EOMONTH(E258,-1)+1</f>
        <v>46113</v>
      </c>
    </row>
    <row r="259" spans="1:6" ht="20.25">
      <c r="A259" s="49"/>
      <c r="B259" s="47" t="s">
        <v>780</v>
      </c>
      <c r="C259" s="47">
        <v>377</v>
      </c>
      <c r="D259" s="47" t="s">
        <v>72</v>
      </c>
      <c r="E259" s="12">
        <v>46115</v>
      </c>
      <c r="F259" s="20">
        <f t="shared" si="4"/>
        <v>46113</v>
      </c>
    </row>
    <row r="260" spans="1:6" ht="20.25">
      <c r="A260" s="49"/>
      <c r="B260" s="47" t="s">
        <v>932</v>
      </c>
      <c r="C260" s="47">
        <v>366</v>
      </c>
      <c r="D260" s="47" t="s">
        <v>63</v>
      </c>
      <c r="E260" s="12">
        <v>46115</v>
      </c>
      <c r="F260" s="20">
        <f t="shared" si="4"/>
        <v>46113</v>
      </c>
    </row>
    <row r="261" spans="1:6" ht="20.25">
      <c r="A261" s="49"/>
      <c r="B261" s="47" t="s">
        <v>893</v>
      </c>
      <c r="C261" s="47">
        <v>270</v>
      </c>
      <c r="D261" s="47" t="s">
        <v>63</v>
      </c>
      <c r="E261" s="12">
        <v>46115</v>
      </c>
      <c r="F261" s="20">
        <f t="shared" si="4"/>
        <v>46113</v>
      </c>
    </row>
    <row r="262" spans="1:6" ht="20.25">
      <c r="A262" s="49"/>
      <c r="B262" s="47" t="s">
        <v>893</v>
      </c>
      <c r="C262" s="47">
        <v>712</v>
      </c>
      <c r="D262" s="47" t="s">
        <v>63</v>
      </c>
      <c r="E262" s="12">
        <v>46115</v>
      </c>
      <c r="F262" s="20">
        <f t="shared" si="4"/>
        <v>46113</v>
      </c>
    </row>
    <row r="263" spans="1:6" ht="20.25">
      <c r="A263" s="49"/>
      <c r="B263" s="47" t="s">
        <v>663</v>
      </c>
      <c r="C263" s="47">
        <v>432</v>
      </c>
      <c r="D263" s="47" t="s">
        <v>160</v>
      </c>
      <c r="E263" s="12">
        <v>46115</v>
      </c>
      <c r="F263" s="20">
        <f t="shared" si="4"/>
        <v>46113</v>
      </c>
    </row>
    <row r="264" spans="1:6" ht="20.25">
      <c r="A264" s="49"/>
      <c r="B264" s="47" t="s">
        <v>1549</v>
      </c>
      <c r="C264" s="47">
        <v>744</v>
      </c>
      <c r="D264" s="47" t="s">
        <v>1484</v>
      </c>
      <c r="E264" s="12">
        <v>46115</v>
      </c>
      <c r="F264" s="20">
        <f t="shared" si="4"/>
        <v>46113</v>
      </c>
    </row>
    <row r="265" spans="1:6" ht="20.25">
      <c r="A265" s="49"/>
      <c r="B265" s="47" t="s">
        <v>1590</v>
      </c>
      <c r="C265" s="47">
        <v>20</v>
      </c>
      <c r="D265" s="47" t="s">
        <v>133</v>
      </c>
      <c r="E265" s="12">
        <v>46115</v>
      </c>
      <c r="F265" s="20">
        <f t="shared" si="4"/>
        <v>46113</v>
      </c>
    </row>
    <row r="266" spans="1:6" ht="20.25">
      <c r="A266" s="49"/>
      <c r="B266" s="47" t="s">
        <v>699</v>
      </c>
      <c r="C266" s="47">
        <v>34</v>
      </c>
      <c r="D266" s="47" t="s">
        <v>160</v>
      </c>
      <c r="E266" s="12">
        <v>46115</v>
      </c>
      <c r="F266" s="20">
        <f t="shared" si="4"/>
        <v>46113</v>
      </c>
    </row>
    <row r="267" spans="1:6" ht="20.25">
      <c r="A267" s="49"/>
      <c r="B267" s="47" t="s">
        <v>950</v>
      </c>
      <c r="C267" s="47">
        <v>972</v>
      </c>
      <c r="D267" s="47" t="s">
        <v>160</v>
      </c>
      <c r="E267" s="12">
        <v>46115</v>
      </c>
      <c r="F267" s="20">
        <f t="shared" si="4"/>
        <v>46113</v>
      </c>
    </row>
    <row r="268" spans="1:6" ht="20.25">
      <c r="A268" s="49"/>
      <c r="B268" s="47" t="s">
        <v>950</v>
      </c>
      <c r="C268" s="47">
        <v>111</v>
      </c>
      <c r="D268" s="47" t="s">
        <v>160</v>
      </c>
      <c r="E268" s="12">
        <v>46115</v>
      </c>
      <c r="F268" s="20">
        <f t="shared" si="4"/>
        <v>46113</v>
      </c>
    </row>
    <row r="269" spans="1:6" ht="20.25">
      <c r="A269" s="49"/>
      <c r="B269" s="47" t="s">
        <v>876</v>
      </c>
      <c r="C269" s="47">
        <v>892</v>
      </c>
      <c r="D269" s="47" t="s">
        <v>82</v>
      </c>
      <c r="E269" s="12">
        <v>46115</v>
      </c>
      <c r="F269" s="20">
        <f t="shared" si="4"/>
        <v>46113</v>
      </c>
    </row>
    <row r="270" spans="1:6" ht="20.25">
      <c r="A270" s="49"/>
      <c r="B270" s="47" t="s">
        <v>669</v>
      </c>
      <c r="C270" s="47">
        <v>277</v>
      </c>
      <c r="D270" s="47" t="s">
        <v>82</v>
      </c>
      <c r="E270" s="12">
        <v>46115</v>
      </c>
      <c r="F270" s="20">
        <f t="shared" si="4"/>
        <v>46113</v>
      </c>
    </row>
    <row r="271" spans="1:6" ht="20.25">
      <c r="A271" s="49"/>
      <c r="B271" s="47" t="s">
        <v>1319</v>
      </c>
      <c r="C271" s="47">
        <v>158</v>
      </c>
      <c r="D271" s="47" t="s">
        <v>82</v>
      </c>
      <c r="E271" s="12">
        <v>46115</v>
      </c>
      <c r="F271" s="20">
        <f t="shared" si="4"/>
        <v>46113</v>
      </c>
    </row>
    <row r="272" spans="1:6" ht="20.25">
      <c r="A272" s="49"/>
      <c r="B272" s="47" t="s">
        <v>1459</v>
      </c>
      <c r="C272" s="47">
        <v>318</v>
      </c>
      <c r="D272" s="47" t="s">
        <v>82</v>
      </c>
      <c r="E272" s="12">
        <v>46115</v>
      </c>
      <c r="F272" s="20">
        <f t="shared" si="4"/>
        <v>46113</v>
      </c>
    </row>
    <row r="273" spans="1:6" ht="20.25">
      <c r="A273" s="49"/>
      <c r="B273" s="47" t="s">
        <v>1008</v>
      </c>
      <c r="C273" s="47">
        <v>123</v>
      </c>
      <c r="D273" s="47" t="s">
        <v>82</v>
      </c>
      <c r="E273" s="12">
        <v>46115</v>
      </c>
      <c r="F273" s="20">
        <f t="shared" si="4"/>
        <v>46113</v>
      </c>
    </row>
    <row r="274" spans="1:6" ht="20.25">
      <c r="A274" s="49"/>
      <c r="B274" s="47" t="s">
        <v>1325</v>
      </c>
      <c r="C274" s="47">
        <v>151</v>
      </c>
      <c r="D274" s="47" t="s">
        <v>82</v>
      </c>
      <c r="E274" s="12">
        <v>46115</v>
      </c>
      <c r="F274" s="20">
        <f t="shared" si="4"/>
        <v>46113</v>
      </c>
    </row>
    <row r="275" spans="1:6" ht="20.25">
      <c r="A275" s="49"/>
      <c r="B275" s="47" t="s">
        <v>977</v>
      </c>
      <c r="C275" s="47">
        <v>115</v>
      </c>
      <c r="D275" s="47" t="s">
        <v>82</v>
      </c>
      <c r="E275" s="12">
        <v>46115</v>
      </c>
      <c r="F275" s="20">
        <f t="shared" si="4"/>
        <v>46113</v>
      </c>
    </row>
    <row r="276" spans="1:6" ht="20.25">
      <c r="A276" s="49"/>
      <c r="B276" s="47" t="s">
        <v>632</v>
      </c>
      <c r="C276" s="47">
        <v>94</v>
      </c>
      <c r="D276" s="47" t="s">
        <v>82</v>
      </c>
      <c r="E276" s="12">
        <v>46115</v>
      </c>
      <c r="F276" s="20">
        <f t="shared" si="4"/>
        <v>46113</v>
      </c>
    </row>
    <row r="277" spans="1:6" ht="20.25">
      <c r="A277" s="49"/>
      <c r="B277" s="47" t="s">
        <v>1010</v>
      </c>
      <c r="C277" s="47">
        <v>337</v>
      </c>
      <c r="D277" s="47" t="s">
        <v>82</v>
      </c>
      <c r="E277" s="12">
        <v>46115</v>
      </c>
      <c r="F277" s="20">
        <f t="shared" si="4"/>
        <v>46113</v>
      </c>
    </row>
    <row r="278" spans="1:6" ht="20.25">
      <c r="A278" s="49"/>
      <c r="B278" s="47" t="s">
        <v>1135</v>
      </c>
      <c r="C278" s="47">
        <v>250</v>
      </c>
      <c r="D278" s="47" t="s">
        <v>114</v>
      </c>
      <c r="E278" s="12">
        <v>46115</v>
      </c>
      <c r="F278" s="20">
        <f t="shared" si="4"/>
        <v>46113</v>
      </c>
    </row>
    <row r="279" spans="1:6" ht="20.25">
      <c r="A279" s="49"/>
      <c r="B279" s="47" t="s">
        <v>700</v>
      </c>
      <c r="C279" s="47">
        <v>783</v>
      </c>
      <c r="D279" s="47" t="s">
        <v>114</v>
      </c>
      <c r="E279" s="12">
        <v>46115</v>
      </c>
      <c r="F279" s="20">
        <f t="shared" si="4"/>
        <v>46113</v>
      </c>
    </row>
    <row r="280" spans="1:6" ht="20.25">
      <c r="A280" s="49"/>
      <c r="B280" s="47" t="s">
        <v>924</v>
      </c>
      <c r="C280" s="47">
        <v>91</v>
      </c>
      <c r="D280" s="47" t="s">
        <v>114</v>
      </c>
      <c r="E280" s="12">
        <v>46115</v>
      </c>
      <c r="F280" s="20">
        <f t="shared" si="4"/>
        <v>46113</v>
      </c>
    </row>
    <row r="281" spans="1:6" ht="20.25">
      <c r="A281" s="49"/>
      <c r="B281" s="47" t="s">
        <v>775</v>
      </c>
      <c r="C281" s="47">
        <v>44</v>
      </c>
      <c r="D281" s="47" t="s">
        <v>114</v>
      </c>
      <c r="E281" s="12">
        <v>46115</v>
      </c>
      <c r="F281" s="20">
        <f t="shared" si="4"/>
        <v>46113</v>
      </c>
    </row>
    <row r="282" spans="1:6" ht="20.25">
      <c r="A282" s="49"/>
      <c r="B282" s="47" t="s">
        <v>970</v>
      </c>
      <c r="C282" s="47">
        <v>65</v>
      </c>
      <c r="D282" s="47" t="s">
        <v>114</v>
      </c>
      <c r="E282" s="12">
        <v>46115</v>
      </c>
      <c r="F282" s="20">
        <f t="shared" si="4"/>
        <v>46113</v>
      </c>
    </row>
    <row r="283" spans="1:6" ht="20.25">
      <c r="A283" s="49"/>
      <c r="B283" s="47" t="s">
        <v>726</v>
      </c>
      <c r="C283" s="47">
        <v>200</v>
      </c>
      <c r="D283" s="47" t="s">
        <v>114</v>
      </c>
      <c r="E283" s="12">
        <v>46115</v>
      </c>
      <c r="F283" s="20">
        <f t="shared" si="4"/>
        <v>46113</v>
      </c>
    </row>
    <row r="284" spans="1:6" ht="20.25">
      <c r="A284" s="49"/>
      <c r="B284" s="47" t="s">
        <v>1485</v>
      </c>
      <c r="C284" s="47">
        <v>0</v>
      </c>
      <c r="D284" s="47" t="s">
        <v>114</v>
      </c>
      <c r="E284" s="12">
        <v>46115</v>
      </c>
      <c r="F284" s="20">
        <f t="shared" si="4"/>
        <v>46113</v>
      </c>
    </row>
    <row r="285" spans="1:6" ht="20.25">
      <c r="A285" s="49"/>
      <c r="B285" s="47" t="s">
        <v>877</v>
      </c>
      <c r="C285" s="47">
        <v>120</v>
      </c>
      <c r="D285" s="47" t="s">
        <v>97</v>
      </c>
      <c r="E285" s="12">
        <v>46115</v>
      </c>
      <c r="F285" s="20">
        <f t="shared" si="4"/>
        <v>46113</v>
      </c>
    </row>
    <row r="286" spans="1:6" ht="20.25">
      <c r="A286" s="49"/>
      <c r="B286" s="47" t="s">
        <v>969</v>
      </c>
      <c r="C286" s="47">
        <v>133</v>
      </c>
      <c r="D286" s="47" t="s">
        <v>97</v>
      </c>
      <c r="E286" s="12">
        <v>46115</v>
      </c>
      <c r="F286" s="20">
        <f t="shared" si="4"/>
        <v>46113</v>
      </c>
    </row>
    <row r="287" spans="1:6" ht="20.25">
      <c r="A287" s="49"/>
      <c r="B287" s="47" t="s">
        <v>1049</v>
      </c>
      <c r="C287" s="47">
        <v>141</v>
      </c>
      <c r="D287" s="47" t="s">
        <v>97</v>
      </c>
      <c r="E287" s="12">
        <v>46115</v>
      </c>
      <c r="F287" s="20">
        <f t="shared" si="4"/>
        <v>46113</v>
      </c>
    </row>
    <row r="288" spans="1:6" ht="20.25">
      <c r="A288" s="49"/>
      <c r="B288" s="47" t="s">
        <v>1115</v>
      </c>
      <c r="C288" s="47">
        <v>179</v>
      </c>
      <c r="D288" s="47" t="s">
        <v>72</v>
      </c>
      <c r="E288" s="12">
        <v>46115</v>
      </c>
      <c r="F288" s="20">
        <f t="shared" si="4"/>
        <v>46113</v>
      </c>
    </row>
    <row r="289" spans="1:6" ht="20.25">
      <c r="A289" s="49"/>
      <c r="B289" s="47" t="s">
        <v>603</v>
      </c>
      <c r="C289" s="47">
        <v>900</v>
      </c>
      <c r="D289" s="47" t="s">
        <v>95</v>
      </c>
      <c r="E289" s="12">
        <v>46115</v>
      </c>
      <c r="F289" s="20">
        <f t="shared" si="4"/>
        <v>46113</v>
      </c>
    </row>
    <row r="290" spans="1:6" ht="20.25">
      <c r="A290" s="49"/>
      <c r="B290" s="47" t="s">
        <v>1360</v>
      </c>
      <c r="C290" s="47">
        <v>10</v>
      </c>
      <c r="D290" s="47" t="s">
        <v>133</v>
      </c>
      <c r="E290" s="12">
        <v>46115</v>
      </c>
      <c r="F290" s="20">
        <f t="shared" si="4"/>
        <v>46113</v>
      </c>
    </row>
    <row r="291" spans="1:6" ht="20.25">
      <c r="A291" s="49"/>
      <c r="B291" s="47" t="s">
        <v>757</v>
      </c>
      <c r="C291" s="47">
        <v>59</v>
      </c>
      <c r="D291" s="47" t="s">
        <v>66</v>
      </c>
      <c r="E291" s="12">
        <v>46115</v>
      </c>
      <c r="F291" s="20">
        <f t="shared" si="4"/>
        <v>46113</v>
      </c>
    </row>
    <row r="292" spans="1:6" ht="20.25">
      <c r="A292" s="49"/>
      <c r="B292" s="47" t="s">
        <v>1101</v>
      </c>
      <c r="C292" s="47">
        <v>297</v>
      </c>
      <c r="D292" s="47" t="s">
        <v>66</v>
      </c>
      <c r="E292" s="12">
        <v>46115</v>
      </c>
      <c r="F292" s="20">
        <f t="shared" si="4"/>
        <v>46113</v>
      </c>
    </row>
    <row r="293" spans="1:6" ht="20.25">
      <c r="A293" s="49"/>
      <c r="B293" s="47" t="s">
        <v>773</v>
      </c>
      <c r="C293" s="47">
        <v>253</v>
      </c>
      <c r="D293" s="47" t="s">
        <v>66</v>
      </c>
      <c r="E293" s="12">
        <v>46115</v>
      </c>
      <c r="F293" s="20">
        <f t="shared" si="4"/>
        <v>46113</v>
      </c>
    </row>
    <row r="294" spans="1:6" ht="20.25">
      <c r="A294" s="49"/>
      <c r="B294" s="47" t="s">
        <v>770</v>
      </c>
      <c r="C294" s="47">
        <v>220</v>
      </c>
      <c r="D294" s="47" t="s">
        <v>66</v>
      </c>
      <c r="E294" s="12">
        <v>46115</v>
      </c>
      <c r="F294" s="20">
        <f t="shared" si="4"/>
        <v>46113</v>
      </c>
    </row>
    <row r="295" spans="1:6" ht="20.25">
      <c r="A295" s="49"/>
      <c r="B295" s="47" t="s">
        <v>1284</v>
      </c>
      <c r="C295" s="47">
        <v>38</v>
      </c>
      <c r="D295" s="47" t="s">
        <v>66</v>
      </c>
      <c r="E295" s="12">
        <v>46115</v>
      </c>
      <c r="F295" s="20">
        <f t="shared" si="4"/>
        <v>46113</v>
      </c>
    </row>
    <row r="296" spans="1:6" ht="20.25">
      <c r="A296" s="49"/>
      <c r="B296" s="47" t="s">
        <v>1119</v>
      </c>
      <c r="C296" s="47">
        <v>189</v>
      </c>
      <c r="D296" s="47" t="s">
        <v>66</v>
      </c>
      <c r="E296" s="12">
        <v>46115</v>
      </c>
      <c r="F296" s="20">
        <f t="shared" si="4"/>
        <v>46113</v>
      </c>
    </row>
    <row r="297" spans="1:6" ht="20.25">
      <c r="A297" s="49"/>
      <c r="B297" s="47" t="s">
        <v>1099</v>
      </c>
      <c r="C297" s="47">
        <v>137</v>
      </c>
      <c r="D297" s="47" t="s">
        <v>66</v>
      </c>
      <c r="E297" s="12">
        <v>46115</v>
      </c>
      <c r="F297" s="20">
        <f t="shared" si="4"/>
        <v>46113</v>
      </c>
    </row>
    <row r="298" spans="1:6" ht="20.25">
      <c r="A298" s="49"/>
      <c r="B298" s="47" t="s">
        <v>982</v>
      </c>
      <c r="C298" s="47">
        <v>154</v>
      </c>
      <c r="D298" s="47" t="s">
        <v>66</v>
      </c>
      <c r="E298" s="12">
        <v>46115</v>
      </c>
      <c r="F298" s="20">
        <f t="shared" si="4"/>
        <v>46113</v>
      </c>
    </row>
    <row r="299" spans="1:6" ht="20.25">
      <c r="A299" s="49"/>
      <c r="B299" s="47" t="s">
        <v>908</v>
      </c>
      <c r="C299" s="47">
        <v>48</v>
      </c>
      <c r="D299" s="47" t="s">
        <v>66</v>
      </c>
      <c r="E299" s="12">
        <v>46115</v>
      </c>
      <c r="F299" s="20">
        <f t="shared" si="4"/>
        <v>46113</v>
      </c>
    </row>
    <row r="300" spans="1:6" ht="20.25">
      <c r="A300" s="49"/>
      <c r="B300" s="47" t="s">
        <v>1424</v>
      </c>
      <c r="C300" s="47">
        <v>79</v>
      </c>
      <c r="D300" s="47" t="s">
        <v>66</v>
      </c>
      <c r="E300" s="12">
        <v>46115</v>
      </c>
      <c r="F300" s="20">
        <f t="shared" si="4"/>
        <v>46113</v>
      </c>
    </row>
    <row r="301" spans="1:6" ht="20.25">
      <c r="A301" s="49"/>
      <c r="B301" s="47" t="s">
        <v>1490</v>
      </c>
      <c r="C301" s="47">
        <v>39</v>
      </c>
      <c r="D301" s="47" t="s">
        <v>72</v>
      </c>
      <c r="E301" s="12">
        <v>46115</v>
      </c>
      <c r="F301" s="20">
        <f t="shared" si="4"/>
        <v>46113</v>
      </c>
    </row>
    <row r="302" spans="1:6" ht="20.25">
      <c r="A302" s="49"/>
      <c r="B302" s="47" t="s">
        <v>1353</v>
      </c>
      <c r="C302" s="47">
        <v>339</v>
      </c>
      <c r="D302" s="47" t="s">
        <v>46</v>
      </c>
      <c r="E302" s="12">
        <v>46115</v>
      </c>
      <c r="F302" s="20">
        <f t="shared" si="4"/>
        <v>46113</v>
      </c>
    </row>
    <row r="303" spans="1:6" ht="20.25">
      <c r="A303" s="49"/>
      <c r="B303" s="47" t="s">
        <v>1256</v>
      </c>
      <c r="C303" s="47">
        <v>168</v>
      </c>
      <c r="D303" s="47" t="s">
        <v>46</v>
      </c>
      <c r="E303" s="12">
        <v>46115</v>
      </c>
      <c r="F303" s="20">
        <f t="shared" si="4"/>
        <v>46113</v>
      </c>
    </row>
    <row r="304" spans="1:6" ht="20.25">
      <c r="A304" s="49"/>
      <c r="B304" s="47" t="s">
        <v>802</v>
      </c>
      <c r="C304" s="47">
        <v>48</v>
      </c>
      <c r="D304" s="47" t="s">
        <v>46</v>
      </c>
      <c r="E304" s="12">
        <v>46115</v>
      </c>
      <c r="F304" s="20">
        <f t="shared" si="4"/>
        <v>46113</v>
      </c>
    </row>
    <row r="305" spans="1:6" ht="20.25">
      <c r="A305" s="49"/>
      <c r="B305" s="47" t="s">
        <v>802</v>
      </c>
      <c r="C305" s="47">
        <v>24</v>
      </c>
      <c r="D305" s="47" t="s">
        <v>46</v>
      </c>
      <c r="E305" s="12">
        <v>46115</v>
      </c>
      <c r="F305" s="20">
        <f t="shared" si="4"/>
        <v>46113</v>
      </c>
    </row>
    <row r="306" spans="1:6" ht="20.25">
      <c r="A306" s="49"/>
      <c r="B306" s="47" t="s">
        <v>950</v>
      </c>
      <c r="C306" s="47">
        <v>46</v>
      </c>
      <c r="D306" s="47" t="s">
        <v>46</v>
      </c>
      <c r="E306" s="12">
        <v>46115</v>
      </c>
      <c r="F306" s="20">
        <f t="shared" si="4"/>
        <v>46113</v>
      </c>
    </row>
    <row r="307" spans="1:6" ht="20.25">
      <c r="A307" s="49"/>
      <c r="B307" s="47" t="s">
        <v>623</v>
      </c>
      <c r="C307" s="47">
        <v>97</v>
      </c>
      <c r="D307" s="47" t="s">
        <v>46</v>
      </c>
      <c r="E307" s="12">
        <v>46115</v>
      </c>
      <c r="F307" s="20">
        <f t="shared" si="4"/>
        <v>46113</v>
      </c>
    </row>
    <row r="308" spans="1:6" ht="20.25">
      <c r="A308" s="49"/>
      <c r="B308" s="47" t="s">
        <v>716</v>
      </c>
      <c r="C308" s="47">
        <v>79</v>
      </c>
      <c r="D308" s="47" t="s">
        <v>46</v>
      </c>
      <c r="E308" s="12">
        <v>46115</v>
      </c>
      <c r="F308" s="20">
        <f t="shared" si="4"/>
        <v>46113</v>
      </c>
    </row>
    <row r="309" spans="1:6" ht="20.25">
      <c r="A309" s="49"/>
      <c r="B309" s="47" t="s">
        <v>623</v>
      </c>
      <c r="C309" s="47">
        <v>92</v>
      </c>
      <c r="D309" s="47" t="s">
        <v>46</v>
      </c>
      <c r="E309" s="12">
        <v>46115</v>
      </c>
      <c r="F309" s="20">
        <f t="shared" si="4"/>
        <v>46113</v>
      </c>
    </row>
    <row r="310" spans="1:6" ht="20.25">
      <c r="A310" s="49"/>
      <c r="B310" s="47" t="s">
        <v>761</v>
      </c>
      <c r="C310" s="47">
        <v>50</v>
      </c>
      <c r="D310" s="47" t="s">
        <v>46</v>
      </c>
      <c r="E310" s="12">
        <v>46115</v>
      </c>
      <c r="F310" s="20">
        <f t="shared" si="4"/>
        <v>46113</v>
      </c>
    </row>
    <row r="311" spans="1:6" ht="20.25">
      <c r="A311" s="49"/>
      <c r="B311" s="47" t="s">
        <v>843</v>
      </c>
      <c r="C311" s="47">
        <v>29</v>
      </c>
      <c r="D311" s="47" t="s">
        <v>46</v>
      </c>
      <c r="E311" s="12">
        <v>46115</v>
      </c>
      <c r="F311" s="20">
        <f t="shared" si="4"/>
        <v>46113</v>
      </c>
    </row>
    <row r="312" spans="1:6" ht="20.25">
      <c r="A312" s="49"/>
      <c r="B312" s="47" t="s">
        <v>670</v>
      </c>
      <c r="C312" s="47">
        <v>110</v>
      </c>
      <c r="D312" s="47" t="s">
        <v>46</v>
      </c>
      <c r="E312" s="12">
        <v>46115</v>
      </c>
      <c r="F312" s="20">
        <f t="shared" si="4"/>
        <v>46113</v>
      </c>
    </row>
    <row r="313" spans="1:6" ht="20.25">
      <c r="A313" s="49"/>
      <c r="B313" s="47" t="s">
        <v>889</v>
      </c>
      <c r="C313" s="47">
        <v>45</v>
      </c>
      <c r="D313" s="47" t="s">
        <v>46</v>
      </c>
      <c r="E313" s="12">
        <v>46115</v>
      </c>
      <c r="F313" s="20">
        <f t="shared" si="4"/>
        <v>46113</v>
      </c>
    </row>
    <row r="314" spans="1:6" ht="20.25">
      <c r="A314" s="49"/>
      <c r="B314" s="47" t="s">
        <v>1271</v>
      </c>
      <c r="C314" s="47">
        <v>243</v>
      </c>
      <c r="D314" s="47" t="s">
        <v>62</v>
      </c>
      <c r="E314" s="12">
        <v>46115</v>
      </c>
      <c r="F314" s="20">
        <f t="shared" si="4"/>
        <v>46113</v>
      </c>
    </row>
    <row r="315" spans="1:6" ht="20.25">
      <c r="A315" s="49"/>
      <c r="B315" s="47" t="s">
        <v>870</v>
      </c>
      <c r="C315" s="47">
        <v>25</v>
      </c>
      <c r="D315" s="47" t="s">
        <v>82</v>
      </c>
      <c r="E315" s="12">
        <v>46115</v>
      </c>
      <c r="F315" s="20">
        <f t="shared" si="4"/>
        <v>46113</v>
      </c>
    </row>
    <row r="316" spans="1:6" ht="20.25">
      <c r="A316" s="49"/>
      <c r="B316" s="47" t="s">
        <v>720</v>
      </c>
      <c r="C316" s="47">
        <v>57</v>
      </c>
      <c r="D316" s="47" t="s">
        <v>97</v>
      </c>
      <c r="E316" s="12">
        <v>46115</v>
      </c>
      <c r="F316" s="20">
        <f t="shared" si="4"/>
        <v>46113</v>
      </c>
    </row>
    <row r="317" spans="1:6" ht="20.25">
      <c r="A317" s="49"/>
      <c r="B317" s="47" t="s">
        <v>1045</v>
      </c>
      <c r="C317" s="47">
        <v>62</v>
      </c>
      <c r="D317" s="47" t="s">
        <v>97</v>
      </c>
      <c r="E317" s="12">
        <v>46115</v>
      </c>
      <c r="F317" s="20">
        <f t="shared" si="4"/>
        <v>46113</v>
      </c>
    </row>
    <row r="318" spans="1:6" ht="20.25">
      <c r="A318" s="49"/>
      <c r="B318" s="47" t="s">
        <v>865</v>
      </c>
      <c r="C318" s="47">
        <v>299</v>
      </c>
      <c r="D318" s="47" t="s">
        <v>55</v>
      </c>
      <c r="E318" s="12">
        <v>46115</v>
      </c>
      <c r="F318" s="20">
        <f t="shared" si="4"/>
        <v>46113</v>
      </c>
    </row>
    <row r="319" spans="1:6" ht="20.25">
      <c r="A319" s="49"/>
      <c r="B319" s="47" t="s">
        <v>646</v>
      </c>
      <c r="C319" s="47">
        <v>185</v>
      </c>
      <c r="D319" s="47" t="s">
        <v>55</v>
      </c>
      <c r="E319" s="12">
        <v>46115</v>
      </c>
      <c r="F319" s="20">
        <f t="shared" si="4"/>
        <v>46113</v>
      </c>
    </row>
    <row r="320" spans="1:6" ht="20.25">
      <c r="A320" s="49"/>
      <c r="B320" s="47" t="s">
        <v>812</v>
      </c>
      <c r="C320" s="47">
        <v>86</v>
      </c>
      <c r="D320" s="47" t="s">
        <v>55</v>
      </c>
      <c r="E320" s="12">
        <v>46115</v>
      </c>
      <c r="F320" s="20">
        <f t="shared" si="4"/>
        <v>46113</v>
      </c>
    </row>
    <row r="321" spans="1:6" ht="20.25">
      <c r="A321" s="49"/>
      <c r="B321" s="47" t="s">
        <v>815</v>
      </c>
      <c r="C321" s="47">
        <v>254</v>
      </c>
      <c r="D321" s="47" t="s">
        <v>55</v>
      </c>
      <c r="E321" s="12">
        <v>46115</v>
      </c>
      <c r="F321" s="20">
        <f t="shared" si="4"/>
        <v>46113</v>
      </c>
    </row>
    <row r="322" spans="1:6" ht="20.25">
      <c r="A322" s="49"/>
      <c r="B322" s="47" t="s">
        <v>647</v>
      </c>
      <c r="C322" s="47">
        <v>31</v>
      </c>
      <c r="D322" s="47" t="s">
        <v>55</v>
      </c>
      <c r="E322" s="12">
        <v>46115</v>
      </c>
      <c r="F322" s="20">
        <f t="shared" ref="F322:F385" si="5">EOMONTH(E322,-1)+1</f>
        <v>46113</v>
      </c>
    </row>
    <row r="323" spans="1:6" ht="20.25">
      <c r="A323" s="49"/>
      <c r="B323" s="47" t="s">
        <v>1078</v>
      </c>
      <c r="C323" s="47">
        <v>126</v>
      </c>
      <c r="D323" s="47" t="s">
        <v>66</v>
      </c>
      <c r="E323" s="12">
        <v>46115</v>
      </c>
      <c r="F323" s="20">
        <f t="shared" si="5"/>
        <v>46113</v>
      </c>
    </row>
    <row r="324" spans="1:6" ht="20.25">
      <c r="A324" s="49"/>
      <c r="B324" s="47" t="s">
        <v>867</v>
      </c>
      <c r="C324" s="47">
        <v>267</v>
      </c>
      <c r="D324" s="47" t="s">
        <v>63</v>
      </c>
      <c r="E324" s="12">
        <v>46115</v>
      </c>
      <c r="F324" s="20">
        <f t="shared" si="5"/>
        <v>46113</v>
      </c>
    </row>
    <row r="325" spans="1:6" ht="20.25">
      <c r="A325" s="49"/>
      <c r="B325" s="47" t="s">
        <v>819</v>
      </c>
      <c r="C325" s="47">
        <v>64</v>
      </c>
      <c r="D325" s="47" t="s">
        <v>63</v>
      </c>
      <c r="E325" s="12">
        <v>46115</v>
      </c>
      <c r="F325" s="20">
        <f t="shared" si="5"/>
        <v>46113</v>
      </c>
    </row>
    <row r="326" spans="1:6" ht="20.25">
      <c r="A326" s="49"/>
      <c r="B326" s="47" t="s">
        <v>1153</v>
      </c>
      <c r="C326" s="47">
        <v>163</v>
      </c>
      <c r="D326" s="47" t="s">
        <v>55</v>
      </c>
      <c r="E326" s="12">
        <v>46115</v>
      </c>
      <c r="F326" s="20">
        <f t="shared" si="5"/>
        <v>46113</v>
      </c>
    </row>
    <row r="327" spans="1:6" ht="20.25">
      <c r="A327" s="49"/>
      <c r="B327" s="47" t="s">
        <v>1153</v>
      </c>
      <c r="C327" s="47">
        <v>59</v>
      </c>
      <c r="D327" s="47" t="s">
        <v>55</v>
      </c>
      <c r="E327" s="12">
        <v>46115</v>
      </c>
      <c r="F327" s="20">
        <f t="shared" si="5"/>
        <v>46113</v>
      </c>
    </row>
    <row r="328" spans="1:6" ht="20.25">
      <c r="A328" s="49"/>
      <c r="B328" s="47" t="s">
        <v>630</v>
      </c>
      <c r="C328" s="47">
        <v>244</v>
      </c>
      <c r="D328" s="47" t="s">
        <v>55</v>
      </c>
      <c r="E328" s="12">
        <v>46115</v>
      </c>
      <c r="F328" s="20">
        <f t="shared" si="5"/>
        <v>46113</v>
      </c>
    </row>
    <row r="329" spans="1:6" ht="20.25">
      <c r="A329" s="49"/>
      <c r="B329" s="47" t="s">
        <v>1441</v>
      </c>
      <c r="C329" s="47">
        <v>107</v>
      </c>
      <c r="D329" s="47" t="s">
        <v>55</v>
      </c>
      <c r="E329" s="12">
        <v>46115</v>
      </c>
      <c r="F329" s="20">
        <f t="shared" si="5"/>
        <v>46113</v>
      </c>
    </row>
    <row r="330" spans="1:6" ht="20.25">
      <c r="A330" s="49"/>
      <c r="B330" s="47" t="s">
        <v>882</v>
      </c>
      <c r="C330" s="47">
        <v>342</v>
      </c>
      <c r="D330" s="47" t="s">
        <v>63</v>
      </c>
      <c r="E330" s="12">
        <v>46115</v>
      </c>
      <c r="F330" s="20">
        <f t="shared" si="5"/>
        <v>46113</v>
      </c>
    </row>
    <row r="331" spans="1:6" ht="20.25">
      <c r="A331" s="49"/>
      <c r="B331" s="47" t="s">
        <v>882</v>
      </c>
      <c r="C331" s="47">
        <v>71</v>
      </c>
      <c r="D331" s="47" t="s">
        <v>63</v>
      </c>
      <c r="E331" s="12">
        <v>46115</v>
      </c>
      <c r="F331" s="20">
        <f t="shared" si="5"/>
        <v>46113</v>
      </c>
    </row>
    <row r="332" spans="1:6" ht="20.25">
      <c r="A332" s="49"/>
      <c r="B332" s="47" t="s">
        <v>771</v>
      </c>
      <c r="C332" s="47">
        <v>186</v>
      </c>
      <c r="D332" s="47" t="s">
        <v>62</v>
      </c>
      <c r="E332" s="12">
        <v>46115</v>
      </c>
      <c r="F332" s="20">
        <f t="shared" si="5"/>
        <v>46113</v>
      </c>
    </row>
    <row r="333" spans="1:6" ht="20.25">
      <c r="A333" s="49"/>
      <c r="B333" s="47" t="s">
        <v>1007</v>
      </c>
      <c r="C333" s="47">
        <v>343</v>
      </c>
      <c r="D333" s="47" t="s">
        <v>62</v>
      </c>
      <c r="E333" s="12">
        <v>46115</v>
      </c>
      <c r="F333" s="20">
        <f t="shared" si="5"/>
        <v>46113</v>
      </c>
    </row>
    <row r="334" spans="1:6" ht="20.25">
      <c r="A334" s="49"/>
      <c r="B334" s="47" t="s">
        <v>611</v>
      </c>
      <c r="C334" s="47">
        <v>6</v>
      </c>
      <c r="D334" s="47" t="s">
        <v>133</v>
      </c>
      <c r="E334" s="12">
        <v>46118</v>
      </c>
      <c r="F334" s="20">
        <f t="shared" si="5"/>
        <v>46113</v>
      </c>
    </row>
    <row r="335" spans="1:6" ht="20.25">
      <c r="A335" s="49"/>
      <c r="B335" s="47" t="s">
        <v>737</v>
      </c>
      <c r="C335" s="47">
        <v>6</v>
      </c>
      <c r="D335" s="47" t="s">
        <v>133</v>
      </c>
      <c r="E335" s="12">
        <v>46118</v>
      </c>
      <c r="F335" s="20">
        <f t="shared" si="5"/>
        <v>46113</v>
      </c>
    </row>
    <row r="336" spans="1:6" ht="20.25">
      <c r="A336" s="49"/>
      <c r="B336" s="47" t="s">
        <v>717</v>
      </c>
      <c r="C336" s="47">
        <v>5</v>
      </c>
      <c r="D336" s="47" t="s">
        <v>133</v>
      </c>
      <c r="E336" s="12">
        <v>46118</v>
      </c>
      <c r="F336" s="20">
        <f t="shared" si="5"/>
        <v>46113</v>
      </c>
    </row>
    <row r="337" spans="1:6" ht="20.25">
      <c r="A337" s="49"/>
      <c r="B337" s="47" t="s">
        <v>701</v>
      </c>
      <c r="C337" s="47">
        <v>5</v>
      </c>
      <c r="D337" s="47" t="s">
        <v>133</v>
      </c>
      <c r="E337" s="12">
        <v>46118</v>
      </c>
      <c r="F337" s="20">
        <f t="shared" si="5"/>
        <v>46113</v>
      </c>
    </row>
    <row r="338" spans="1:6" ht="20.25">
      <c r="A338" s="49"/>
      <c r="B338" s="47" t="s">
        <v>934</v>
      </c>
      <c r="C338" s="47">
        <v>171</v>
      </c>
      <c r="D338" s="47" t="s">
        <v>62</v>
      </c>
      <c r="E338" s="12">
        <v>46118</v>
      </c>
      <c r="F338" s="20">
        <f t="shared" si="5"/>
        <v>46113</v>
      </c>
    </row>
    <row r="339" spans="1:6" ht="20.25">
      <c r="A339" s="49"/>
      <c r="B339" s="47" t="s">
        <v>883</v>
      </c>
      <c r="C339" s="47">
        <v>71</v>
      </c>
      <c r="D339" s="47" t="s">
        <v>62</v>
      </c>
      <c r="E339" s="12">
        <v>46118</v>
      </c>
      <c r="F339" s="20">
        <f t="shared" si="5"/>
        <v>46113</v>
      </c>
    </row>
    <row r="340" spans="1:6" ht="20.25">
      <c r="A340" s="49"/>
      <c r="B340" s="47" t="s">
        <v>1264</v>
      </c>
      <c r="C340" s="47">
        <v>121</v>
      </c>
      <c r="D340" s="47" t="s">
        <v>62</v>
      </c>
      <c r="E340" s="12">
        <v>46118</v>
      </c>
      <c r="F340" s="20">
        <f t="shared" si="5"/>
        <v>46113</v>
      </c>
    </row>
    <row r="341" spans="1:6" ht="20.25">
      <c r="A341" s="49"/>
      <c r="B341" s="47" t="s">
        <v>689</v>
      </c>
      <c r="C341" s="47">
        <v>82</v>
      </c>
      <c r="D341" s="47" t="s">
        <v>62</v>
      </c>
      <c r="E341" s="12">
        <v>46118</v>
      </c>
      <c r="F341" s="20">
        <f t="shared" si="5"/>
        <v>46113</v>
      </c>
    </row>
    <row r="342" spans="1:6" ht="20.25">
      <c r="A342" s="49"/>
      <c r="B342" s="47" t="s">
        <v>1429</v>
      </c>
      <c r="C342" s="47">
        <v>56</v>
      </c>
      <c r="D342" s="47" t="s">
        <v>62</v>
      </c>
      <c r="E342" s="12">
        <v>46118</v>
      </c>
      <c r="F342" s="20">
        <f t="shared" si="5"/>
        <v>46113</v>
      </c>
    </row>
    <row r="343" spans="1:6" ht="20.25">
      <c r="A343" s="49"/>
      <c r="B343" s="47" t="s">
        <v>1428</v>
      </c>
      <c r="C343" s="47">
        <v>51</v>
      </c>
      <c r="D343" s="47" t="s">
        <v>62</v>
      </c>
      <c r="E343" s="12">
        <v>46118</v>
      </c>
      <c r="F343" s="20">
        <f t="shared" si="5"/>
        <v>46113</v>
      </c>
    </row>
    <row r="344" spans="1:6" ht="20.25">
      <c r="A344" s="49"/>
      <c r="B344" s="47" t="s">
        <v>1429</v>
      </c>
      <c r="C344" s="47">
        <v>57</v>
      </c>
      <c r="D344" s="47" t="s">
        <v>62</v>
      </c>
      <c r="E344" s="12">
        <v>46118</v>
      </c>
      <c r="F344" s="20">
        <f t="shared" si="5"/>
        <v>46113</v>
      </c>
    </row>
    <row r="345" spans="1:6" ht="20.25">
      <c r="A345" s="49"/>
      <c r="B345" s="47" t="s">
        <v>1242</v>
      </c>
      <c r="C345" s="47">
        <v>27</v>
      </c>
      <c r="D345" s="47" t="s">
        <v>160</v>
      </c>
      <c r="E345" s="12">
        <v>46118</v>
      </c>
      <c r="F345" s="20">
        <f t="shared" si="5"/>
        <v>46113</v>
      </c>
    </row>
    <row r="346" spans="1:6" ht="20.25">
      <c r="A346" s="49"/>
      <c r="B346" s="47" t="s">
        <v>777</v>
      </c>
      <c r="C346" s="47">
        <v>61</v>
      </c>
      <c r="D346" s="47" t="s">
        <v>160</v>
      </c>
      <c r="E346" s="12">
        <v>46118</v>
      </c>
      <c r="F346" s="20">
        <f t="shared" si="5"/>
        <v>46113</v>
      </c>
    </row>
    <row r="347" spans="1:6" ht="20.25">
      <c r="A347" s="49"/>
      <c r="B347" s="47" t="s">
        <v>968</v>
      </c>
      <c r="C347" s="47">
        <v>28</v>
      </c>
      <c r="D347" s="47" t="s">
        <v>160</v>
      </c>
      <c r="E347" s="12">
        <v>46118</v>
      </c>
      <c r="F347" s="20">
        <f t="shared" si="5"/>
        <v>46113</v>
      </c>
    </row>
    <row r="348" spans="1:6" ht="20.25">
      <c r="A348" s="49"/>
      <c r="B348" s="47" t="s">
        <v>828</v>
      </c>
      <c r="C348" s="47">
        <v>6</v>
      </c>
      <c r="D348" s="47" t="s">
        <v>160</v>
      </c>
      <c r="E348" s="12">
        <v>46118</v>
      </c>
      <c r="F348" s="20">
        <f t="shared" si="5"/>
        <v>46113</v>
      </c>
    </row>
    <row r="349" spans="1:6" ht="20.25">
      <c r="A349" s="49"/>
      <c r="B349" s="47" t="s">
        <v>604</v>
      </c>
      <c r="C349" s="47">
        <v>4</v>
      </c>
      <c r="D349" s="47" t="s">
        <v>160</v>
      </c>
      <c r="E349" s="12">
        <v>46118</v>
      </c>
      <c r="F349" s="20">
        <f t="shared" si="5"/>
        <v>46113</v>
      </c>
    </row>
    <row r="350" spans="1:6" ht="20.25">
      <c r="A350" s="49"/>
      <c r="B350" s="47" t="s">
        <v>1148</v>
      </c>
      <c r="C350" s="47">
        <v>88</v>
      </c>
      <c r="D350" s="47" t="s">
        <v>160</v>
      </c>
      <c r="E350" s="12">
        <v>46118</v>
      </c>
      <c r="F350" s="20">
        <f t="shared" si="5"/>
        <v>46113</v>
      </c>
    </row>
    <row r="351" spans="1:6" ht="20.25">
      <c r="A351" s="49"/>
      <c r="B351" s="47" t="s">
        <v>877</v>
      </c>
      <c r="C351" s="47">
        <v>25</v>
      </c>
      <c r="D351" s="47" t="s">
        <v>97</v>
      </c>
      <c r="E351" s="12">
        <v>46118</v>
      </c>
      <c r="F351" s="20">
        <f t="shared" si="5"/>
        <v>46113</v>
      </c>
    </row>
    <row r="352" spans="1:6" ht="20.25">
      <c r="A352" s="49"/>
      <c r="B352" s="47" t="s">
        <v>1049</v>
      </c>
      <c r="C352" s="47">
        <v>54</v>
      </c>
      <c r="D352" s="47" t="s">
        <v>97</v>
      </c>
      <c r="E352" s="12">
        <v>46118</v>
      </c>
      <c r="F352" s="20">
        <f t="shared" si="5"/>
        <v>46113</v>
      </c>
    </row>
    <row r="353" spans="1:6" ht="20.25">
      <c r="A353" s="49"/>
      <c r="B353" s="47" t="s">
        <v>1348</v>
      </c>
      <c r="C353" s="47">
        <v>56</v>
      </c>
      <c r="D353" s="47" t="s">
        <v>97</v>
      </c>
      <c r="E353" s="12">
        <v>46118</v>
      </c>
      <c r="F353" s="20">
        <f t="shared" si="5"/>
        <v>46113</v>
      </c>
    </row>
    <row r="354" spans="1:6" ht="20.25">
      <c r="A354" s="49"/>
      <c r="B354" s="47" t="s">
        <v>1079</v>
      </c>
      <c r="C354" s="47">
        <v>212</v>
      </c>
      <c r="D354" s="47" t="s">
        <v>97</v>
      </c>
      <c r="E354" s="12">
        <v>46118</v>
      </c>
      <c r="F354" s="20">
        <f t="shared" si="5"/>
        <v>46113</v>
      </c>
    </row>
    <row r="355" spans="1:6" ht="20.25">
      <c r="A355" s="49"/>
      <c r="B355" s="47" t="s">
        <v>639</v>
      </c>
      <c r="C355" s="47">
        <v>647</v>
      </c>
      <c r="D355" s="47" t="s">
        <v>97</v>
      </c>
      <c r="E355" s="12">
        <v>46118</v>
      </c>
      <c r="F355" s="20">
        <f t="shared" si="5"/>
        <v>46113</v>
      </c>
    </row>
    <row r="356" spans="1:6" ht="20.25">
      <c r="A356" s="49"/>
      <c r="B356" s="47" t="s">
        <v>1278</v>
      </c>
      <c r="C356" s="47">
        <v>134</v>
      </c>
      <c r="D356" s="47" t="s">
        <v>97</v>
      </c>
      <c r="E356" s="12">
        <v>46118</v>
      </c>
      <c r="F356" s="20">
        <f t="shared" si="5"/>
        <v>46113</v>
      </c>
    </row>
    <row r="357" spans="1:6" ht="20.25">
      <c r="A357" s="49"/>
      <c r="B357" s="47" t="s">
        <v>776</v>
      </c>
      <c r="C357" s="47">
        <v>268</v>
      </c>
      <c r="D357" s="47" t="s">
        <v>97</v>
      </c>
      <c r="E357" s="12">
        <v>46118</v>
      </c>
      <c r="F357" s="20">
        <f t="shared" si="5"/>
        <v>46113</v>
      </c>
    </row>
    <row r="358" spans="1:6" ht="20.25">
      <c r="A358" s="49"/>
      <c r="B358" s="47" t="s">
        <v>708</v>
      </c>
      <c r="C358" s="47">
        <v>54</v>
      </c>
      <c r="D358" s="47" t="s">
        <v>95</v>
      </c>
      <c r="E358" s="12">
        <v>46118</v>
      </c>
      <c r="F358" s="20">
        <f t="shared" si="5"/>
        <v>46113</v>
      </c>
    </row>
    <row r="359" spans="1:6" ht="20.25">
      <c r="A359" s="49"/>
      <c r="B359" s="47" t="s">
        <v>708</v>
      </c>
      <c r="C359" s="47">
        <v>98</v>
      </c>
      <c r="D359" s="47" t="s">
        <v>95</v>
      </c>
      <c r="E359" s="12">
        <v>46118</v>
      </c>
      <c r="F359" s="20">
        <f t="shared" si="5"/>
        <v>46113</v>
      </c>
    </row>
    <row r="360" spans="1:6" ht="20.25">
      <c r="A360" s="49"/>
      <c r="B360" s="47" t="s">
        <v>1247</v>
      </c>
      <c r="C360" s="47">
        <v>56</v>
      </c>
      <c r="D360" s="47" t="s">
        <v>95</v>
      </c>
      <c r="E360" s="12">
        <v>46118</v>
      </c>
      <c r="F360" s="20">
        <f t="shared" si="5"/>
        <v>46113</v>
      </c>
    </row>
    <row r="361" spans="1:6" ht="20.25">
      <c r="A361" s="49"/>
      <c r="B361" s="47" t="s">
        <v>1165</v>
      </c>
      <c r="C361" s="47">
        <v>71</v>
      </c>
      <c r="D361" s="47" t="s">
        <v>95</v>
      </c>
      <c r="E361" s="12">
        <v>46118</v>
      </c>
      <c r="F361" s="20">
        <f t="shared" si="5"/>
        <v>46113</v>
      </c>
    </row>
    <row r="362" spans="1:6" ht="20.25">
      <c r="A362" s="49"/>
      <c r="B362" s="47" t="s">
        <v>767</v>
      </c>
      <c r="C362" s="47">
        <v>307</v>
      </c>
      <c r="D362" s="47" t="s">
        <v>95</v>
      </c>
      <c r="E362" s="12">
        <v>46118</v>
      </c>
      <c r="F362" s="20">
        <f t="shared" si="5"/>
        <v>46113</v>
      </c>
    </row>
    <row r="363" spans="1:6" ht="20.25">
      <c r="A363" s="49"/>
      <c r="B363" s="47" t="s">
        <v>823</v>
      </c>
      <c r="C363" s="47">
        <v>269</v>
      </c>
      <c r="D363" s="47" t="s">
        <v>95</v>
      </c>
      <c r="E363" s="12">
        <v>46118</v>
      </c>
      <c r="F363" s="20">
        <f t="shared" si="5"/>
        <v>46113</v>
      </c>
    </row>
    <row r="364" spans="1:6" ht="20.25">
      <c r="A364" s="49"/>
      <c r="B364" s="47" t="s">
        <v>871</v>
      </c>
      <c r="C364" s="47">
        <v>163</v>
      </c>
      <c r="D364" s="47" t="s">
        <v>95</v>
      </c>
      <c r="E364" s="12">
        <v>46118</v>
      </c>
      <c r="F364" s="20">
        <f t="shared" si="5"/>
        <v>46113</v>
      </c>
    </row>
    <row r="365" spans="1:6" ht="20.25">
      <c r="A365" s="49"/>
      <c r="B365" s="47" t="s">
        <v>603</v>
      </c>
      <c r="C365" s="47">
        <v>331</v>
      </c>
      <c r="D365" s="47" t="s">
        <v>95</v>
      </c>
      <c r="E365" s="12">
        <v>46118</v>
      </c>
      <c r="F365" s="20">
        <f t="shared" si="5"/>
        <v>46113</v>
      </c>
    </row>
    <row r="366" spans="1:6" ht="20.25">
      <c r="A366" s="49"/>
      <c r="B366" s="47" t="s">
        <v>603</v>
      </c>
      <c r="C366" s="47">
        <v>81</v>
      </c>
      <c r="D366" s="47" t="s">
        <v>95</v>
      </c>
      <c r="E366" s="12">
        <v>46118</v>
      </c>
      <c r="F366" s="20">
        <f t="shared" si="5"/>
        <v>46113</v>
      </c>
    </row>
    <row r="367" spans="1:6" ht="20.25">
      <c r="A367" s="49"/>
      <c r="B367" s="47" t="s">
        <v>1551</v>
      </c>
      <c r="C367" s="47">
        <v>396</v>
      </c>
      <c r="D367" s="47" t="s">
        <v>72</v>
      </c>
      <c r="E367" s="12">
        <v>46118</v>
      </c>
      <c r="F367" s="20">
        <f t="shared" si="5"/>
        <v>46113</v>
      </c>
    </row>
    <row r="368" spans="1:6" ht="20.25">
      <c r="A368" s="49"/>
      <c r="B368" s="47" t="s">
        <v>1551</v>
      </c>
      <c r="C368" s="47">
        <v>253</v>
      </c>
      <c r="D368" s="47" t="s">
        <v>72</v>
      </c>
      <c r="E368" s="12">
        <v>46118</v>
      </c>
      <c r="F368" s="20">
        <f t="shared" si="5"/>
        <v>46113</v>
      </c>
    </row>
    <row r="369" spans="1:6" ht="20.25">
      <c r="A369" s="49"/>
      <c r="B369" s="47" t="s">
        <v>734</v>
      </c>
      <c r="C369" s="47">
        <v>502</v>
      </c>
      <c r="D369" s="47" t="s">
        <v>72</v>
      </c>
      <c r="E369" s="12">
        <v>46118</v>
      </c>
      <c r="F369" s="20">
        <f t="shared" si="5"/>
        <v>46113</v>
      </c>
    </row>
    <row r="370" spans="1:6" ht="20.25">
      <c r="A370" s="49"/>
      <c r="B370" s="47" t="s">
        <v>764</v>
      </c>
      <c r="C370" s="47">
        <v>470</v>
      </c>
      <c r="D370" s="47" t="s">
        <v>72</v>
      </c>
      <c r="E370" s="12">
        <v>46118</v>
      </c>
      <c r="F370" s="20">
        <f t="shared" si="5"/>
        <v>46113</v>
      </c>
    </row>
    <row r="371" spans="1:6" ht="20.25">
      <c r="A371" s="49"/>
      <c r="B371" s="47" t="s">
        <v>874</v>
      </c>
      <c r="C371" s="47">
        <v>112</v>
      </c>
      <c r="D371" s="47" t="s">
        <v>63</v>
      </c>
      <c r="E371" s="12">
        <v>46118</v>
      </c>
      <c r="F371" s="20">
        <f t="shared" si="5"/>
        <v>46113</v>
      </c>
    </row>
    <row r="372" spans="1:6" ht="20.25">
      <c r="A372" s="49"/>
      <c r="B372" s="47" t="s">
        <v>839</v>
      </c>
      <c r="C372" s="47">
        <v>358</v>
      </c>
      <c r="D372" s="47" t="s">
        <v>63</v>
      </c>
      <c r="E372" s="12">
        <v>46118</v>
      </c>
      <c r="F372" s="20">
        <f t="shared" si="5"/>
        <v>46113</v>
      </c>
    </row>
    <row r="373" spans="1:6" ht="20.25">
      <c r="A373" s="49"/>
      <c r="B373" s="47" t="s">
        <v>1370</v>
      </c>
      <c r="C373" s="47">
        <v>338</v>
      </c>
      <c r="D373" s="47" t="s">
        <v>63</v>
      </c>
      <c r="E373" s="12">
        <v>46118</v>
      </c>
      <c r="F373" s="20">
        <f t="shared" si="5"/>
        <v>46113</v>
      </c>
    </row>
    <row r="374" spans="1:6" ht="20.25">
      <c r="A374" s="49"/>
      <c r="B374" s="47" t="s">
        <v>1370</v>
      </c>
      <c r="C374" s="47">
        <v>104</v>
      </c>
      <c r="D374" s="47" t="s">
        <v>63</v>
      </c>
      <c r="E374" s="12">
        <v>46118</v>
      </c>
      <c r="F374" s="20">
        <f t="shared" si="5"/>
        <v>46113</v>
      </c>
    </row>
    <row r="375" spans="1:6" ht="20.25">
      <c r="A375" s="49"/>
      <c r="B375" s="47" t="s">
        <v>718</v>
      </c>
      <c r="C375" s="47">
        <v>425</v>
      </c>
      <c r="D375" s="47" t="s">
        <v>63</v>
      </c>
      <c r="E375" s="12">
        <v>46118</v>
      </c>
      <c r="F375" s="20">
        <f t="shared" si="5"/>
        <v>46113</v>
      </c>
    </row>
    <row r="376" spans="1:6" ht="20.25">
      <c r="A376" s="49"/>
      <c r="B376" s="47" t="s">
        <v>822</v>
      </c>
      <c r="C376" s="47">
        <v>291</v>
      </c>
      <c r="D376" s="47" t="s">
        <v>63</v>
      </c>
      <c r="E376" s="12">
        <v>46118</v>
      </c>
      <c r="F376" s="20">
        <f t="shared" si="5"/>
        <v>46113</v>
      </c>
    </row>
    <row r="377" spans="1:6" ht="20.25">
      <c r="A377" s="49"/>
      <c r="B377" s="47" t="s">
        <v>1286</v>
      </c>
      <c r="C377" s="47">
        <v>98</v>
      </c>
      <c r="D377" s="47" t="s">
        <v>55</v>
      </c>
      <c r="E377" s="12">
        <v>46118</v>
      </c>
      <c r="F377" s="20">
        <f t="shared" si="5"/>
        <v>46113</v>
      </c>
    </row>
    <row r="378" spans="1:6" ht="20.25">
      <c r="A378" s="49"/>
      <c r="B378" s="47" t="s">
        <v>843</v>
      </c>
      <c r="C378" s="47">
        <v>316</v>
      </c>
      <c r="D378" s="47" t="s">
        <v>55</v>
      </c>
      <c r="E378" s="12">
        <v>46118</v>
      </c>
      <c r="F378" s="20">
        <f t="shared" si="5"/>
        <v>46113</v>
      </c>
    </row>
    <row r="379" spans="1:6" ht="20.25">
      <c r="A379" s="49"/>
      <c r="B379" s="47" t="s">
        <v>1546</v>
      </c>
      <c r="C379" s="47">
        <v>138</v>
      </c>
      <c r="D379" s="47" t="s">
        <v>133</v>
      </c>
      <c r="E379" s="12">
        <v>46118</v>
      </c>
      <c r="F379" s="20">
        <f t="shared" si="5"/>
        <v>46113</v>
      </c>
    </row>
    <row r="380" spans="1:6" ht="20.25">
      <c r="A380" s="49"/>
      <c r="B380" s="47" t="s">
        <v>1546</v>
      </c>
      <c r="C380" s="47">
        <v>168</v>
      </c>
      <c r="D380" s="47" t="s">
        <v>133</v>
      </c>
      <c r="E380" s="12">
        <v>46118</v>
      </c>
      <c r="F380" s="20">
        <f t="shared" si="5"/>
        <v>46113</v>
      </c>
    </row>
    <row r="381" spans="1:6" ht="20.25">
      <c r="A381" s="49"/>
      <c r="B381" s="47" t="s">
        <v>1549</v>
      </c>
      <c r="C381" s="47">
        <v>211</v>
      </c>
      <c r="D381" s="47" t="s">
        <v>1484</v>
      </c>
      <c r="E381" s="12">
        <v>46118</v>
      </c>
      <c r="F381" s="20">
        <f t="shared" si="5"/>
        <v>46113</v>
      </c>
    </row>
    <row r="382" spans="1:6" ht="20.25">
      <c r="A382" s="49"/>
      <c r="B382" s="47" t="s">
        <v>1549</v>
      </c>
      <c r="C382" s="47">
        <v>676</v>
      </c>
      <c r="D382" s="47" t="s">
        <v>1484</v>
      </c>
      <c r="E382" s="12">
        <v>46118</v>
      </c>
      <c r="F382" s="20">
        <f t="shared" si="5"/>
        <v>46113</v>
      </c>
    </row>
    <row r="383" spans="1:6" ht="20.25">
      <c r="A383" s="49"/>
      <c r="B383" s="47" t="s">
        <v>682</v>
      </c>
      <c r="C383" s="47">
        <v>160</v>
      </c>
      <c r="D383" s="47" t="s">
        <v>133</v>
      </c>
      <c r="E383" s="12">
        <v>46118</v>
      </c>
      <c r="F383" s="20">
        <f t="shared" si="5"/>
        <v>46113</v>
      </c>
    </row>
    <row r="384" spans="1:6" ht="20.25">
      <c r="A384" s="49"/>
      <c r="B384" s="47" t="s">
        <v>800</v>
      </c>
      <c r="C384" s="47">
        <v>38</v>
      </c>
      <c r="D384" s="47" t="s">
        <v>55</v>
      </c>
      <c r="E384" s="12">
        <v>46118</v>
      </c>
      <c r="F384" s="20">
        <f t="shared" si="5"/>
        <v>46113</v>
      </c>
    </row>
    <row r="385" spans="1:6" ht="20.25">
      <c r="A385" s="49"/>
      <c r="B385" s="47" t="s">
        <v>1015</v>
      </c>
      <c r="C385" s="47">
        <v>55</v>
      </c>
      <c r="D385" s="47" t="s">
        <v>55</v>
      </c>
      <c r="E385" s="12">
        <v>46118</v>
      </c>
      <c r="F385" s="20">
        <f t="shared" si="5"/>
        <v>46113</v>
      </c>
    </row>
    <row r="386" spans="1:6" ht="20.25">
      <c r="A386" s="49"/>
      <c r="B386" s="47" t="s">
        <v>1117</v>
      </c>
      <c r="C386" s="47">
        <v>59</v>
      </c>
      <c r="D386" s="47" t="s">
        <v>55</v>
      </c>
      <c r="E386" s="12">
        <v>46118</v>
      </c>
      <c r="F386" s="20">
        <f t="shared" ref="F386:F449" si="6">EOMONTH(E386,-1)+1</f>
        <v>46113</v>
      </c>
    </row>
    <row r="387" spans="1:6" ht="20.25">
      <c r="A387" s="49"/>
      <c r="B387" s="47" t="s">
        <v>1474</v>
      </c>
      <c r="C387" s="47">
        <v>46</v>
      </c>
      <c r="D387" s="47" t="s">
        <v>160</v>
      </c>
      <c r="E387" s="12">
        <v>46118</v>
      </c>
      <c r="F387" s="20">
        <f t="shared" si="6"/>
        <v>46113</v>
      </c>
    </row>
    <row r="388" spans="1:6" ht="20.25">
      <c r="A388" s="49"/>
      <c r="B388" s="47" t="s">
        <v>778</v>
      </c>
      <c r="C388" s="47">
        <v>176</v>
      </c>
      <c r="D388" s="47" t="s">
        <v>160</v>
      </c>
      <c r="E388" s="12">
        <v>46118</v>
      </c>
      <c r="F388" s="20">
        <f t="shared" si="6"/>
        <v>46113</v>
      </c>
    </row>
    <row r="389" spans="1:6" ht="20.25">
      <c r="A389" s="49"/>
      <c r="B389" s="47" t="s">
        <v>1245</v>
      </c>
      <c r="C389" s="47">
        <v>201</v>
      </c>
      <c r="D389" s="47" t="s">
        <v>46</v>
      </c>
      <c r="E389" s="12">
        <v>46118</v>
      </c>
      <c r="F389" s="20">
        <f t="shared" si="6"/>
        <v>46113</v>
      </c>
    </row>
    <row r="390" spans="1:6" ht="20.25">
      <c r="A390" s="49"/>
      <c r="B390" s="47" t="s">
        <v>903</v>
      </c>
      <c r="C390" s="47">
        <v>233</v>
      </c>
      <c r="D390" s="47" t="s">
        <v>46</v>
      </c>
      <c r="E390" s="12">
        <v>46118</v>
      </c>
      <c r="F390" s="20">
        <f t="shared" si="6"/>
        <v>46113</v>
      </c>
    </row>
    <row r="391" spans="1:6" ht="20.25">
      <c r="A391" s="49"/>
      <c r="B391" s="47" t="s">
        <v>1547</v>
      </c>
      <c r="C391" s="47">
        <v>76</v>
      </c>
      <c r="D391" s="47" t="s">
        <v>46</v>
      </c>
      <c r="E391" s="12">
        <v>46118</v>
      </c>
      <c r="F391" s="20">
        <f t="shared" si="6"/>
        <v>46113</v>
      </c>
    </row>
    <row r="392" spans="1:6" ht="20.25">
      <c r="A392" s="49"/>
      <c r="B392" s="47" t="s">
        <v>1027</v>
      </c>
      <c r="C392" s="47">
        <v>63</v>
      </c>
      <c r="D392" s="47" t="s">
        <v>46</v>
      </c>
      <c r="E392" s="12">
        <v>46118</v>
      </c>
      <c r="F392" s="20">
        <f t="shared" si="6"/>
        <v>46113</v>
      </c>
    </row>
    <row r="393" spans="1:6" ht="20.25">
      <c r="A393" s="49"/>
      <c r="B393" s="47" t="s">
        <v>854</v>
      </c>
      <c r="C393" s="47">
        <v>233</v>
      </c>
      <c r="D393" s="47" t="s">
        <v>46</v>
      </c>
      <c r="E393" s="12">
        <v>46118</v>
      </c>
      <c r="F393" s="20">
        <f t="shared" si="6"/>
        <v>46113</v>
      </c>
    </row>
    <row r="394" spans="1:6" ht="20.25">
      <c r="A394" s="49"/>
      <c r="B394" s="47" t="s">
        <v>921</v>
      </c>
      <c r="C394" s="47">
        <v>238</v>
      </c>
      <c r="D394" s="47" t="s">
        <v>46</v>
      </c>
      <c r="E394" s="12">
        <v>46118</v>
      </c>
      <c r="F394" s="20">
        <f t="shared" si="6"/>
        <v>46113</v>
      </c>
    </row>
    <row r="395" spans="1:6" ht="20.25">
      <c r="A395" s="49"/>
      <c r="B395" s="47" t="s">
        <v>782</v>
      </c>
      <c r="C395" s="47">
        <v>106</v>
      </c>
      <c r="D395" s="47" t="s">
        <v>46</v>
      </c>
      <c r="E395" s="12">
        <v>46118</v>
      </c>
      <c r="F395" s="20">
        <f t="shared" si="6"/>
        <v>46113</v>
      </c>
    </row>
    <row r="396" spans="1:6" ht="20.25">
      <c r="A396" s="49"/>
      <c r="B396" s="47" t="s">
        <v>824</v>
      </c>
      <c r="C396" s="47">
        <v>117</v>
      </c>
      <c r="D396" s="47" t="s">
        <v>46</v>
      </c>
      <c r="E396" s="12">
        <v>46118</v>
      </c>
      <c r="F396" s="20">
        <f t="shared" si="6"/>
        <v>46113</v>
      </c>
    </row>
    <row r="397" spans="1:6" ht="20.25">
      <c r="A397" s="49"/>
      <c r="B397" s="47" t="s">
        <v>971</v>
      </c>
      <c r="C397" s="47">
        <v>144</v>
      </c>
      <c r="D397" s="47" t="s">
        <v>46</v>
      </c>
      <c r="E397" s="12">
        <v>46118</v>
      </c>
      <c r="F397" s="20">
        <f t="shared" si="6"/>
        <v>46113</v>
      </c>
    </row>
    <row r="398" spans="1:6" ht="20.25">
      <c r="A398" s="49"/>
      <c r="B398" s="47" t="s">
        <v>609</v>
      </c>
      <c r="C398" s="47">
        <v>311</v>
      </c>
      <c r="D398" s="47" t="s">
        <v>46</v>
      </c>
      <c r="E398" s="12">
        <v>46118</v>
      </c>
      <c r="F398" s="20">
        <f t="shared" si="6"/>
        <v>46113</v>
      </c>
    </row>
    <row r="399" spans="1:6" ht="20.25">
      <c r="A399" s="49"/>
      <c r="B399" s="47" t="s">
        <v>1329</v>
      </c>
      <c r="C399" s="47">
        <v>52</v>
      </c>
      <c r="D399" s="47" t="s">
        <v>82</v>
      </c>
      <c r="E399" s="12">
        <v>46118</v>
      </c>
      <c r="F399" s="20">
        <f t="shared" si="6"/>
        <v>46113</v>
      </c>
    </row>
    <row r="400" spans="1:6" ht="20.25">
      <c r="A400" s="49"/>
      <c r="B400" s="47" t="s">
        <v>1275</v>
      </c>
      <c r="C400" s="47">
        <v>84</v>
      </c>
      <c r="D400" s="47" t="s">
        <v>82</v>
      </c>
      <c r="E400" s="12">
        <v>46118</v>
      </c>
      <c r="F400" s="20">
        <f t="shared" si="6"/>
        <v>46113</v>
      </c>
    </row>
    <row r="401" spans="1:6" ht="20.25">
      <c r="A401" s="49"/>
      <c r="B401" s="47" t="s">
        <v>1275</v>
      </c>
      <c r="C401" s="47">
        <v>60</v>
      </c>
      <c r="D401" s="47" t="s">
        <v>82</v>
      </c>
      <c r="E401" s="12">
        <v>46118</v>
      </c>
      <c r="F401" s="20">
        <f t="shared" si="6"/>
        <v>46113</v>
      </c>
    </row>
    <row r="402" spans="1:6" ht="20.25">
      <c r="A402" s="49"/>
      <c r="B402" s="47" t="s">
        <v>713</v>
      </c>
      <c r="C402" s="47">
        <v>158</v>
      </c>
      <c r="D402" s="47" t="s">
        <v>82</v>
      </c>
      <c r="E402" s="12">
        <v>46118</v>
      </c>
      <c r="F402" s="20">
        <f t="shared" si="6"/>
        <v>46113</v>
      </c>
    </row>
    <row r="403" spans="1:6" ht="20.25">
      <c r="A403" s="49"/>
      <c r="B403" s="47" t="s">
        <v>666</v>
      </c>
      <c r="C403" s="47">
        <v>140</v>
      </c>
      <c r="D403" s="47" t="s">
        <v>82</v>
      </c>
      <c r="E403" s="12">
        <v>46118</v>
      </c>
      <c r="F403" s="20">
        <f t="shared" si="6"/>
        <v>46113</v>
      </c>
    </row>
    <row r="404" spans="1:6" ht="20.25">
      <c r="A404" s="49"/>
      <c r="B404" s="47" t="s">
        <v>696</v>
      </c>
      <c r="C404" s="47">
        <v>1</v>
      </c>
      <c r="D404" s="47" t="s">
        <v>82</v>
      </c>
      <c r="E404" s="12">
        <v>46118</v>
      </c>
      <c r="F404" s="20">
        <f t="shared" si="6"/>
        <v>46113</v>
      </c>
    </row>
    <row r="405" spans="1:6" ht="20.25">
      <c r="A405" s="49"/>
      <c r="B405" s="47" t="s">
        <v>1519</v>
      </c>
      <c r="C405" s="47">
        <v>366</v>
      </c>
      <c r="D405" s="47" t="s">
        <v>82</v>
      </c>
      <c r="E405" s="12">
        <v>46118</v>
      </c>
      <c r="F405" s="20">
        <f t="shared" si="6"/>
        <v>46113</v>
      </c>
    </row>
    <row r="406" spans="1:6" ht="20.25">
      <c r="A406" s="49"/>
      <c r="B406" s="47" t="s">
        <v>1249</v>
      </c>
      <c r="C406" s="47">
        <v>65</v>
      </c>
      <c r="D406" s="47" t="s">
        <v>82</v>
      </c>
      <c r="E406" s="12">
        <v>46118</v>
      </c>
      <c r="F406" s="20">
        <f t="shared" si="6"/>
        <v>46113</v>
      </c>
    </row>
    <row r="407" spans="1:6" ht="20.25">
      <c r="A407" s="49"/>
      <c r="B407" s="47" t="s">
        <v>1591</v>
      </c>
      <c r="C407" s="47">
        <v>128</v>
      </c>
      <c r="D407" s="47" t="s">
        <v>82</v>
      </c>
      <c r="E407" s="12">
        <v>46118</v>
      </c>
      <c r="F407" s="20">
        <f t="shared" si="6"/>
        <v>46113</v>
      </c>
    </row>
    <row r="408" spans="1:6" ht="20.25">
      <c r="A408" s="49"/>
      <c r="B408" s="47" t="s">
        <v>1010</v>
      </c>
      <c r="C408" s="47">
        <v>12</v>
      </c>
      <c r="D408" s="47" t="s">
        <v>82</v>
      </c>
      <c r="E408" s="12">
        <v>46118</v>
      </c>
      <c r="F408" s="20">
        <f t="shared" si="6"/>
        <v>46113</v>
      </c>
    </row>
    <row r="409" spans="1:6" ht="20.25">
      <c r="A409" s="49"/>
      <c r="B409" s="47" t="s">
        <v>1075</v>
      </c>
      <c r="C409" s="47">
        <v>93</v>
      </c>
      <c r="D409" s="47" t="s">
        <v>82</v>
      </c>
      <c r="E409" s="12">
        <v>46118</v>
      </c>
      <c r="F409" s="20">
        <f t="shared" si="6"/>
        <v>46113</v>
      </c>
    </row>
    <row r="410" spans="1:6" ht="20.25">
      <c r="A410" s="49"/>
      <c r="B410" s="47" t="s">
        <v>1074</v>
      </c>
      <c r="C410" s="47">
        <v>153</v>
      </c>
      <c r="D410" s="47" t="s">
        <v>82</v>
      </c>
      <c r="E410" s="12">
        <v>46118</v>
      </c>
      <c r="F410" s="20">
        <f t="shared" si="6"/>
        <v>46113</v>
      </c>
    </row>
    <row r="411" spans="1:6" ht="20.25">
      <c r="A411" s="49"/>
      <c r="B411" s="47" t="s">
        <v>686</v>
      </c>
      <c r="C411" s="47">
        <v>251</v>
      </c>
      <c r="D411" s="47" t="s">
        <v>62</v>
      </c>
      <c r="E411" s="12">
        <v>46118</v>
      </c>
      <c r="F411" s="20">
        <f t="shared" si="6"/>
        <v>46113</v>
      </c>
    </row>
    <row r="412" spans="1:6" ht="20.25">
      <c r="A412" s="49"/>
      <c r="B412" s="47" t="s">
        <v>1549</v>
      </c>
      <c r="C412" s="47">
        <v>1012</v>
      </c>
      <c r="D412" s="47" t="s">
        <v>114</v>
      </c>
      <c r="E412" s="12">
        <v>46118</v>
      </c>
      <c r="F412" s="20">
        <f t="shared" si="6"/>
        <v>46113</v>
      </c>
    </row>
    <row r="413" spans="1:6" ht="20.25">
      <c r="A413" s="49"/>
      <c r="B413" s="47" t="s">
        <v>1135</v>
      </c>
      <c r="C413" s="47">
        <v>538</v>
      </c>
      <c r="D413" s="47" t="s">
        <v>114</v>
      </c>
      <c r="E413" s="12">
        <v>46118</v>
      </c>
      <c r="F413" s="20">
        <f t="shared" si="6"/>
        <v>46113</v>
      </c>
    </row>
    <row r="414" spans="1:6" ht="20.25">
      <c r="A414" s="49"/>
      <c r="B414" s="47" t="s">
        <v>654</v>
      </c>
      <c r="C414" s="47">
        <v>70</v>
      </c>
      <c r="D414" s="47" t="s">
        <v>114</v>
      </c>
      <c r="E414" s="12">
        <v>46118</v>
      </c>
      <c r="F414" s="20">
        <f t="shared" si="6"/>
        <v>46113</v>
      </c>
    </row>
    <row r="415" spans="1:6" ht="20.25">
      <c r="A415" s="49"/>
      <c r="B415" s="47" t="s">
        <v>654</v>
      </c>
      <c r="C415" s="47">
        <v>53</v>
      </c>
      <c r="D415" s="47" t="s">
        <v>114</v>
      </c>
      <c r="E415" s="12">
        <v>46118</v>
      </c>
      <c r="F415" s="20">
        <f t="shared" si="6"/>
        <v>46113</v>
      </c>
    </row>
    <row r="416" spans="1:6" ht="20.25">
      <c r="A416" s="49"/>
      <c r="B416" s="47" t="s">
        <v>723</v>
      </c>
      <c r="C416" s="47">
        <v>134</v>
      </c>
      <c r="D416" s="47" t="s">
        <v>114</v>
      </c>
      <c r="E416" s="12">
        <v>46118</v>
      </c>
      <c r="F416" s="20">
        <f t="shared" si="6"/>
        <v>46113</v>
      </c>
    </row>
    <row r="417" spans="1:6" ht="20.25">
      <c r="A417" s="49"/>
      <c r="B417" s="47" t="s">
        <v>898</v>
      </c>
      <c r="C417" s="47">
        <v>201</v>
      </c>
      <c r="D417" s="47" t="s">
        <v>114</v>
      </c>
      <c r="E417" s="12">
        <v>46118</v>
      </c>
      <c r="F417" s="20">
        <f t="shared" si="6"/>
        <v>46113</v>
      </c>
    </row>
    <row r="418" spans="1:6" ht="20.25">
      <c r="A418" s="49"/>
      <c r="B418" s="47" t="s">
        <v>726</v>
      </c>
      <c r="C418" s="47">
        <v>32</v>
      </c>
      <c r="D418" s="47" t="s">
        <v>114</v>
      </c>
      <c r="E418" s="12">
        <v>46118</v>
      </c>
      <c r="F418" s="20">
        <f t="shared" si="6"/>
        <v>46113</v>
      </c>
    </row>
    <row r="419" spans="1:6" ht="20.25">
      <c r="A419" s="49"/>
      <c r="B419" s="47" t="s">
        <v>1485</v>
      </c>
      <c r="C419" s="47">
        <v>79</v>
      </c>
      <c r="D419" s="47" t="s">
        <v>114</v>
      </c>
      <c r="E419" s="12">
        <v>46118</v>
      </c>
      <c r="F419" s="20">
        <f t="shared" si="6"/>
        <v>46113</v>
      </c>
    </row>
    <row r="420" spans="1:6" ht="20.25">
      <c r="A420" s="49"/>
      <c r="B420" s="47" t="s">
        <v>1012</v>
      </c>
      <c r="C420" s="47">
        <v>41</v>
      </c>
      <c r="D420" s="47" t="s">
        <v>82</v>
      </c>
      <c r="E420" s="12">
        <v>46118</v>
      </c>
      <c r="F420" s="20">
        <f t="shared" si="6"/>
        <v>46113</v>
      </c>
    </row>
    <row r="421" spans="1:6" ht="20.25">
      <c r="A421" s="49"/>
      <c r="B421" s="47" t="s">
        <v>963</v>
      </c>
      <c r="C421" s="47">
        <v>295</v>
      </c>
      <c r="D421" s="47" t="s">
        <v>66</v>
      </c>
      <c r="E421" s="12">
        <v>46118</v>
      </c>
      <c r="F421" s="20">
        <f t="shared" si="6"/>
        <v>46113</v>
      </c>
    </row>
    <row r="422" spans="1:6" ht="20.25">
      <c r="A422" s="49"/>
      <c r="B422" s="47" t="s">
        <v>1423</v>
      </c>
      <c r="C422" s="47">
        <v>119</v>
      </c>
      <c r="D422" s="47" t="s">
        <v>66</v>
      </c>
      <c r="E422" s="12">
        <v>46118</v>
      </c>
      <c r="F422" s="20">
        <f t="shared" si="6"/>
        <v>46113</v>
      </c>
    </row>
    <row r="423" spans="1:6" ht="20.25">
      <c r="A423" s="49"/>
      <c r="B423" s="47" t="s">
        <v>1549</v>
      </c>
      <c r="C423" s="47">
        <v>500</v>
      </c>
      <c r="D423" s="47" t="s">
        <v>95</v>
      </c>
      <c r="E423" s="12">
        <v>46118</v>
      </c>
      <c r="F423" s="20">
        <f t="shared" si="6"/>
        <v>46113</v>
      </c>
    </row>
    <row r="424" spans="1:6" ht="20.25">
      <c r="A424" s="49"/>
      <c r="B424" s="47" t="s">
        <v>1099</v>
      </c>
      <c r="C424" s="47">
        <v>273</v>
      </c>
      <c r="D424" s="47" t="s">
        <v>66</v>
      </c>
      <c r="E424" s="12">
        <v>46118</v>
      </c>
      <c r="F424" s="20">
        <f t="shared" si="6"/>
        <v>46113</v>
      </c>
    </row>
    <row r="425" spans="1:6" ht="20.25">
      <c r="A425" s="49"/>
      <c r="B425" s="47" t="s">
        <v>1263</v>
      </c>
      <c r="C425" s="47">
        <v>330</v>
      </c>
      <c r="D425" s="47" t="s">
        <v>66</v>
      </c>
      <c r="E425" s="12">
        <v>46118</v>
      </c>
      <c r="F425" s="20">
        <f t="shared" si="6"/>
        <v>46113</v>
      </c>
    </row>
    <row r="426" spans="1:6" ht="20.25">
      <c r="A426" s="49"/>
      <c r="B426" s="47" t="s">
        <v>625</v>
      </c>
      <c r="C426" s="47">
        <v>116</v>
      </c>
      <c r="D426" s="47" t="s">
        <v>66</v>
      </c>
      <c r="E426" s="12">
        <v>46118</v>
      </c>
      <c r="F426" s="20">
        <f t="shared" si="6"/>
        <v>46113</v>
      </c>
    </row>
    <row r="427" spans="1:6" ht="20.25">
      <c r="A427" s="49"/>
      <c r="B427" s="47" t="s">
        <v>1156</v>
      </c>
      <c r="C427" s="47">
        <v>176</v>
      </c>
      <c r="D427" s="47" t="s">
        <v>66</v>
      </c>
      <c r="E427" s="12">
        <v>46118</v>
      </c>
      <c r="F427" s="20">
        <f t="shared" si="6"/>
        <v>46113</v>
      </c>
    </row>
    <row r="428" spans="1:6" ht="20.25">
      <c r="A428" s="49"/>
      <c r="B428" s="47" t="s">
        <v>770</v>
      </c>
      <c r="C428" s="47">
        <v>8</v>
      </c>
      <c r="D428" s="47" t="s">
        <v>66</v>
      </c>
      <c r="E428" s="12">
        <v>46118</v>
      </c>
      <c r="F428" s="20">
        <f t="shared" si="6"/>
        <v>46113</v>
      </c>
    </row>
    <row r="429" spans="1:6" ht="20.25">
      <c r="A429" s="49"/>
      <c r="B429" s="47" t="s">
        <v>660</v>
      </c>
      <c r="C429" s="47">
        <v>129</v>
      </c>
      <c r="D429" s="47" t="s">
        <v>55</v>
      </c>
      <c r="E429" s="12">
        <v>46118</v>
      </c>
      <c r="F429" s="20">
        <f t="shared" si="6"/>
        <v>46113</v>
      </c>
    </row>
    <row r="430" spans="1:6" ht="20.25">
      <c r="A430" s="49"/>
      <c r="B430" s="47" t="s">
        <v>937</v>
      </c>
      <c r="C430" s="47">
        <v>194</v>
      </c>
      <c r="D430" s="47" t="s">
        <v>55</v>
      </c>
      <c r="E430" s="12">
        <v>46118</v>
      </c>
      <c r="F430" s="20">
        <f t="shared" si="6"/>
        <v>46113</v>
      </c>
    </row>
    <row r="431" spans="1:6" ht="20.25">
      <c r="A431" s="49"/>
      <c r="B431" s="47" t="s">
        <v>661</v>
      </c>
      <c r="C431" s="47">
        <v>287</v>
      </c>
      <c r="D431" s="47" t="s">
        <v>55</v>
      </c>
      <c r="E431" s="12">
        <v>46118</v>
      </c>
      <c r="F431" s="20">
        <f t="shared" si="6"/>
        <v>46113</v>
      </c>
    </row>
    <row r="432" spans="1:6" ht="20.25">
      <c r="A432" s="49"/>
      <c r="B432" s="47" t="s">
        <v>911</v>
      </c>
      <c r="C432" s="47">
        <v>62</v>
      </c>
      <c r="D432" s="47" t="s">
        <v>72</v>
      </c>
      <c r="E432" s="12">
        <v>46118</v>
      </c>
      <c r="F432" s="20">
        <f t="shared" si="6"/>
        <v>46113</v>
      </c>
    </row>
    <row r="433" spans="1:6" ht="20.25">
      <c r="A433" s="49"/>
      <c r="B433" s="47" t="s">
        <v>1118</v>
      </c>
      <c r="C433" s="47">
        <v>120</v>
      </c>
      <c r="D433" s="47" t="s">
        <v>72</v>
      </c>
      <c r="E433" s="12">
        <v>46118</v>
      </c>
      <c r="F433" s="20">
        <f t="shared" si="6"/>
        <v>46113</v>
      </c>
    </row>
    <row r="434" spans="1:6" ht="20.25">
      <c r="A434" s="49"/>
      <c r="B434" s="47" t="s">
        <v>728</v>
      </c>
      <c r="C434" s="47">
        <v>310</v>
      </c>
      <c r="D434" s="47" t="s">
        <v>72</v>
      </c>
      <c r="E434" s="12">
        <v>46118</v>
      </c>
      <c r="F434" s="20">
        <f t="shared" si="6"/>
        <v>46113</v>
      </c>
    </row>
    <row r="435" spans="1:6" ht="20.25">
      <c r="A435" s="49"/>
      <c r="B435" s="47" t="s">
        <v>913</v>
      </c>
      <c r="C435" s="47">
        <v>56</v>
      </c>
      <c r="D435" s="47" t="s">
        <v>72</v>
      </c>
      <c r="E435" s="12">
        <v>46118</v>
      </c>
      <c r="F435" s="20">
        <f t="shared" si="6"/>
        <v>46113</v>
      </c>
    </row>
    <row r="436" spans="1:6" ht="20.25">
      <c r="A436" s="49"/>
      <c r="B436" s="47" t="s">
        <v>717</v>
      </c>
      <c r="C436" s="47">
        <v>550</v>
      </c>
      <c r="D436" s="47" t="s">
        <v>63</v>
      </c>
      <c r="E436" s="12">
        <v>46118</v>
      </c>
      <c r="F436" s="20">
        <f t="shared" si="6"/>
        <v>46113</v>
      </c>
    </row>
    <row r="437" spans="1:6" ht="20.25">
      <c r="A437" s="49"/>
      <c r="B437" s="47" t="s">
        <v>1054</v>
      </c>
      <c r="C437" s="47">
        <v>62</v>
      </c>
      <c r="D437" s="47" t="s">
        <v>160</v>
      </c>
      <c r="E437" s="12">
        <v>46118</v>
      </c>
      <c r="F437" s="20">
        <f t="shared" si="6"/>
        <v>46113</v>
      </c>
    </row>
    <row r="438" spans="1:6" ht="20.25">
      <c r="A438" s="49"/>
      <c r="B438" s="47" t="s">
        <v>615</v>
      </c>
      <c r="C438" s="47">
        <v>43</v>
      </c>
      <c r="D438" s="47" t="s">
        <v>160</v>
      </c>
      <c r="E438" s="12">
        <v>46118</v>
      </c>
      <c r="F438" s="20">
        <f t="shared" si="6"/>
        <v>46113</v>
      </c>
    </row>
    <row r="439" spans="1:6" ht="20.25">
      <c r="A439" s="49"/>
      <c r="B439" s="47" t="s">
        <v>697</v>
      </c>
      <c r="C439" s="47">
        <v>544</v>
      </c>
      <c r="D439" s="47" t="s">
        <v>82</v>
      </c>
      <c r="E439" s="12">
        <v>46118</v>
      </c>
      <c r="F439" s="20">
        <f t="shared" si="6"/>
        <v>46113</v>
      </c>
    </row>
    <row r="440" spans="1:6" ht="20.25">
      <c r="A440" s="49"/>
      <c r="B440" s="47" t="s">
        <v>1502</v>
      </c>
      <c r="C440" s="47">
        <v>133</v>
      </c>
      <c r="D440" s="47" t="s">
        <v>97</v>
      </c>
      <c r="E440" s="12">
        <v>46118</v>
      </c>
      <c r="F440" s="20">
        <f t="shared" si="6"/>
        <v>46113</v>
      </c>
    </row>
    <row r="441" spans="1:6" ht="20.25">
      <c r="A441" s="49"/>
      <c r="B441" s="47" t="s">
        <v>612</v>
      </c>
      <c r="C441" s="47">
        <v>66</v>
      </c>
      <c r="D441" s="47" t="s">
        <v>62</v>
      </c>
      <c r="E441" s="12">
        <v>46118</v>
      </c>
      <c r="F441" s="20">
        <f t="shared" si="6"/>
        <v>46113</v>
      </c>
    </row>
    <row r="442" spans="1:6" ht="20.25">
      <c r="A442" s="49"/>
      <c r="B442" s="47" t="s">
        <v>814</v>
      </c>
      <c r="C442" s="47">
        <v>53</v>
      </c>
      <c r="D442" s="47" t="s">
        <v>62</v>
      </c>
      <c r="E442" s="12">
        <v>46118</v>
      </c>
      <c r="F442" s="20">
        <f t="shared" si="6"/>
        <v>46113</v>
      </c>
    </row>
    <row r="443" spans="1:6" ht="20.25">
      <c r="A443" s="49"/>
      <c r="B443" s="47" t="s">
        <v>853</v>
      </c>
      <c r="C443" s="47">
        <v>115</v>
      </c>
      <c r="D443" s="47" t="s">
        <v>62</v>
      </c>
      <c r="E443" s="12">
        <v>46118</v>
      </c>
      <c r="F443" s="20">
        <f t="shared" si="6"/>
        <v>46113</v>
      </c>
    </row>
    <row r="444" spans="1:6" ht="20.25">
      <c r="A444" s="49"/>
      <c r="B444" s="47" t="s">
        <v>737</v>
      </c>
      <c r="C444" s="47">
        <v>1000</v>
      </c>
      <c r="D444" s="47" t="s">
        <v>62</v>
      </c>
      <c r="E444" s="12">
        <v>46118</v>
      </c>
      <c r="F444" s="20">
        <f t="shared" si="6"/>
        <v>46113</v>
      </c>
    </row>
    <row r="445" spans="1:6" ht="20.25">
      <c r="A445" s="49"/>
      <c r="B445" s="47" t="s">
        <v>737</v>
      </c>
      <c r="C445" s="47">
        <v>25</v>
      </c>
      <c r="D445" s="47" t="s">
        <v>62</v>
      </c>
      <c r="E445" s="12">
        <v>46118</v>
      </c>
      <c r="F445" s="20">
        <f t="shared" si="6"/>
        <v>46113</v>
      </c>
    </row>
    <row r="446" spans="1:6" ht="20.25">
      <c r="A446" s="49"/>
      <c r="B446" s="47" t="s">
        <v>1549</v>
      </c>
      <c r="C446" s="47">
        <v>638</v>
      </c>
      <c r="D446" s="47" t="s">
        <v>66</v>
      </c>
      <c r="E446" s="12">
        <v>46118</v>
      </c>
      <c r="F446" s="20">
        <f t="shared" si="6"/>
        <v>46113</v>
      </c>
    </row>
    <row r="447" spans="1:6" ht="20.25">
      <c r="A447" s="49"/>
      <c r="B447" s="47" t="s">
        <v>1549</v>
      </c>
      <c r="C447" s="47">
        <v>82</v>
      </c>
      <c r="D447" s="47" t="s">
        <v>66</v>
      </c>
      <c r="E447" s="12">
        <v>46118</v>
      </c>
      <c r="F447" s="20">
        <f t="shared" si="6"/>
        <v>46113</v>
      </c>
    </row>
    <row r="448" spans="1:6" ht="20.25">
      <c r="A448" s="49"/>
      <c r="B448" s="47" t="s">
        <v>630</v>
      </c>
      <c r="C448" s="47">
        <v>271</v>
      </c>
      <c r="D448" s="47" t="s">
        <v>55</v>
      </c>
      <c r="E448" s="12">
        <v>46118</v>
      </c>
      <c r="F448" s="20">
        <f t="shared" si="6"/>
        <v>46113</v>
      </c>
    </row>
    <row r="449" spans="1:6" ht="20.25">
      <c r="A449" s="49"/>
      <c r="B449" s="47" t="s">
        <v>675</v>
      </c>
      <c r="C449" s="47">
        <v>155</v>
      </c>
      <c r="D449" s="47" t="s">
        <v>55</v>
      </c>
      <c r="E449" s="12">
        <v>46118</v>
      </c>
      <c r="F449" s="20">
        <f t="shared" si="6"/>
        <v>46113</v>
      </c>
    </row>
    <row r="450" spans="1:6" ht="20.25">
      <c r="A450" s="49"/>
      <c r="B450" s="47" t="s">
        <v>715</v>
      </c>
      <c r="C450" s="47">
        <v>532</v>
      </c>
      <c r="D450" s="47" t="s">
        <v>97</v>
      </c>
      <c r="E450" s="12">
        <v>46118</v>
      </c>
      <c r="F450" s="20">
        <f t="shared" ref="F450:F513" si="7">EOMONTH(E450,-1)+1</f>
        <v>46113</v>
      </c>
    </row>
    <row r="451" spans="1:6" ht="20.25">
      <c r="A451" s="49"/>
      <c r="B451" s="47" t="s">
        <v>1592</v>
      </c>
      <c r="C451" s="47">
        <v>300</v>
      </c>
      <c r="D451" s="47" t="s">
        <v>133</v>
      </c>
      <c r="E451" s="12">
        <v>46118</v>
      </c>
      <c r="F451" s="20">
        <f t="shared" si="7"/>
        <v>46113</v>
      </c>
    </row>
    <row r="452" spans="1:6" ht="20.25">
      <c r="A452" s="49"/>
      <c r="B452" s="47" t="s">
        <v>1549</v>
      </c>
      <c r="C452" s="47">
        <v>-2</v>
      </c>
      <c r="D452" s="47" t="s">
        <v>82</v>
      </c>
      <c r="E452" s="12">
        <v>46118</v>
      </c>
      <c r="F452" s="20">
        <f t="shared" si="7"/>
        <v>46113</v>
      </c>
    </row>
    <row r="453" spans="1:6" ht="20.25">
      <c r="A453" s="49"/>
      <c r="B453" s="47" t="s">
        <v>649</v>
      </c>
      <c r="C453" s="47">
        <v>-1</v>
      </c>
      <c r="D453" s="47" t="s">
        <v>82</v>
      </c>
      <c r="E453" s="12">
        <v>46118</v>
      </c>
      <c r="F453" s="20">
        <f t="shared" si="7"/>
        <v>46113</v>
      </c>
    </row>
    <row r="454" spans="1:6" ht="20.25">
      <c r="A454" s="49"/>
      <c r="B454" s="47" t="s">
        <v>711</v>
      </c>
      <c r="C454" s="47">
        <v>-7</v>
      </c>
      <c r="D454" s="47" t="s">
        <v>62</v>
      </c>
      <c r="E454" s="12">
        <v>46118</v>
      </c>
      <c r="F454" s="20">
        <f t="shared" si="7"/>
        <v>46113</v>
      </c>
    </row>
    <row r="455" spans="1:6" ht="20.25">
      <c r="A455" s="49"/>
      <c r="B455" s="47" t="s">
        <v>615</v>
      </c>
      <c r="C455" s="47">
        <v>9</v>
      </c>
      <c r="D455" s="47" t="s">
        <v>160</v>
      </c>
      <c r="E455" s="12">
        <v>46119</v>
      </c>
      <c r="F455" s="20">
        <f t="shared" si="7"/>
        <v>46113</v>
      </c>
    </row>
    <row r="456" spans="1:6" ht="20.25">
      <c r="A456" s="49"/>
      <c r="B456" s="47" t="s">
        <v>1324</v>
      </c>
      <c r="C456" s="47">
        <v>102</v>
      </c>
      <c r="D456" s="47" t="s">
        <v>160</v>
      </c>
      <c r="E456" s="12">
        <v>46119</v>
      </c>
      <c r="F456" s="20">
        <f t="shared" si="7"/>
        <v>46113</v>
      </c>
    </row>
    <row r="457" spans="1:6" ht="20.25">
      <c r="A457" s="49"/>
      <c r="B457" s="47" t="s">
        <v>648</v>
      </c>
      <c r="C457" s="47">
        <v>99</v>
      </c>
      <c r="D457" s="47" t="s">
        <v>160</v>
      </c>
      <c r="E457" s="12">
        <v>46119</v>
      </c>
      <c r="F457" s="20">
        <f t="shared" si="7"/>
        <v>46113</v>
      </c>
    </row>
    <row r="458" spans="1:6" ht="20.25">
      <c r="A458" s="49"/>
      <c r="B458" s="47" t="s">
        <v>1081</v>
      </c>
      <c r="C458" s="47">
        <v>303</v>
      </c>
      <c r="D458" s="47" t="s">
        <v>160</v>
      </c>
      <c r="E458" s="12">
        <v>46119</v>
      </c>
      <c r="F458" s="20">
        <f t="shared" si="7"/>
        <v>46113</v>
      </c>
    </row>
    <row r="459" spans="1:6" ht="20.25">
      <c r="A459" s="49"/>
      <c r="B459" s="47" t="s">
        <v>1054</v>
      </c>
      <c r="C459" s="47">
        <v>8</v>
      </c>
      <c r="D459" s="47" t="s">
        <v>160</v>
      </c>
      <c r="E459" s="12">
        <v>46119</v>
      </c>
      <c r="F459" s="20">
        <f t="shared" si="7"/>
        <v>46113</v>
      </c>
    </row>
    <row r="460" spans="1:6" ht="20.25">
      <c r="A460" s="49"/>
      <c r="B460" s="47" t="s">
        <v>1549</v>
      </c>
      <c r="C460" s="47">
        <v>494</v>
      </c>
      <c r="D460" s="47" t="s">
        <v>95</v>
      </c>
      <c r="E460" s="12">
        <v>46119</v>
      </c>
      <c r="F460" s="20">
        <f t="shared" si="7"/>
        <v>46113</v>
      </c>
    </row>
    <row r="461" spans="1:6" ht="20.25">
      <c r="A461" s="49"/>
      <c r="B461" s="47" t="s">
        <v>1590</v>
      </c>
      <c r="C461" s="47">
        <v>204</v>
      </c>
      <c r="D461" s="47" t="s">
        <v>95</v>
      </c>
      <c r="E461" s="12">
        <v>46119</v>
      </c>
      <c r="F461" s="20">
        <f t="shared" si="7"/>
        <v>46113</v>
      </c>
    </row>
    <row r="462" spans="1:6" ht="20.25">
      <c r="A462" s="49"/>
      <c r="B462" s="47" t="s">
        <v>1590</v>
      </c>
      <c r="C462" s="47">
        <v>1000</v>
      </c>
      <c r="D462" s="47" t="s">
        <v>95</v>
      </c>
      <c r="E462" s="12">
        <v>46119</v>
      </c>
      <c r="F462" s="20">
        <f t="shared" si="7"/>
        <v>46113</v>
      </c>
    </row>
    <row r="463" spans="1:6" ht="20.25">
      <c r="A463" s="49"/>
      <c r="B463" s="47" t="s">
        <v>1550</v>
      </c>
      <c r="C463" s="47">
        <v>42</v>
      </c>
      <c r="D463" s="47" t="s">
        <v>72</v>
      </c>
      <c r="E463" s="12">
        <v>46119</v>
      </c>
      <c r="F463" s="20">
        <f t="shared" si="7"/>
        <v>46113</v>
      </c>
    </row>
    <row r="464" spans="1:6" ht="20.25">
      <c r="A464" s="49"/>
      <c r="B464" s="47" t="s">
        <v>1136</v>
      </c>
      <c r="C464" s="47">
        <v>67</v>
      </c>
      <c r="D464" s="47" t="s">
        <v>72</v>
      </c>
      <c r="E464" s="12">
        <v>46119</v>
      </c>
      <c r="F464" s="20">
        <f t="shared" si="7"/>
        <v>46113</v>
      </c>
    </row>
    <row r="465" spans="1:6" ht="20.25">
      <c r="A465" s="49"/>
      <c r="B465" s="47" t="s">
        <v>840</v>
      </c>
      <c r="C465" s="47">
        <v>145</v>
      </c>
      <c r="D465" s="47" t="s">
        <v>72</v>
      </c>
      <c r="E465" s="12">
        <v>46119</v>
      </c>
      <c r="F465" s="20">
        <f t="shared" si="7"/>
        <v>46113</v>
      </c>
    </row>
    <row r="466" spans="1:6" ht="20.25">
      <c r="A466" s="49"/>
      <c r="B466" s="47" t="s">
        <v>1593</v>
      </c>
      <c r="C466" s="47">
        <v>902</v>
      </c>
      <c r="D466" s="47" t="s">
        <v>72</v>
      </c>
      <c r="E466" s="12">
        <v>46119</v>
      </c>
      <c r="F466" s="20">
        <f t="shared" si="7"/>
        <v>46113</v>
      </c>
    </row>
    <row r="467" spans="1:6" ht="20.25">
      <c r="A467" s="49"/>
      <c r="B467" s="47" t="s">
        <v>1096</v>
      </c>
      <c r="C467" s="47">
        <v>429</v>
      </c>
      <c r="D467" s="47" t="s">
        <v>72</v>
      </c>
      <c r="E467" s="12">
        <v>46119</v>
      </c>
      <c r="F467" s="20">
        <f t="shared" si="7"/>
        <v>46113</v>
      </c>
    </row>
    <row r="468" spans="1:6" ht="20.25">
      <c r="A468" s="49"/>
      <c r="B468" s="47" t="s">
        <v>1161</v>
      </c>
      <c r="C468" s="47">
        <v>112</v>
      </c>
      <c r="D468" s="47" t="s">
        <v>95</v>
      </c>
      <c r="E468" s="12">
        <v>46119</v>
      </c>
      <c r="F468" s="20">
        <f t="shared" si="7"/>
        <v>46113</v>
      </c>
    </row>
    <row r="469" spans="1:6" ht="20.25">
      <c r="A469" s="49"/>
      <c r="B469" s="47" t="s">
        <v>1592</v>
      </c>
      <c r="C469" s="47">
        <v>308</v>
      </c>
      <c r="D469" s="47" t="s">
        <v>133</v>
      </c>
      <c r="E469" s="12">
        <v>46119</v>
      </c>
      <c r="F469" s="20">
        <f t="shared" si="7"/>
        <v>46113</v>
      </c>
    </row>
    <row r="470" spans="1:6" ht="20.25">
      <c r="A470" s="49"/>
      <c r="B470" s="47" t="s">
        <v>1549</v>
      </c>
      <c r="C470" s="47">
        <v>300</v>
      </c>
      <c r="D470" s="47" t="s">
        <v>1487</v>
      </c>
      <c r="E470" s="12">
        <v>46119</v>
      </c>
      <c r="F470" s="20">
        <f t="shared" si="7"/>
        <v>46113</v>
      </c>
    </row>
    <row r="471" spans="1:6" ht="20.25">
      <c r="A471" s="49"/>
      <c r="B471" s="47" t="s">
        <v>1549</v>
      </c>
      <c r="C471" s="47">
        <v>976</v>
      </c>
      <c r="D471" s="47" t="s">
        <v>1487</v>
      </c>
      <c r="E471" s="12">
        <v>46119</v>
      </c>
      <c r="F471" s="20">
        <f t="shared" si="7"/>
        <v>46113</v>
      </c>
    </row>
    <row r="472" spans="1:6" ht="20.25">
      <c r="A472" s="49"/>
      <c r="B472" s="47" t="s">
        <v>1549</v>
      </c>
      <c r="C472" s="47">
        <v>153</v>
      </c>
      <c r="D472" s="47" t="s">
        <v>1487</v>
      </c>
      <c r="E472" s="12">
        <v>46119</v>
      </c>
      <c r="F472" s="20">
        <f t="shared" si="7"/>
        <v>46113</v>
      </c>
    </row>
    <row r="473" spans="1:6" ht="20.25">
      <c r="A473" s="49"/>
      <c r="B473" s="47" t="s">
        <v>1594</v>
      </c>
      <c r="C473" s="47">
        <v>533</v>
      </c>
      <c r="D473" s="47" t="s">
        <v>133</v>
      </c>
      <c r="E473" s="12">
        <v>46119</v>
      </c>
      <c r="F473" s="20">
        <f t="shared" si="7"/>
        <v>46113</v>
      </c>
    </row>
    <row r="474" spans="1:6" ht="20.25">
      <c r="A474" s="49"/>
      <c r="B474" s="47" t="s">
        <v>633</v>
      </c>
      <c r="C474" s="47">
        <v>27</v>
      </c>
      <c r="D474" s="47" t="s">
        <v>82</v>
      </c>
      <c r="E474" s="12">
        <v>46119</v>
      </c>
      <c r="F474" s="20">
        <f t="shared" si="7"/>
        <v>46113</v>
      </c>
    </row>
    <row r="475" spans="1:6" ht="20.25">
      <c r="A475" s="49"/>
      <c r="B475" s="47" t="s">
        <v>633</v>
      </c>
      <c r="C475" s="47">
        <v>868</v>
      </c>
      <c r="D475" s="47" t="s">
        <v>82</v>
      </c>
      <c r="E475" s="12">
        <v>46119</v>
      </c>
      <c r="F475" s="20">
        <f t="shared" si="7"/>
        <v>46113</v>
      </c>
    </row>
    <row r="476" spans="1:6" ht="20.25">
      <c r="A476" s="49"/>
      <c r="B476" s="47" t="s">
        <v>1012</v>
      </c>
      <c r="C476" s="47">
        <v>68</v>
      </c>
      <c r="D476" s="47" t="s">
        <v>82</v>
      </c>
      <c r="E476" s="12">
        <v>46119</v>
      </c>
      <c r="F476" s="20">
        <f t="shared" si="7"/>
        <v>46113</v>
      </c>
    </row>
    <row r="477" spans="1:6" ht="20.25">
      <c r="A477" s="49"/>
      <c r="B477" s="47" t="s">
        <v>666</v>
      </c>
      <c r="C477" s="47">
        <v>129</v>
      </c>
      <c r="D477" s="47" t="s">
        <v>82</v>
      </c>
      <c r="E477" s="12">
        <v>46119</v>
      </c>
      <c r="F477" s="20">
        <f t="shared" si="7"/>
        <v>46113</v>
      </c>
    </row>
    <row r="478" spans="1:6" ht="20.25">
      <c r="A478" s="49"/>
      <c r="B478" s="47" t="s">
        <v>720</v>
      </c>
      <c r="C478" s="47">
        <v>226</v>
      </c>
      <c r="D478" s="47" t="s">
        <v>160</v>
      </c>
      <c r="E478" s="12">
        <v>46119</v>
      </c>
      <c r="F478" s="20">
        <f t="shared" si="7"/>
        <v>46113</v>
      </c>
    </row>
    <row r="479" spans="1:6" ht="20.25">
      <c r="A479" s="49"/>
      <c r="B479" s="47" t="s">
        <v>1321</v>
      </c>
      <c r="C479" s="47">
        <v>67</v>
      </c>
      <c r="D479" s="47" t="s">
        <v>55</v>
      </c>
      <c r="E479" s="12">
        <v>46119</v>
      </c>
      <c r="F479" s="20">
        <f t="shared" si="7"/>
        <v>46113</v>
      </c>
    </row>
    <row r="480" spans="1:6" ht="20.25">
      <c r="A480" s="49"/>
      <c r="B480" s="47" t="s">
        <v>1014</v>
      </c>
      <c r="C480" s="47">
        <v>151</v>
      </c>
      <c r="D480" s="47" t="s">
        <v>55</v>
      </c>
      <c r="E480" s="12">
        <v>46119</v>
      </c>
      <c r="F480" s="20">
        <f t="shared" si="7"/>
        <v>46113</v>
      </c>
    </row>
    <row r="481" spans="1:6" ht="20.25">
      <c r="A481" s="49"/>
      <c r="B481" s="47" t="s">
        <v>865</v>
      </c>
      <c r="C481" s="47">
        <v>107</v>
      </c>
      <c r="D481" s="47" t="s">
        <v>55</v>
      </c>
      <c r="E481" s="12">
        <v>46119</v>
      </c>
      <c r="F481" s="20">
        <f t="shared" si="7"/>
        <v>46113</v>
      </c>
    </row>
    <row r="482" spans="1:6" ht="20.25">
      <c r="A482" s="49"/>
      <c r="B482" s="47" t="s">
        <v>815</v>
      </c>
      <c r="C482" s="47">
        <v>184</v>
      </c>
      <c r="D482" s="47" t="s">
        <v>55</v>
      </c>
      <c r="E482" s="12">
        <v>46119</v>
      </c>
      <c r="F482" s="20">
        <f t="shared" si="7"/>
        <v>46113</v>
      </c>
    </row>
    <row r="483" spans="1:6" ht="20.25">
      <c r="A483" s="49"/>
      <c r="B483" s="47" t="s">
        <v>759</v>
      </c>
      <c r="C483" s="47">
        <v>75</v>
      </c>
      <c r="D483" s="47" t="s">
        <v>114</v>
      </c>
      <c r="E483" s="12">
        <v>46119</v>
      </c>
      <c r="F483" s="20">
        <f t="shared" si="7"/>
        <v>46113</v>
      </c>
    </row>
    <row r="484" spans="1:6" ht="20.25">
      <c r="A484" s="49"/>
      <c r="B484" s="47" t="s">
        <v>1548</v>
      </c>
      <c r="C484" s="47">
        <v>99</v>
      </c>
      <c r="D484" s="47" t="s">
        <v>114</v>
      </c>
      <c r="E484" s="12">
        <v>46119</v>
      </c>
      <c r="F484" s="20">
        <f t="shared" si="7"/>
        <v>46113</v>
      </c>
    </row>
    <row r="485" spans="1:6" ht="20.25">
      <c r="A485" s="49"/>
      <c r="B485" s="47" t="s">
        <v>901</v>
      </c>
      <c r="C485" s="47">
        <v>55</v>
      </c>
      <c r="D485" s="47" t="s">
        <v>114</v>
      </c>
      <c r="E485" s="12">
        <v>46119</v>
      </c>
      <c r="F485" s="20">
        <f t="shared" si="7"/>
        <v>46113</v>
      </c>
    </row>
    <row r="486" spans="1:6" ht="20.25">
      <c r="A486" s="49"/>
      <c r="B486" s="47" t="s">
        <v>848</v>
      </c>
      <c r="C486" s="47">
        <v>61</v>
      </c>
      <c r="D486" s="47" t="s">
        <v>114</v>
      </c>
      <c r="E486" s="12">
        <v>46119</v>
      </c>
      <c r="F486" s="20">
        <f t="shared" si="7"/>
        <v>46113</v>
      </c>
    </row>
    <row r="487" spans="1:6" ht="20.25">
      <c r="A487" s="49"/>
      <c r="B487" s="47" t="s">
        <v>700</v>
      </c>
      <c r="C487" s="47">
        <v>407</v>
      </c>
      <c r="D487" s="47" t="s">
        <v>114</v>
      </c>
      <c r="E487" s="12">
        <v>46119</v>
      </c>
      <c r="F487" s="20">
        <f t="shared" si="7"/>
        <v>46113</v>
      </c>
    </row>
    <row r="488" spans="1:6" ht="20.25">
      <c r="A488" s="49"/>
      <c r="B488" s="47" t="s">
        <v>1376</v>
      </c>
      <c r="C488" s="47">
        <v>100</v>
      </c>
      <c r="D488" s="47" t="s">
        <v>114</v>
      </c>
      <c r="E488" s="12">
        <v>46119</v>
      </c>
      <c r="F488" s="20">
        <f t="shared" si="7"/>
        <v>46113</v>
      </c>
    </row>
    <row r="489" spans="1:6" ht="20.25">
      <c r="A489" s="49"/>
      <c r="B489" s="47" t="s">
        <v>717</v>
      </c>
      <c r="C489" s="47">
        <v>893</v>
      </c>
      <c r="D489" s="47" t="s">
        <v>63</v>
      </c>
      <c r="E489" s="12">
        <v>46119</v>
      </c>
      <c r="F489" s="20">
        <f t="shared" si="7"/>
        <v>46113</v>
      </c>
    </row>
    <row r="490" spans="1:6" ht="20.25">
      <c r="A490" s="49"/>
      <c r="B490" s="47" t="s">
        <v>1167</v>
      </c>
      <c r="C490" s="47">
        <v>724</v>
      </c>
      <c r="D490" s="47" t="s">
        <v>63</v>
      </c>
      <c r="E490" s="12">
        <v>46119</v>
      </c>
      <c r="F490" s="20">
        <f t="shared" si="7"/>
        <v>46113</v>
      </c>
    </row>
    <row r="491" spans="1:6" ht="20.25">
      <c r="A491" s="49"/>
      <c r="B491" s="47" t="s">
        <v>997</v>
      </c>
      <c r="C491" s="47">
        <v>232</v>
      </c>
      <c r="D491" s="47" t="s">
        <v>63</v>
      </c>
      <c r="E491" s="12">
        <v>46119</v>
      </c>
      <c r="F491" s="20">
        <f t="shared" si="7"/>
        <v>46113</v>
      </c>
    </row>
    <row r="492" spans="1:6" ht="20.25">
      <c r="A492" s="49"/>
      <c r="B492" s="47" t="s">
        <v>1001</v>
      </c>
      <c r="C492" s="47">
        <v>136</v>
      </c>
      <c r="D492" s="47" t="s">
        <v>63</v>
      </c>
      <c r="E492" s="12">
        <v>46119</v>
      </c>
      <c r="F492" s="20">
        <f t="shared" si="7"/>
        <v>46113</v>
      </c>
    </row>
    <row r="493" spans="1:6" ht="20.25">
      <c r="A493" s="49"/>
      <c r="B493" s="47" t="s">
        <v>1001</v>
      </c>
      <c r="C493" s="47">
        <v>83</v>
      </c>
      <c r="D493" s="47" t="s">
        <v>63</v>
      </c>
      <c r="E493" s="12">
        <v>46119</v>
      </c>
      <c r="F493" s="20">
        <f t="shared" si="7"/>
        <v>46113</v>
      </c>
    </row>
    <row r="494" spans="1:6" ht="20.25">
      <c r="A494" s="49"/>
      <c r="B494" s="47" t="s">
        <v>910</v>
      </c>
      <c r="C494" s="47">
        <v>193</v>
      </c>
      <c r="D494" s="47" t="s">
        <v>63</v>
      </c>
      <c r="E494" s="12">
        <v>46119</v>
      </c>
      <c r="F494" s="20">
        <f t="shared" si="7"/>
        <v>46113</v>
      </c>
    </row>
    <row r="495" spans="1:6" ht="20.25">
      <c r="A495" s="49"/>
      <c r="B495" s="47" t="s">
        <v>874</v>
      </c>
      <c r="C495" s="47">
        <v>33</v>
      </c>
      <c r="D495" s="47" t="s">
        <v>63</v>
      </c>
      <c r="E495" s="12">
        <v>46119</v>
      </c>
      <c r="F495" s="20">
        <f t="shared" si="7"/>
        <v>46113</v>
      </c>
    </row>
    <row r="496" spans="1:6" ht="20.25">
      <c r="A496" s="49"/>
      <c r="B496" s="47" t="s">
        <v>1334</v>
      </c>
      <c r="C496" s="47">
        <v>54</v>
      </c>
      <c r="D496" s="47" t="s">
        <v>63</v>
      </c>
      <c r="E496" s="12">
        <v>46119</v>
      </c>
      <c r="F496" s="20">
        <f t="shared" si="7"/>
        <v>46113</v>
      </c>
    </row>
    <row r="497" spans="1:6" ht="20.25">
      <c r="A497" s="49"/>
      <c r="B497" s="47" t="s">
        <v>859</v>
      </c>
      <c r="C497" s="47">
        <v>32</v>
      </c>
      <c r="D497" s="47" t="s">
        <v>63</v>
      </c>
      <c r="E497" s="12">
        <v>46119</v>
      </c>
      <c r="F497" s="20">
        <f t="shared" si="7"/>
        <v>46113</v>
      </c>
    </row>
    <row r="498" spans="1:6" ht="20.25">
      <c r="A498" s="49"/>
      <c r="B498" s="47" t="s">
        <v>1236</v>
      </c>
      <c r="C498" s="47">
        <v>26</v>
      </c>
      <c r="D498" s="47" t="s">
        <v>63</v>
      </c>
      <c r="E498" s="12">
        <v>46119</v>
      </c>
      <c r="F498" s="20">
        <f t="shared" si="7"/>
        <v>46113</v>
      </c>
    </row>
    <row r="499" spans="1:6" ht="20.25">
      <c r="A499" s="49"/>
      <c r="B499" s="47" t="s">
        <v>1055</v>
      </c>
      <c r="C499" s="47">
        <v>133</v>
      </c>
      <c r="D499" s="47" t="s">
        <v>63</v>
      </c>
      <c r="E499" s="12">
        <v>46119</v>
      </c>
      <c r="F499" s="20">
        <f t="shared" si="7"/>
        <v>46113</v>
      </c>
    </row>
    <row r="500" spans="1:6" ht="20.25">
      <c r="A500" s="49"/>
      <c r="B500" s="47" t="s">
        <v>808</v>
      </c>
      <c r="C500" s="47">
        <v>81</v>
      </c>
      <c r="D500" s="47" t="s">
        <v>63</v>
      </c>
      <c r="E500" s="12">
        <v>46119</v>
      </c>
      <c r="F500" s="20">
        <f t="shared" si="7"/>
        <v>46113</v>
      </c>
    </row>
    <row r="501" spans="1:6" ht="20.25">
      <c r="A501" s="49"/>
      <c r="B501" s="47" t="s">
        <v>1142</v>
      </c>
      <c r="C501" s="47">
        <v>89</v>
      </c>
      <c r="D501" s="47" t="s">
        <v>63</v>
      </c>
      <c r="E501" s="12">
        <v>46119</v>
      </c>
      <c r="F501" s="20">
        <f t="shared" si="7"/>
        <v>46113</v>
      </c>
    </row>
    <row r="502" spans="1:6" ht="20.25">
      <c r="A502" s="49"/>
      <c r="B502" s="47" t="s">
        <v>1595</v>
      </c>
      <c r="C502" s="47">
        <v>491</v>
      </c>
      <c r="D502" s="47" t="s">
        <v>55</v>
      </c>
      <c r="E502" s="12">
        <v>46119</v>
      </c>
      <c r="F502" s="20">
        <f t="shared" si="7"/>
        <v>46113</v>
      </c>
    </row>
    <row r="503" spans="1:6" ht="20.25">
      <c r="A503" s="49"/>
      <c r="B503" s="47" t="s">
        <v>739</v>
      </c>
      <c r="C503" s="47">
        <v>115</v>
      </c>
      <c r="D503" s="47" t="s">
        <v>62</v>
      </c>
      <c r="E503" s="12">
        <v>46119</v>
      </c>
      <c r="F503" s="20">
        <f t="shared" si="7"/>
        <v>46113</v>
      </c>
    </row>
    <row r="504" spans="1:6" ht="20.25">
      <c r="A504" s="49"/>
      <c r="B504" s="47" t="s">
        <v>691</v>
      </c>
      <c r="C504" s="47">
        <v>55</v>
      </c>
      <c r="D504" s="47" t="s">
        <v>62</v>
      </c>
      <c r="E504" s="12">
        <v>46119</v>
      </c>
      <c r="F504" s="20">
        <f t="shared" si="7"/>
        <v>46113</v>
      </c>
    </row>
    <row r="505" spans="1:6" ht="20.25">
      <c r="A505" s="49"/>
      <c r="B505" s="47" t="s">
        <v>1328</v>
      </c>
      <c r="C505" s="47">
        <v>285</v>
      </c>
      <c r="D505" s="47" t="s">
        <v>66</v>
      </c>
      <c r="E505" s="12">
        <v>46119</v>
      </c>
      <c r="F505" s="20">
        <f t="shared" si="7"/>
        <v>46113</v>
      </c>
    </row>
    <row r="506" spans="1:6" ht="20.25">
      <c r="A506" s="49"/>
      <c r="B506" s="47" t="s">
        <v>1319</v>
      </c>
      <c r="C506" s="47">
        <v>114</v>
      </c>
      <c r="D506" s="47" t="s">
        <v>66</v>
      </c>
      <c r="E506" s="12">
        <v>46119</v>
      </c>
      <c r="F506" s="20">
        <f t="shared" si="7"/>
        <v>46113</v>
      </c>
    </row>
    <row r="507" spans="1:6" ht="20.25">
      <c r="A507" s="49"/>
      <c r="B507" s="47" t="s">
        <v>714</v>
      </c>
      <c r="C507" s="47">
        <v>100</v>
      </c>
      <c r="D507" s="47" t="s">
        <v>66</v>
      </c>
      <c r="E507" s="12">
        <v>46119</v>
      </c>
      <c r="F507" s="20">
        <f t="shared" si="7"/>
        <v>46113</v>
      </c>
    </row>
    <row r="508" spans="1:6" ht="20.25">
      <c r="A508" s="49"/>
      <c r="B508" s="47" t="s">
        <v>1549</v>
      </c>
      <c r="C508" s="47">
        <v>362</v>
      </c>
      <c r="D508" s="47" t="s">
        <v>66</v>
      </c>
      <c r="E508" s="12">
        <v>46119</v>
      </c>
      <c r="F508" s="20">
        <f t="shared" si="7"/>
        <v>46113</v>
      </c>
    </row>
    <row r="509" spans="1:6" ht="20.25">
      <c r="A509" s="49"/>
      <c r="B509" s="47" t="s">
        <v>1158</v>
      </c>
      <c r="C509" s="47">
        <v>13</v>
      </c>
      <c r="D509" s="47" t="s">
        <v>66</v>
      </c>
      <c r="E509" s="12">
        <v>46119</v>
      </c>
      <c r="F509" s="20">
        <f t="shared" si="7"/>
        <v>46113</v>
      </c>
    </row>
    <row r="510" spans="1:6" ht="20.25">
      <c r="A510" s="49"/>
      <c r="B510" s="47" t="s">
        <v>1596</v>
      </c>
      <c r="C510" s="47">
        <v>178</v>
      </c>
      <c r="D510" s="47" t="s">
        <v>66</v>
      </c>
      <c r="E510" s="12">
        <v>46119</v>
      </c>
      <c r="F510" s="20">
        <f t="shared" si="7"/>
        <v>46113</v>
      </c>
    </row>
    <row r="511" spans="1:6" ht="20.25">
      <c r="A511" s="49"/>
      <c r="B511" s="47" t="s">
        <v>1597</v>
      </c>
      <c r="C511" s="47">
        <v>912</v>
      </c>
      <c r="D511" s="47" t="s">
        <v>66</v>
      </c>
      <c r="E511" s="12">
        <v>46119</v>
      </c>
      <c r="F511" s="20">
        <f t="shared" si="7"/>
        <v>46113</v>
      </c>
    </row>
    <row r="512" spans="1:6" ht="20.25">
      <c r="A512" s="49"/>
      <c r="B512" s="47" t="s">
        <v>757</v>
      </c>
      <c r="C512" s="47">
        <v>145</v>
      </c>
      <c r="D512" s="47" t="s">
        <v>66</v>
      </c>
      <c r="E512" s="12">
        <v>46119</v>
      </c>
      <c r="F512" s="20">
        <f t="shared" si="7"/>
        <v>46113</v>
      </c>
    </row>
    <row r="513" spans="1:6" ht="20.25">
      <c r="A513" s="49"/>
      <c r="B513" s="47" t="s">
        <v>1271</v>
      </c>
      <c r="C513" s="47">
        <v>119</v>
      </c>
      <c r="D513" s="47" t="s">
        <v>66</v>
      </c>
      <c r="E513" s="12">
        <v>46119</v>
      </c>
      <c r="F513" s="20">
        <f t="shared" si="7"/>
        <v>46113</v>
      </c>
    </row>
    <row r="514" spans="1:6" ht="20.25">
      <c r="A514" s="49"/>
      <c r="B514" s="47" t="s">
        <v>908</v>
      </c>
      <c r="C514" s="47">
        <v>99</v>
      </c>
      <c r="D514" s="47" t="s">
        <v>66</v>
      </c>
      <c r="E514" s="12">
        <v>46119</v>
      </c>
      <c r="F514" s="20">
        <f t="shared" ref="F514:F577" si="8">EOMONTH(E514,-1)+1</f>
        <v>46113</v>
      </c>
    </row>
    <row r="515" spans="1:6" ht="20.25">
      <c r="A515" s="49"/>
      <c r="B515" s="47" t="s">
        <v>607</v>
      </c>
      <c r="C515" s="47">
        <v>93</v>
      </c>
      <c r="D515" s="47" t="s">
        <v>66</v>
      </c>
      <c r="E515" s="12">
        <v>46119</v>
      </c>
      <c r="F515" s="20">
        <f t="shared" si="8"/>
        <v>46113</v>
      </c>
    </row>
    <row r="516" spans="1:6" ht="20.25">
      <c r="A516" s="49"/>
      <c r="B516" s="47" t="s">
        <v>749</v>
      </c>
      <c r="C516" s="47">
        <v>156</v>
      </c>
      <c r="D516" s="47" t="s">
        <v>82</v>
      </c>
      <c r="E516" s="12">
        <v>46119</v>
      </c>
      <c r="F516" s="20">
        <f t="shared" si="8"/>
        <v>46113</v>
      </c>
    </row>
    <row r="517" spans="1:6" ht="20.25">
      <c r="A517" s="49"/>
      <c r="B517" s="47" t="s">
        <v>1103</v>
      </c>
      <c r="C517" s="47">
        <v>45</v>
      </c>
      <c r="D517" s="47" t="s">
        <v>82</v>
      </c>
      <c r="E517" s="12">
        <v>46119</v>
      </c>
      <c r="F517" s="20">
        <f t="shared" si="8"/>
        <v>46113</v>
      </c>
    </row>
    <row r="518" spans="1:6" ht="20.25">
      <c r="A518" s="49"/>
      <c r="B518" s="47" t="s">
        <v>1594</v>
      </c>
      <c r="C518" s="47">
        <v>326</v>
      </c>
      <c r="D518" s="47" t="s">
        <v>62</v>
      </c>
      <c r="E518" s="12">
        <v>46119</v>
      </c>
      <c r="F518" s="20">
        <f t="shared" si="8"/>
        <v>46113</v>
      </c>
    </row>
    <row r="519" spans="1:6" ht="20.25">
      <c r="A519" s="49"/>
      <c r="B519" s="47" t="s">
        <v>836</v>
      </c>
      <c r="C519" s="47">
        <v>52</v>
      </c>
      <c r="D519" s="47" t="s">
        <v>160</v>
      </c>
      <c r="E519" s="12">
        <v>46119</v>
      </c>
      <c r="F519" s="20">
        <f t="shared" si="8"/>
        <v>46113</v>
      </c>
    </row>
    <row r="520" spans="1:6" ht="20.25">
      <c r="A520" s="49"/>
      <c r="B520" s="47" t="s">
        <v>1277</v>
      </c>
      <c r="C520" s="47">
        <v>209</v>
      </c>
      <c r="D520" s="47" t="s">
        <v>46</v>
      </c>
      <c r="E520" s="12">
        <v>46119</v>
      </c>
      <c r="F520" s="20">
        <f t="shared" si="8"/>
        <v>46113</v>
      </c>
    </row>
    <row r="521" spans="1:6" ht="20.25">
      <c r="A521" s="49"/>
      <c r="B521" s="47" t="s">
        <v>1461</v>
      </c>
      <c r="C521" s="47">
        <v>83</v>
      </c>
      <c r="D521" s="47" t="s">
        <v>46</v>
      </c>
      <c r="E521" s="12">
        <v>46119</v>
      </c>
      <c r="F521" s="20">
        <f t="shared" si="8"/>
        <v>46113</v>
      </c>
    </row>
    <row r="522" spans="1:6" ht="20.25">
      <c r="A522" s="49"/>
      <c r="B522" s="47" t="s">
        <v>867</v>
      </c>
      <c r="C522" s="47">
        <v>286</v>
      </c>
      <c r="D522" s="47" t="s">
        <v>46</v>
      </c>
      <c r="E522" s="12">
        <v>46119</v>
      </c>
      <c r="F522" s="20">
        <f t="shared" si="8"/>
        <v>46113</v>
      </c>
    </row>
    <row r="523" spans="1:6" ht="20.25">
      <c r="A523" s="49"/>
      <c r="B523" s="47" t="s">
        <v>716</v>
      </c>
      <c r="C523" s="47">
        <v>92</v>
      </c>
      <c r="D523" s="47" t="s">
        <v>46</v>
      </c>
      <c r="E523" s="12">
        <v>46119</v>
      </c>
      <c r="F523" s="20">
        <f t="shared" si="8"/>
        <v>46113</v>
      </c>
    </row>
    <row r="524" spans="1:6" ht="20.25">
      <c r="A524" s="49"/>
      <c r="B524" s="47" t="s">
        <v>1340</v>
      </c>
      <c r="C524" s="47">
        <v>102</v>
      </c>
      <c r="D524" s="47" t="s">
        <v>46</v>
      </c>
      <c r="E524" s="12">
        <v>46119</v>
      </c>
      <c r="F524" s="20">
        <f t="shared" si="8"/>
        <v>46113</v>
      </c>
    </row>
    <row r="525" spans="1:6" ht="20.25">
      <c r="A525" s="49"/>
      <c r="B525" s="47" t="s">
        <v>762</v>
      </c>
      <c r="C525" s="47">
        <v>100</v>
      </c>
      <c r="D525" s="47" t="s">
        <v>46</v>
      </c>
      <c r="E525" s="12">
        <v>46119</v>
      </c>
      <c r="F525" s="20">
        <f t="shared" si="8"/>
        <v>46113</v>
      </c>
    </row>
    <row r="526" spans="1:6" ht="20.25">
      <c r="A526" s="49"/>
      <c r="B526" s="47" t="s">
        <v>1077</v>
      </c>
      <c r="C526" s="47">
        <v>208</v>
      </c>
      <c r="D526" s="47" t="s">
        <v>46</v>
      </c>
      <c r="E526" s="12">
        <v>46119</v>
      </c>
      <c r="F526" s="20">
        <f t="shared" si="8"/>
        <v>46113</v>
      </c>
    </row>
    <row r="527" spans="1:6" ht="20.25">
      <c r="A527" s="49"/>
      <c r="B527" s="47" t="s">
        <v>750</v>
      </c>
      <c r="C527" s="47">
        <v>160</v>
      </c>
      <c r="D527" s="47" t="s">
        <v>46</v>
      </c>
      <c r="E527" s="12">
        <v>46119</v>
      </c>
      <c r="F527" s="20">
        <f t="shared" si="8"/>
        <v>46113</v>
      </c>
    </row>
    <row r="528" spans="1:6" ht="20.25">
      <c r="A528" s="49"/>
      <c r="B528" s="47" t="s">
        <v>1366</v>
      </c>
      <c r="C528" s="47">
        <v>170</v>
      </c>
      <c r="D528" s="47" t="s">
        <v>46</v>
      </c>
      <c r="E528" s="12">
        <v>46119</v>
      </c>
      <c r="F528" s="20">
        <f t="shared" si="8"/>
        <v>46113</v>
      </c>
    </row>
    <row r="529" spans="1:6" ht="20.25">
      <c r="A529" s="49"/>
      <c r="B529" s="47" t="s">
        <v>982</v>
      </c>
      <c r="C529" s="47">
        <v>84</v>
      </c>
      <c r="D529" s="47" t="s">
        <v>66</v>
      </c>
      <c r="E529" s="12">
        <v>46119</v>
      </c>
      <c r="F529" s="20">
        <f t="shared" si="8"/>
        <v>46113</v>
      </c>
    </row>
    <row r="530" spans="1:6" ht="20.25">
      <c r="A530" s="49"/>
      <c r="B530" s="47" t="s">
        <v>854</v>
      </c>
      <c r="C530" s="47">
        <v>14</v>
      </c>
      <c r="D530" s="47" t="s">
        <v>46</v>
      </c>
      <c r="E530" s="12">
        <v>46119</v>
      </c>
      <c r="F530" s="20">
        <f t="shared" si="8"/>
        <v>46113</v>
      </c>
    </row>
    <row r="531" spans="1:6" ht="20.25">
      <c r="A531" s="49"/>
      <c r="B531" s="47" t="s">
        <v>720</v>
      </c>
      <c r="C531" s="47">
        <v>0</v>
      </c>
      <c r="D531" s="47" t="s">
        <v>97</v>
      </c>
      <c r="E531" s="12">
        <v>46119</v>
      </c>
      <c r="F531" s="20">
        <f t="shared" si="8"/>
        <v>46113</v>
      </c>
    </row>
    <row r="532" spans="1:6" ht="20.25">
      <c r="A532" s="49"/>
      <c r="B532" s="47" t="s">
        <v>1357</v>
      </c>
      <c r="C532" s="47">
        <v>201</v>
      </c>
      <c r="D532" s="47" t="s">
        <v>97</v>
      </c>
      <c r="E532" s="12">
        <v>46119</v>
      </c>
      <c r="F532" s="20">
        <f t="shared" si="8"/>
        <v>46113</v>
      </c>
    </row>
    <row r="533" spans="1:6" ht="20.25">
      <c r="A533" s="49"/>
      <c r="B533" s="47" t="s">
        <v>1502</v>
      </c>
      <c r="C533" s="47">
        <v>145</v>
      </c>
      <c r="D533" s="47" t="s">
        <v>97</v>
      </c>
      <c r="E533" s="12">
        <v>46119</v>
      </c>
      <c r="F533" s="20">
        <f t="shared" si="8"/>
        <v>46113</v>
      </c>
    </row>
    <row r="534" spans="1:6" ht="20.25">
      <c r="A534" s="49"/>
      <c r="B534" s="47" t="s">
        <v>732</v>
      </c>
      <c r="C534" s="47">
        <v>58</v>
      </c>
      <c r="D534" s="47" t="s">
        <v>97</v>
      </c>
      <c r="E534" s="12">
        <v>46119</v>
      </c>
      <c r="F534" s="20">
        <f t="shared" si="8"/>
        <v>46113</v>
      </c>
    </row>
    <row r="535" spans="1:6" ht="20.25">
      <c r="A535" s="49"/>
      <c r="B535" s="47" t="s">
        <v>1347</v>
      </c>
      <c r="C535" s="47">
        <v>276</v>
      </c>
      <c r="D535" s="47" t="s">
        <v>97</v>
      </c>
      <c r="E535" s="12">
        <v>46119</v>
      </c>
      <c r="F535" s="20">
        <f t="shared" si="8"/>
        <v>46113</v>
      </c>
    </row>
    <row r="536" spans="1:6" ht="20.25">
      <c r="A536" s="49"/>
      <c r="B536" s="47" t="s">
        <v>630</v>
      </c>
      <c r="C536" s="47">
        <v>79</v>
      </c>
      <c r="D536" s="47" t="s">
        <v>55</v>
      </c>
      <c r="E536" s="12">
        <v>46119</v>
      </c>
      <c r="F536" s="20">
        <f t="shared" si="8"/>
        <v>46113</v>
      </c>
    </row>
    <row r="537" spans="1:6" ht="20.25">
      <c r="A537" s="49"/>
      <c r="B537" s="47" t="s">
        <v>676</v>
      </c>
      <c r="C537" s="47">
        <v>49</v>
      </c>
      <c r="D537" s="47" t="s">
        <v>55</v>
      </c>
      <c r="E537" s="12">
        <v>46119</v>
      </c>
      <c r="F537" s="20">
        <f t="shared" si="8"/>
        <v>46113</v>
      </c>
    </row>
    <row r="538" spans="1:6" ht="20.25">
      <c r="A538" s="49"/>
      <c r="B538" s="47" t="s">
        <v>1441</v>
      </c>
      <c r="C538" s="47">
        <v>51</v>
      </c>
      <c r="D538" s="47" t="s">
        <v>55</v>
      </c>
      <c r="E538" s="12">
        <v>46119</v>
      </c>
      <c r="F538" s="20">
        <f t="shared" si="8"/>
        <v>46113</v>
      </c>
    </row>
    <row r="539" spans="1:6" ht="20.25">
      <c r="A539" s="49"/>
      <c r="B539" s="47" t="s">
        <v>1595</v>
      </c>
      <c r="C539" s="47">
        <v>375</v>
      </c>
      <c r="D539" s="47" t="s">
        <v>95</v>
      </c>
      <c r="E539" s="12">
        <v>46119</v>
      </c>
      <c r="F539" s="20">
        <f t="shared" si="8"/>
        <v>46113</v>
      </c>
    </row>
    <row r="540" spans="1:6" ht="20.25">
      <c r="A540" s="49"/>
      <c r="B540" s="47" t="s">
        <v>781</v>
      </c>
      <c r="C540" s="47">
        <v>135</v>
      </c>
      <c r="D540" s="47" t="s">
        <v>63</v>
      </c>
      <c r="E540" s="12">
        <v>46119</v>
      </c>
      <c r="F540" s="20">
        <f t="shared" si="8"/>
        <v>46113</v>
      </c>
    </row>
    <row r="541" spans="1:6" ht="20.25">
      <c r="A541" s="49"/>
      <c r="B541" s="47" t="s">
        <v>1157</v>
      </c>
      <c r="C541" s="47">
        <v>165</v>
      </c>
      <c r="D541" s="47" t="s">
        <v>63</v>
      </c>
      <c r="E541" s="12">
        <v>46119</v>
      </c>
      <c r="F541" s="20">
        <f t="shared" si="8"/>
        <v>46113</v>
      </c>
    </row>
    <row r="542" spans="1:6" ht="20.25">
      <c r="A542" s="49"/>
      <c r="B542" s="47" t="s">
        <v>822</v>
      </c>
      <c r="C542" s="47">
        <v>263</v>
      </c>
      <c r="D542" s="47" t="s">
        <v>63</v>
      </c>
      <c r="E542" s="12">
        <v>46119</v>
      </c>
      <c r="F542" s="20">
        <f t="shared" si="8"/>
        <v>46113</v>
      </c>
    </row>
    <row r="543" spans="1:6" ht="20.25">
      <c r="A543" s="49"/>
      <c r="B543" s="47" t="s">
        <v>1114</v>
      </c>
      <c r="C543" s="47">
        <v>256</v>
      </c>
      <c r="D543" s="47" t="s">
        <v>72</v>
      </c>
      <c r="E543" s="12">
        <v>46119</v>
      </c>
      <c r="F543" s="20">
        <f t="shared" si="8"/>
        <v>46113</v>
      </c>
    </row>
    <row r="544" spans="1:6" ht="20.25">
      <c r="A544" s="49"/>
      <c r="B544" s="47" t="s">
        <v>1598</v>
      </c>
      <c r="C544" s="47">
        <v>300</v>
      </c>
      <c r="D544" s="47" t="s">
        <v>62</v>
      </c>
      <c r="E544" s="12">
        <v>46119</v>
      </c>
      <c r="F544" s="20">
        <f t="shared" si="8"/>
        <v>46113</v>
      </c>
    </row>
    <row r="545" spans="1:6" ht="20.25">
      <c r="A545" s="49"/>
      <c r="B545" s="47" t="s">
        <v>619</v>
      </c>
      <c r="C545" s="47">
        <v>247</v>
      </c>
      <c r="D545" s="47" t="s">
        <v>95</v>
      </c>
      <c r="E545" s="12">
        <v>46119</v>
      </c>
      <c r="F545" s="20">
        <f t="shared" si="8"/>
        <v>46113</v>
      </c>
    </row>
    <row r="546" spans="1:6" ht="20.25">
      <c r="A546" s="49"/>
      <c r="B546" s="47" t="s">
        <v>1357</v>
      </c>
      <c r="C546" s="47">
        <v>198</v>
      </c>
      <c r="D546" s="47" t="s">
        <v>97</v>
      </c>
      <c r="E546" s="12">
        <v>46119</v>
      </c>
      <c r="F546" s="20">
        <f t="shared" si="8"/>
        <v>46113</v>
      </c>
    </row>
    <row r="547" spans="1:6" ht="20.25">
      <c r="A547" s="49"/>
      <c r="B547" s="47" t="s">
        <v>616</v>
      </c>
      <c r="C547" s="47">
        <v>177</v>
      </c>
      <c r="D547" s="47" t="s">
        <v>82</v>
      </c>
      <c r="E547" s="12">
        <v>46119</v>
      </c>
      <c r="F547" s="20">
        <f t="shared" si="8"/>
        <v>46113</v>
      </c>
    </row>
    <row r="548" spans="1:6" ht="20.25">
      <c r="A548" s="49"/>
      <c r="B548" s="47" t="s">
        <v>1592</v>
      </c>
      <c r="C548" s="47">
        <v>276</v>
      </c>
      <c r="D548" s="47" t="s">
        <v>55</v>
      </c>
      <c r="E548" s="12">
        <v>46119</v>
      </c>
      <c r="F548" s="20">
        <f t="shared" si="8"/>
        <v>46113</v>
      </c>
    </row>
    <row r="549" spans="1:6" ht="20.25">
      <c r="A549" s="49"/>
      <c r="B549" s="47" t="s">
        <v>1599</v>
      </c>
      <c r="C549" s="47">
        <v>945</v>
      </c>
      <c r="D549" s="47" t="s">
        <v>66</v>
      </c>
      <c r="E549" s="12">
        <v>46119</v>
      </c>
      <c r="F549" s="20">
        <f t="shared" si="8"/>
        <v>46113</v>
      </c>
    </row>
    <row r="550" spans="1:6" ht="20.25">
      <c r="A550" s="49"/>
      <c r="B550" s="47" t="s">
        <v>1503</v>
      </c>
      <c r="C550" s="47">
        <v>88</v>
      </c>
      <c r="D550" s="47" t="s">
        <v>55</v>
      </c>
      <c r="E550" s="12">
        <v>46119</v>
      </c>
      <c r="F550" s="20">
        <f t="shared" si="8"/>
        <v>46113</v>
      </c>
    </row>
    <row r="551" spans="1:6" ht="20.25">
      <c r="A551" s="49"/>
      <c r="B551" s="47" t="s">
        <v>1503</v>
      </c>
      <c r="C551" s="47">
        <v>43</v>
      </c>
      <c r="D551" s="47" t="s">
        <v>55</v>
      </c>
      <c r="E551" s="12">
        <v>46119</v>
      </c>
      <c r="F551" s="20">
        <f t="shared" si="8"/>
        <v>46113</v>
      </c>
    </row>
    <row r="552" spans="1:6" ht="20.25">
      <c r="A552" s="49"/>
      <c r="B552" s="47" t="s">
        <v>877</v>
      </c>
      <c r="C552" s="47">
        <v>-2</v>
      </c>
      <c r="D552" s="47" t="s">
        <v>97</v>
      </c>
      <c r="E552" s="12">
        <v>46119</v>
      </c>
      <c r="F552" s="20">
        <f t="shared" si="8"/>
        <v>46113</v>
      </c>
    </row>
    <row r="553" spans="1:6" ht="20.25">
      <c r="A553" s="49"/>
      <c r="B553" s="47" t="s">
        <v>889</v>
      </c>
      <c r="C553" s="47">
        <v>-1</v>
      </c>
      <c r="D553" s="47" t="s">
        <v>46</v>
      </c>
      <c r="E553" s="12">
        <v>46119</v>
      </c>
      <c r="F553" s="20">
        <f t="shared" si="8"/>
        <v>46113</v>
      </c>
    </row>
    <row r="554" spans="1:6" ht="20.25">
      <c r="A554" s="49"/>
      <c r="B554" s="47" t="s">
        <v>1286</v>
      </c>
      <c r="C554" s="47">
        <v>20</v>
      </c>
      <c r="D554" s="47" t="s">
        <v>55</v>
      </c>
      <c r="E554" s="12">
        <v>46119</v>
      </c>
      <c r="F554" s="20">
        <f t="shared" si="8"/>
        <v>46113</v>
      </c>
    </row>
    <row r="555" spans="1:6" ht="20.25">
      <c r="A555" s="49"/>
      <c r="B555" s="47" t="s">
        <v>1107</v>
      </c>
      <c r="C555" s="47">
        <v>60</v>
      </c>
      <c r="D555" s="47" t="s">
        <v>95</v>
      </c>
      <c r="E555" s="12">
        <v>46120</v>
      </c>
      <c r="F555" s="20">
        <f t="shared" si="8"/>
        <v>46113</v>
      </c>
    </row>
    <row r="556" spans="1:6" ht="20.25">
      <c r="A556" s="49"/>
      <c r="B556" s="47" t="s">
        <v>810</v>
      </c>
      <c r="C556" s="47">
        <v>115</v>
      </c>
      <c r="D556" s="47" t="s">
        <v>95</v>
      </c>
      <c r="E556" s="12">
        <v>46120</v>
      </c>
      <c r="F556" s="20">
        <f t="shared" si="8"/>
        <v>46113</v>
      </c>
    </row>
    <row r="557" spans="1:6" ht="20.25">
      <c r="A557" s="49"/>
      <c r="B557" s="47" t="s">
        <v>1247</v>
      </c>
      <c r="C557" s="47">
        <v>121</v>
      </c>
      <c r="D557" s="47" t="s">
        <v>95</v>
      </c>
      <c r="E557" s="12">
        <v>46120</v>
      </c>
      <c r="F557" s="20">
        <f t="shared" si="8"/>
        <v>46113</v>
      </c>
    </row>
    <row r="558" spans="1:6" ht="20.25">
      <c r="A558" s="49"/>
      <c r="B558" s="47" t="s">
        <v>820</v>
      </c>
      <c r="C558" s="47">
        <v>162</v>
      </c>
      <c r="D558" s="47" t="s">
        <v>95</v>
      </c>
      <c r="E558" s="12">
        <v>46120</v>
      </c>
      <c r="F558" s="20">
        <f t="shared" si="8"/>
        <v>46113</v>
      </c>
    </row>
    <row r="559" spans="1:6" ht="20.25">
      <c r="A559" s="49"/>
      <c r="B559" s="47" t="s">
        <v>679</v>
      </c>
      <c r="C559" s="47">
        <v>57</v>
      </c>
      <c r="D559" s="47" t="s">
        <v>95</v>
      </c>
      <c r="E559" s="12">
        <v>46120</v>
      </c>
      <c r="F559" s="20">
        <f t="shared" si="8"/>
        <v>46113</v>
      </c>
    </row>
    <row r="560" spans="1:6" ht="20.25">
      <c r="A560" s="49"/>
      <c r="B560" s="47" t="s">
        <v>1031</v>
      </c>
      <c r="C560" s="47">
        <v>54</v>
      </c>
      <c r="D560" s="47" t="s">
        <v>95</v>
      </c>
      <c r="E560" s="12">
        <v>46120</v>
      </c>
      <c r="F560" s="20">
        <f t="shared" si="8"/>
        <v>46113</v>
      </c>
    </row>
    <row r="561" spans="1:6" ht="20.25">
      <c r="A561" s="49"/>
      <c r="B561" s="47" t="s">
        <v>709</v>
      </c>
      <c r="C561" s="47">
        <v>156</v>
      </c>
      <c r="D561" s="47" t="s">
        <v>66</v>
      </c>
      <c r="E561" s="12">
        <v>46120</v>
      </c>
      <c r="F561" s="20">
        <f t="shared" si="8"/>
        <v>46113</v>
      </c>
    </row>
    <row r="562" spans="1:6" ht="20.25">
      <c r="A562" s="49"/>
      <c r="B562" s="47" t="s">
        <v>1459</v>
      </c>
      <c r="C562" s="47">
        <v>81</v>
      </c>
      <c r="D562" s="47" t="s">
        <v>66</v>
      </c>
      <c r="E562" s="12">
        <v>46120</v>
      </c>
      <c r="F562" s="20">
        <f t="shared" si="8"/>
        <v>46113</v>
      </c>
    </row>
    <row r="563" spans="1:6" ht="20.25">
      <c r="A563" s="49"/>
      <c r="B563" s="47" t="s">
        <v>673</v>
      </c>
      <c r="C563" s="47">
        <v>32</v>
      </c>
      <c r="D563" s="47" t="s">
        <v>66</v>
      </c>
      <c r="E563" s="12">
        <v>46120</v>
      </c>
      <c r="F563" s="20">
        <f t="shared" si="8"/>
        <v>46113</v>
      </c>
    </row>
    <row r="564" spans="1:6" ht="20.25">
      <c r="A564" s="49"/>
      <c r="B564" s="47" t="s">
        <v>1424</v>
      </c>
      <c r="C564" s="47">
        <v>86</v>
      </c>
      <c r="D564" s="47" t="s">
        <v>66</v>
      </c>
      <c r="E564" s="12">
        <v>46120</v>
      </c>
      <c r="F564" s="20">
        <f t="shared" si="8"/>
        <v>46113</v>
      </c>
    </row>
    <row r="565" spans="1:6" ht="20.25">
      <c r="A565" s="49"/>
      <c r="B565" s="47" t="s">
        <v>1368</v>
      </c>
      <c r="C565" s="47">
        <v>9</v>
      </c>
      <c r="D565" s="47" t="s">
        <v>66</v>
      </c>
      <c r="E565" s="12">
        <v>46120</v>
      </c>
      <c r="F565" s="20">
        <f t="shared" si="8"/>
        <v>46113</v>
      </c>
    </row>
    <row r="566" spans="1:6" ht="20.25">
      <c r="A566" s="49"/>
      <c r="B566" s="47" t="s">
        <v>729</v>
      </c>
      <c r="C566" s="47">
        <v>55</v>
      </c>
      <c r="D566" s="47" t="s">
        <v>66</v>
      </c>
      <c r="E566" s="12">
        <v>46120</v>
      </c>
      <c r="F566" s="20">
        <f t="shared" si="8"/>
        <v>46113</v>
      </c>
    </row>
    <row r="567" spans="1:6" ht="20.25">
      <c r="A567" s="49"/>
      <c r="B567" s="47" t="s">
        <v>1433</v>
      </c>
      <c r="C567" s="47">
        <v>139</v>
      </c>
      <c r="D567" s="47" t="s">
        <v>66</v>
      </c>
      <c r="E567" s="12">
        <v>46120</v>
      </c>
      <c r="F567" s="20">
        <f t="shared" si="8"/>
        <v>46113</v>
      </c>
    </row>
    <row r="568" spans="1:6" ht="20.25">
      <c r="A568" s="49"/>
      <c r="B568" s="47" t="s">
        <v>1078</v>
      </c>
      <c r="C568" s="47">
        <v>94</v>
      </c>
      <c r="D568" s="47" t="s">
        <v>66</v>
      </c>
      <c r="E568" s="12">
        <v>46120</v>
      </c>
      <c r="F568" s="20">
        <f t="shared" si="8"/>
        <v>46113</v>
      </c>
    </row>
    <row r="569" spans="1:6" ht="20.25">
      <c r="A569" s="49"/>
      <c r="B569" s="47" t="s">
        <v>607</v>
      </c>
      <c r="C569" s="47">
        <v>187</v>
      </c>
      <c r="D569" s="47" t="s">
        <v>66</v>
      </c>
      <c r="E569" s="12">
        <v>46120</v>
      </c>
      <c r="F569" s="20">
        <f t="shared" si="8"/>
        <v>46113</v>
      </c>
    </row>
    <row r="570" spans="1:6" ht="20.25">
      <c r="A570" s="49"/>
      <c r="B570" s="47" t="s">
        <v>1549</v>
      </c>
      <c r="C570" s="47">
        <v>111</v>
      </c>
      <c r="D570" s="47" t="s">
        <v>66</v>
      </c>
      <c r="E570" s="12">
        <v>46120</v>
      </c>
      <c r="F570" s="20">
        <f t="shared" si="8"/>
        <v>46113</v>
      </c>
    </row>
    <row r="571" spans="1:6" ht="20.25">
      <c r="A571" s="49"/>
      <c r="B571" s="47" t="s">
        <v>1099</v>
      </c>
      <c r="C571" s="47">
        <v>287</v>
      </c>
      <c r="D571" s="47" t="s">
        <v>66</v>
      </c>
      <c r="E571" s="12">
        <v>46120</v>
      </c>
      <c r="F571" s="20">
        <f t="shared" si="8"/>
        <v>46113</v>
      </c>
    </row>
    <row r="572" spans="1:6" ht="20.25">
      <c r="A572" s="49"/>
      <c r="B572" s="47" t="s">
        <v>1099</v>
      </c>
      <c r="C572" s="47">
        <v>353</v>
      </c>
      <c r="D572" s="47" t="s">
        <v>66</v>
      </c>
      <c r="E572" s="12">
        <v>46120</v>
      </c>
      <c r="F572" s="20">
        <f t="shared" si="8"/>
        <v>46113</v>
      </c>
    </row>
    <row r="573" spans="1:6" ht="20.25">
      <c r="A573" s="49"/>
      <c r="B573" s="47" t="s">
        <v>1145</v>
      </c>
      <c r="C573" s="47">
        <v>152</v>
      </c>
      <c r="D573" s="47" t="s">
        <v>95</v>
      </c>
      <c r="E573" s="12">
        <v>46120</v>
      </c>
      <c r="F573" s="20">
        <f t="shared" si="8"/>
        <v>46113</v>
      </c>
    </row>
    <row r="574" spans="1:6" ht="20.25">
      <c r="A574" s="49"/>
      <c r="B574" s="47" t="s">
        <v>966</v>
      </c>
      <c r="C574" s="47">
        <v>109</v>
      </c>
      <c r="D574" s="47" t="s">
        <v>95</v>
      </c>
      <c r="E574" s="12">
        <v>46120</v>
      </c>
      <c r="F574" s="20">
        <f t="shared" si="8"/>
        <v>46113</v>
      </c>
    </row>
    <row r="575" spans="1:6" ht="20.25">
      <c r="A575" s="49"/>
      <c r="B575" s="47" t="s">
        <v>966</v>
      </c>
      <c r="C575" s="47">
        <v>59</v>
      </c>
      <c r="D575" s="47" t="s">
        <v>95</v>
      </c>
      <c r="E575" s="12">
        <v>46120</v>
      </c>
      <c r="F575" s="20">
        <f t="shared" si="8"/>
        <v>46113</v>
      </c>
    </row>
    <row r="576" spans="1:6" ht="20.25">
      <c r="A576" s="49"/>
      <c r="B576" s="47" t="s">
        <v>613</v>
      </c>
      <c r="C576" s="47">
        <v>349</v>
      </c>
      <c r="D576" s="47" t="s">
        <v>63</v>
      </c>
      <c r="E576" s="12">
        <v>46120</v>
      </c>
      <c r="F576" s="20">
        <f t="shared" si="8"/>
        <v>46113</v>
      </c>
    </row>
    <row r="577" spans="1:6" ht="20.25">
      <c r="A577" s="49"/>
      <c r="B577" s="47" t="s">
        <v>1172</v>
      </c>
      <c r="C577" s="47">
        <v>64</v>
      </c>
      <c r="D577" s="47" t="s">
        <v>63</v>
      </c>
      <c r="E577" s="12">
        <v>46120</v>
      </c>
      <c r="F577" s="20">
        <f t="shared" si="8"/>
        <v>46113</v>
      </c>
    </row>
    <row r="578" spans="1:6" ht="20.25">
      <c r="A578" s="49"/>
      <c r="B578" s="47" t="s">
        <v>866</v>
      </c>
      <c r="C578" s="47">
        <v>85</v>
      </c>
      <c r="D578" s="47" t="s">
        <v>63</v>
      </c>
      <c r="E578" s="12">
        <v>46120</v>
      </c>
      <c r="F578" s="20">
        <f t="shared" ref="F578:F641" si="9">EOMONTH(E578,-1)+1</f>
        <v>46113</v>
      </c>
    </row>
    <row r="579" spans="1:6" ht="20.25">
      <c r="A579" s="49"/>
      <c r="B579" s="47" t="s">
        <v>822</v>
      </c>
      <c r="C579" s="47">
        <v>81</v>
      </c>
      <c r="D579" s="47" t="s">
        <v>63</v>
      </c>
      <c r="E579" s="12">
        <v>46120</v>
      </c>
      <c r="F579" s="20">
        <f t="shared" si="9"/>
        <v>46113</v>
      </c>
    </row>
    <row r="580" spans="1:6" ht="20.25">
      <c r="A580" s="49"/>
      <c r="B580" s="47" t="s">
        <v>610</v>
      </c>
      <c r="C580" s="47">
        <v>370</v>
      </c>
      <c r="D580" s="47" t="s">
        <v>63</v>
      </c>
      <c r="E580" s="12">
        <v>46120</v>
      </c>
      <c r="F580" s="20">
        <f t="shared" si="9"/>
        <v>46113</v>
      </c>
    </row>
    <row r="581" spans="1:6" ht="20.25">
      <c r="A581" s="49"/>
      <c r="B581" s="47" t="s">
        <v>1091</v>
      </c>
      <c r="C581" s="47">
        <v>48</v>
      </c>
      <c r="D581" s="47" t="s">
        <v>63</v>
      </c>
      <c r="E581" s="12">
        <v>46120</v>
      </c>
      <c r="F581" s="20">
        <f t="shared" si="9"/>
        <v>46113</v>
      </c>
    </row>
    <row r="582" spans="1:6" ht="20.25">
      <c r="A582" s="49"/>
      <c r="B582" s="47" t="s">
        <v>1091</v>
      </c>
      <c r="C582" s="47">
        <v>74</v>
      </c>
      <c r="D582" s="47" t="s">
        <v>63</v>
      </c>
      <c r="E582" s="12">
        <v>46120</v>
      </c>
      <c r="F582" s="20">
        <f t="shared" si="9"/>
        <v>46113</v>
      </c>
    </row>
    <row r="583" spans="1:6" ht="20.25">
      <c r="A583" s="49"/>
      <c r="B583" s="47" t="s">
        <v>1592</v>
      </c>
      <c r="C583" s="47">
        <v>113</v>
      </c>
      <c r="D583" s="47" t="s">
        <v>133</v>
      </c>
      <c r="E583" s="12">
        <v>46120</v>
      </c>
      <c r="F583" s="20">
        <f t="shared" si="9"/>
        <v>46113</v>
      </c>
    </row>
    <row r="584" spans="1:6" ht="20.25">
      <c r="A584" s="49"/>
      <c r="B584" s="47" t="s">
        <v>1596</v>
      </c>
      <c r="C584" s="47">
        <v>784</v>
      </c>
      <c r="D584" s="47" t="s">
        <v>133</v>
      </c>
      <c r="E584" s="12">
        <v>46120</v>
      </c>
      <c r="F584" s="20">
        <f t="shared" si="9"/>
        <v>46113</v>
      </c>
    </row>
    <row r="585" spans="1:6" ht="20.25">
      <c r="A585" s="49"/>
      <c r="B585" s="47" t="s">
        <v>1594</v>
      </c>
      <c r="C585" s="47">
        <v>95</v>
      </c>
      <c r="D585" s="47" t="s">
        <v>133</v>
      </c>
      <c r="E585" s="12">
        <v>46120</v>
      </c>
      <c r="F585" s="20">
        <f t="shared" si="9"/>
        <v>46113</v>
      </c>
    </row>
    <row r="586" spans="1:6" ht="20.25">
      <c r="A586" s="49"/>
      <c r="B586" s="47" t="s">
        <v>1598</v>
      </c>
      <c r="C586" s="47">
        <v>652</v>
      </c>
      <c r="D586" s="47" t="s">
        <v>133</v>
      </c>
      <c r="E586" s="12">
        <v>46120</v>
      </c>
      <c r="F586" s="20">
        <f t="shared" si="9"/>
        <v>46113</v>
      </c>
    </row>
    <row r="587" spans="1:6" ht="20.25">
      <c r="A587" s="49"/>
      <c r="B587" s="47" t="s">
        <v>641</v>
      </c>
      <c r="C587" s="47">
        <v>157</v>
      </c>
      <c r="D587" s="47" t="s">
        <v>72</v>
      </c>
      <c r="E587" s="12">
        <v>46120</v>
      </c>
      <c r="F587" s="20">
        <f t="shared" si="9"/>
        <v>46113</v>
      </c>
    </row>
    <row r="588" spans="1:6" ht="20.25">
      <c r="A588" s="49"/>
      <c r="B588" s="47" t="s">
        <v>1080</v>
      </c>
      <c r="C588" s="47">
        <v>57</v>
      </c>
      <c r="D588" s="47" t="s">
        <v>72</v>
      </c>
      <c r="E588" s="12">
        <v>46120</v>
      </c>
      <c r="F588" s="20">
        <f t="shared" si="9"/>
        <v>46113</v>
      </c>
    </row>
    <row r="589" spans="1:6" ht="20.25">
      <c r="A589" s="49"/>
      <c r="B589" s="47" t="s">
        <v>996</v>
      </c>
      <c r="C589" s="47">
        <v>460</v>
      </c>
      <c r="D589" s="47" t="s">
        <v>72</v>
      </c>
      <c r="E589" s="12">
        <v>46120</v>
      </c>
      <c r="F589" s="20">
        <f t="shared" si="9"/>
        <v>46113</v>
      </c>
    </row>
    <row r="590" spans="1:6" ht="20.25">
      <c r="A590" s="49"/>
      <c r="B590" s="47" t="s">
        <v>1096</v>
      </c>
      <c r="C590" s="47">
        <v>20</v>
      </c>
      <c r="D590" s="47" t="s">
        <v>72</v>
      </c>
      <c r="E590" s="12">
        <v>46120</v>
      </c>
      <c r="F590" s="20">
        <f t="shared" si="9"/>
        <v>46113</v>
      </c>
    </row>
    <row r="591" spans="1:6" ht="20.25">
      <c r="A591" s="49"/>
      <c r="B591" s="47" t="s">
        <v>894</v>
      </c>
      <c r="C591" s="47">
        <v>30</v>
      </c>
      <c r="D591" s="47" t="s">
        <v>72</v>
      </c>
      <c r="E591" s="12">
        <v>46120</v>
      </c>
      <c r="F591" s="20">
        <f t="shared" si="9"/>
        <v>46113</v>
      </c>
    </row>
    <row r="592" spans="1:6" ht="20.25">
      <c r="A592" s="49"/>
      <c r="B592" s="47" t="s">
        <v>1522</v>
      </c>
      <c r="C592" s="47">
        <v>68</v>
      </c>
      <c r="D592" s="47" t="s">
        <v>72</v>
      </c>
      <c r="E592" s="12">
        <v>46120</v>
      </c>
      <c r="F592" s="20">
        <f t="shared" si="9"/>
        <v>46113</v>
      </c>
    </row>
    <row r="593" spans="1:6" ht="20.25">
      <c r="A593" s="49"/>
      <c r="B593" s="47" t="s">
        <v>640</v>
      </c>
      <c r="C593" s="47">
        <v>384</v>
      </c>
      <c r="D593" s="47" t="s">
        <v>72</v>
      </c>
      <c r="E593" s="12">
        <v>46120</v>
      </c>
      <c r="F593" s="20">
        <f t="shared" si="9"/>
        <v>46113</v>
      </c>
    </row>
    <row r="594" spans="1:6" ht="20.25">
      <c r="A594" s="49"/>
      <c r="B594" s="47" t="s">
        <v>949</v>
      </c>
      <c r="C594" s="47">
        <v>126</v>
      </c>
      <c r="D594" s="47" t="s">
        <v>72</v>
      </c>
      <c r="E594" s="12">
        <v>46120</v>
      </c>
      <c r="F594" s="20">
        <f t="shared" si="9"/>
        <v>46113</v>
      </c>
    </row>
    <row r="595" spans="1:6" ht="20.25">
      <c r="A595" s="49"/>
      <c r="B595" s="47" t="s">
        <v>701</v>
      </c>
      <c r="C595" s="47">
        <v>69</v>
      </c>
      <c r="D595" s="47" t="s">
        <v>72</v>
      </c>
      <c r="E595" s="12">
        <v>46120</v>
      </c>
      <c r="F595" s="20">
        <f t="shared" si="9"/>
        <v>46113</v>
      </c>
    </row>
    <row r="596" spans="1:6" ht="20.25">
      <c r="A596" s="49"/>
      <c r="B596" s="47" t="s">
        <v>1549</v>
      </c>
      <c r="C596" s="47">
        <v>6</v>
      </c>
      <c r="D596" s="47" t="s">
        <v>95</v>
      </c>
      <c r="E596" s="12">
        <v>46120</v>
      </c>
      <c r="F596" s="20">
        <f t="shared" si="9"/>
        <v>46113</v>
      </c>
    </row>
    <row r="597" spans="1:6" ht="20.25">
      <c r="A597" s="49"/>
      <c r="B597" s="47" t="s">
        <v>902</v>
      </c>
      <c r="C597" s="47">
        <v>44</v>
      </c>
      <c r="D597" s="47" t="s">
        <v>95</v>
      </c>
      <c r="E597" s="12">
        <v>46120</v>
      </c>
      <c r="F597" s="20">
        <f t="shared" si="9"/>
        <v>46113</v>
      </c>
    </row>
    <row r="598" spans="1:6" ht="20.25">
      <c r="A598" s="49"/>
      <c r="B598" s="47" t="s">
        <v>1444</v>
      </c>
      <c r="C598" s="47">
        <v>26</v>
      </c>
      <c r="D598" s="47" t="s">
        <v>95</v>
      </c>
      <c r="E598" s="12">
        <v>46120</v>
      </c>
      <c r="F598" s="20">
        <f t="shared" si="9"/>
        <v>46113</v>
      </c>
    </row>
    <row r="599" spans="1:6" ht="20.25">
      <c r="A599" s="49"/>
      <c r="B599" s="47" t="s">
        <v>1592</v>
      </c>
      <c r="C599" s="47">
        <v>321</v>
      </c>
      <c r="D599" s="47" t="s">
        <v>95</v>
      </c>
      <c r="E599" s="12">
        <v>46120</v>
      </c>
      <c r="F599" s="20">
        <f t="shared" si="9"/>
        <v>46113</v>
      </c>
    </row>
    <row r="600" spans="1:6" ht="20.25">
      <c r="A600" s="49"/>
      <c r="B600" s="47" t="s">
        <v>1590</v>
      </c>
      <c r="C600" s="47">
        <v>201</v>
      </c>
      <c r="D600" s="47" t="s">
        <v>95</v>
      </c>
      <c r="E600" s="12">
        <v>46120</v>
      </c>
      <c r="F600" s="20">
        <f t="shared" si="9"/>
        <v>46113</v>
      </c>
    </row>
    <row r="601" spans="1:6" ht="20.25">
      <c r="A601" s="49"/>
      <c r="B601" s="47" t="s">
        <v>675</v>
      </c>
      <c r="C601" s="47">
        <v>32</v>
      </c>
      <c r="D601" s="47" t="s">
        <v>55</v>
      </c>
      <c r="E601" s="12">
        <v>46120</v>
      </c>
      <c r="F601" s="20">
        <f t="shared" si="9"/>
        <v>46113</v>
      </c>
    </row>
    <row r="602" spans="1:6" ht="20.25">
      <c r="A602" s="49"/>
      <c r="B602" s="47" t="s">
        <v>884</v>
      </c>
      <c r="C602" s="47">
        <v>150</v>
      </c>
      <c r="D602" s="47" t="s">
        <v>55</v>
      </c>
      <c r="E602" s="12">
        <v>46120</v>
      </c>
      <c r="F602" s="20">
        <f t="shared" si="9"/>
        <v>46113</v>
      </c>
    </row>
    <row r="603" spans="1:6" ht="20.25">
      <c r="A603" s="49"/>
      <c r="B603" s="47" t="s">
        <v>800</v>
      </c>
      <c r="C603" s="47">
        <v>205</v>
      </c>
      <c r="D603" s="47" t="s">
        <v>55</v>
      </c>
      <c r="E603" s="12">
        <v>46120</v>
      </c>
      <c r="F603" s="20">
        <f t="shared" si="9"/>
        <v>46113</v>
      </c>
    </row>
    <row r="604" spans="1:6" ht="20.25">
      <c r="A604" s="49"/>
      <c r="B604" s="47" t="s">
        <v>800</v>
      </c>
      <c r="C604" s="47">
        <v>288</v>
      </c>
      <c r="D604" s="47" t="s">
        <v>55</v>
      </c>
      <c r="E604" s="12">
        <v>46120</v>
      </c>
      <c r="F604" s="20">
        <f t="shared" si="9"/>
        <v>46113</v>
      </c>
    </row>
    <row r="605" spans="1:6" ht="20.25">
      <c r="A605" s="49"/>
      <c r="B605" s="47" t="s">
        <v>675</v>
      </c>
      <c r="C605" s="47">
        <v>18</v>
      </c>
      <c r="D605" s="47" t="s">
        <v>55</v>
      </c>
      <c r="E605" s="12">
        <v>46120</v>
      </c>
      <c r="F605" s="20">
        <f t="shared" si="9"/>
        <v>46113</v>
      </c>
    </row>
    <row r="606" spans="1:6" ht="20.25">
      <c r="A606" s="49"/>
      <c r="B606" s="47" t="s">
        <v>1286</v>
      </c>
      <c r="C606" s="47">
        <v>54</v>
      </c>
      <c r="D606" s="47" t="s">
        <v>55</v>
      </c>
      <c r="E606" s="12">
        <v>46120</v>
      </c>
      <c r="F606" s="20">
        <f t="shared" si="9"/>
        <v>46113</v>
      </c>
    </row>
    <row r="607" spans="1:6" ht="20.25">
      <c r="A607" s="49"/>
      <c r="B607" s="47" t="s">
        <v>1331</v>
      </c>
      <c r="C607" s="47">
        <v>65</v>
      </c>
      <c r="D607" s="47" t="s">
        <v>55</v>
      </c>
      <c r="E607" s="12">
        <v>46120</v>
      </c>
      <c r="F607" s="20">
        <f t="shared" si="9"/>
        <v>46113</v>
      </c>
    </row>
    <row r="608" spans="1:6" ht="20.25">
      <c r="A608" s="49"/>
      <c r="B608" s="47" t="s">
        <v>947</v>
      </c>
      <c r="C608" s="47">
        <v>64</v>
      </c>
      <c r="D608" s="47" t="s">
        <v>55</v>
      </c>
      <c r="E608" s="12">
        <v>46120</v>
      </c>
      <c r="F608" s="20">
        <f t="shared" si="9"/>
        <v>46113</v>
      </c>
    </row>
    <row r="609" spans="1:6" ht="20.25">
      <c r="A609" s="49"/>
      <c r="B609" s="47" t="s">
        <v>811</v>
      </c>
      <c r="C609" s="47">
        <v>69</v>
      </c>
      <c r="D609" s="47" t="s">
        <v>55</v>
      </c>
      <c r="E609" s="12">
        <v>46120</v>
      </c>
      <c r="F609" s="20">
        <f t="shared" si="9"/>
        <v>46113</v>
      </c>
    </row>
    <row r="610" spans="1:6" ht="20.25">
      <c r="A610" s="49"/>
      <c r="B610" s="47" t="s">
        <v>975</v>
      </c>
      <c r="C610" s="47">
        <v>60</v>
      </c>
      <c r="D610" s="47" t="s">
        <v>55</v>
      </c>
      <c r="E610" s="12">
        <v>46120</v>
      </c>
      <c r="F610" s="20">
        <f t="shared" si="9"/>
        <v>46113</v>
      </c>
    </row>
    <row r="611" spans="1:6" ht="20.25">
      <c r="A611" s="49"/>
      <c r="B611" s="47" t="s">
        <v>777</v>
      </c>
      <c r="C611" s="47">
        <v>261</v>
      </c>
      <c r="D611" s="47" t="s">
        <v>160</v>
      </c>
      <c r="E611" s="12">
        <v>46120</v>
      </c>
      <c r="F611" s="20">
        <f t="shared" si="9"/>
        <v>46113</v>
      </c>
    </row>
    <row r="612" spans="1:6" ht="20.25">
      <c r="A612" s="49"/>
      <c r="B612" s="47" t="s">
        <v>779</v>
      </c>
      <c r="C612" s="47">
        <v>238</v>
      </c>
      <c r="D612" s="47" t="s">
        <v>160</v>
      </c>
      <c r="E612" s="12">
        <v>46120</v>
      </c>
      <c r="F612" s="20">
        <f t="shared" si="9"/>
        <v>46113</v>
      </c>
    </row>
    <row r="613" spans="1:6" ht="20.25">
      <c r="A613" s="49"/>
      <c r="B613" s="47" t="s">
        <v>837</v>
      </c>
      <c r="C613" s="47">
        <v>299</v>
      </c>
      <c r="D613" s="47" t="s">
        <v>160</v>
      </c>
      <c r="E613" s="12">
        <v>46120</v>
      </c>
      <c r="F613" s="20">
        <f t="shared" si="9"/>
        <v>46113</v>
      </c>
    </row>
    <row r="614" spans="1:6" ht="20.25">
      <c r="A614" s="49"/>
      <c r="B614" s="47" t="s">
        <v>950</v>
      </c>
      <c r="C614" s="47">
        <v>17</v>
      </c>
      <c r="D614" s="47" t="s">
        <v>160</v>
      </c>
      <c r="E614" s="12">
        <v>46120</v>
      </c>
      <c r="F614" s="20">
        <f t="shared" si="9"/>
        <v>46113</v>
      </c>
    </row>
    <row r="615" spans="1:6" ht="20.25">
      <c r="A615" s="49"/>
      <c r="B615" s="47" t="s">
        <v>878</v>
      </c>
      <c r="C615" s="47">
        <v>247</v>
      </c>
      <c r="D615" s="47" t="s">
        <v>160</v>
      </c>
      <c r="E615" s="12">
        <v>46120</v>
      </c>
      <c r="F615" s="20">
        <f t="shared" si="9"/>
        <v>46113</v>
      </c>
    </row>
    <row r="616" spans="1:6" ht="20.25">
      <c r="A616" s="49"/>
      <c r="B616" s="47" t="s">
        <v>1267</v>
      </c>
      <c r="C616" s="47">
        <v>357</v>
      </c>
      <c r="D616" s="47" t="s">
        <v>82</v>
      </c>
      <c r="E616" s="12">
        <v>46120</v>
      </c>
      <c r="F616" s="20">
        <f t="shared" si="9"/>
        <v>46113</v>
      </c>
    </row>
    <row r="617" spans="1:6" ht="20.25">
      <c r="A617" s="49"/>
      <c r="B617" s="47" t="s">
        <v>685</v>
      </c>
      <c r="C617" s="47">
        <v>60</v>
      </c>
      <c r="D617" s="47" t="s">
        <v>82</v>
      </c>
      <c r="E617" s="12">
        <v>46120</v>
      </c>
      <c r="F617" s="20">
        <f t="shared" si="9"/>
        <v>46113</v>
      </c>
    </row>
    <row r="618" spans="1:6" ht="20.25">
      <c r="A618" s="49"/>
      <c r="B618" s="47" t="s">
        <v>701</v>
      </c>
      <c r="C618" s="47">
        <v>342</v>
      </c>
      <c r="D618" s="47" t="s">
        <v>82</v>
      </c>
      <c r="E618" s="12">
        <v>46120</v>
      </c>
      <c r="F618" s="20">
        <f t="shared" si="9"/>
        <v>46113</v>
      </c>
    </row>
    <row r="619" spans="1:6" ht="20.25">
      <c r="A619" s="49"/>
      <c r="B619" s="47" t="s">
        <v>684</v>
      </c>
      <c r="C619" s="47">
        <v>191</v>
      </c>
      <c r="D619" s="47" t="s">
        <v>82</v>
      </c>
      <c r="E619" s="12">
        <v>46120</v>
      </c>
      <c r="F619" s="20">
        <f t="shared" si="9"/>
        <v>46113</v>
      </c>
    </row>
    <row r="620" spans="1:6" ht="20.25">
      <c r="A620" s="49"/>
      <c r="B620" s="47" t="s">
        <v>749</v>
      </c>
      <c r="C620" s="47">
        <v>153</v>
      </c>
      <c r="D620" s="47" t="s">
        <v>82</v>
      </c>
      <c r="E620" s="12">
        <v>46120</v>
      </c>
      <c r="F620" s="20">
        <f t="shared" si="9"/>
        <v>46113</v>
      </c>
    </row>
    <row r="621" spans="1:6" ht="20.25">
      <c r="A621" s="49"/>
      <c r="B621" s="47" t="s">
        <v>1099</v>
      </c>
      <c r="C621" s="47">
        <v>317</v>
      </c>
      <c r="D621" s="47" t="s">
        <v>82</v>
      </c>
      <c r="E621" s="12">
        <v>46120</v>
      </c>
      <c r="F621" s="20">
        <f t="shared" si="9"/>
        <v>46113</v>
      </c>
    </row>
    <row r="622" spans="1:6" ht="20.25">
      <c r="A622" s="49"/>
      <c r="B622" s="47" t="s">
        <v>1061</v>
      </c>
      <c r="C622" s="47">
        <v>694</v>
      </c>
      <c r="D622" s="47" t="s">
        <v>82</v>
      </c>
      <c r="E622" s="12">
        <v>46120</v>
      </c>
      <c r="F622" s="20">
        <f t="shared" si="9"/>
        <v>46113</v>
      </c>
    </row>
    <row r="623" spans="1:6" ht="20.25">
      <c r="A623" s="49"/>
      <c r="B623" s="47" t="s">
        <v>1437</v>
      </c>
      <c r="C623" s="47">
        <v>111</v>
      </c>
      <c r="D623" s="47" t="s">
        <v>82</v>
      </c>
      <c r="E623" s="12">
        <v>46120</v>
      </c>
      <c r="F623" s="20">
        <f t="shared" si="9"/>
        <v>46113</v>
      </c>
    </row>
    <row r="624" spans="1:6" ht="20.25">
      <c r="A624" s="49"/>
      <c r="B624" s="47" t="s">
        <v>1595</v>
      </c>
      <c r="C624" s="47">
        <v>6</v>
      </c>
      <c r="D624" s="47" t="s">
        <v>95</v>
      </c>
      <c r="E624" s="12">
        <v>46120</v>
      </c>
      <c r="F624" s="20">
        <f t="shared" si="9"/>
        <v>46113</v>
      </c>
    </row>
    <row r="625" spans="1:6" ht="20.25">
      <c r="A625" s="49"/>
      <c r="B625" s="47" t="s">
        <v>1595</v>
      </c>
      <c r="C625" s="47">
        <v>255</v>
      </c>
      <c r="D625" s="47" t="s">
        <v>95</v>
      </c>
      <c r="E625" s="12">
        <v>46120</v>
      </c>
      <c r="F625" s="20">
        <f t="shared" si="9"/>
        <v>46113</v>
      </c>
    </row>
    <row r="626" spans="1:6" ht="20.25">
      <c r="A626" s="49"/>
      <c r="B626" s="47" t="s">
        <v>650</v>
      </c>
      <c r="C626" s="47">
        <v>72</v>
      </c>
      <c r="D626" s="47" t="s">
        <v>62</v>
      </c>
      <c r="E626" s="12">
        <v>46120</v>
      </c>
      <c r="F626" s="20">
        <f t="shared" si="9"/>
        <v>46113</v>
      </c>
    </row>
    <row r="627" spans="1:6" ht="20.25">
      <c r="A627" s="49"/>
      <c r="B627" s="47" t="s">
        <v>650</v>
      </c>
      <c r="C627" s="47">
        <v>201</v>
      </c>
      <c r="D627" s="47" t="s">
        <v>62</v>
      </c>
      <c r="E627" s="12">
        <v>46120</v>
      </c>
      <c r="F627" s="20">
        <f t="shared" si="9"/>
        <v>46113</v>
      </c>
    </row>
    <row r="628" spans="1:6" ht="20.25">
      <c r="A628" s="49"/>
      <c r="B628" s="47" t="s">
        <v>649</v>
      </c>
      <c r="C628" s="47">
        <v>56</v>
      </c>
      <c r="D628" s="47" t="s">
        <v>62</v>
      </c>
      <c r="E628" s="12">
        <v>46120</v>
      </c>
      <c r="F628" s="20">
        <f t="shared" si="9"/>
        <v>46113</v>
      </c>
    </row>
    <row r="629" spans="1:6" ht="20.25">
      <c r="A629" s="49"/>
      <c r="B629" s="47" t="s">
        <v>1085</v>
      </c>
      <c r="C629" s="47">
        <v>47</v>
      </c>
      <c r="D629" s="47" t="s">
        <v>62</v>
      </c>
      <c r="E629" s="12">
        <v>46120</v>
      </c>
      <c r="F629" s="20">
        <f t="shared" si="9"/>
        <v>46113</v>
      </c>
    </row>
    <row r="630" spans="1:6" ht="20.25">
      <c r="A630" s="49"/>
      <c r="B630" s="47" t="s">
        <v>797</v>
      </c>
      <c r="C630" s="47">
        <v>126</v>
      </c>
      <c r="D630" s="47" t="s">
        <v>62</v>
      </c>
      <c r="E630" s="12">
        <v>46120</v>
      </c>
      <c r="F630" s="20">
        <f t="shared" si="9"/>
        <v>46113</v>
      </c>
    </row>
    <row r="631" spans="1:6" ht="20.25">
      <c r="A631" s="49"/>
      <c r="B631" s="47" t="s">
        <v>1594</v>
      </c>
      <c r="C631" s="47">
        <v>14</v>
      </c>
      <c r="D631" s="47" t="s">
        <v>62</v>
      </c>
      <c r="E631" s="12">
        <v>46120</v>
      </c>
      <c r="F631" s="20">
        <f t="shared" si="9"/>
        <v>46113</v>
      </c>
    </row>
    <row r="632" spans="1:6" ht="20.25">
      <c r="A632" s="49"/>
      <c r="B632" s="47" t="s">
        <v>1598</v>
      </c>
      <c r="C632" s="47">
        <v>25</v>
      </c>
      <c r="D632" s="47" t="s">
        <v>62</v>
      </c>
      <c r="E632" s="12">
        <v>46120</v>
      </c>
      <c r="F632" s="20">
        <f t="shared" si="9"/>
        <v>46113</v>
      </c>
    </row>
    <row r="633" spans="1:6" ht="20.25">
      <c r="A633" s="49"/>
      <c r="B633" s="47" t="s">
        <v>677</v>
      </c>
      <c r="C633" s="47">
        <v>72</v>
      </c>
      <c r="D633" s="47" t="s">
        <v>62</v>
      </c>
      <c r="E633" s="12">
        <v>46120</v>
      </c>
      <c r="F633" s="20">
        <f t="shared" si="9"/>
        <v>46113</v>
      </c>
    </row>
    <row r="634" spans="1:6" ht="20.25">
      <c r="A634" s="49"/>
      <c r="B634" s="47" t="s">
        <v>744</v>
      </c>
      <c r="C634" s="47">
        <v>48</v>
      </c>
      <c r="D634" s="47" t="s">
        <v>62</v>
      </c>
      <c r="E634" s="12">
        <v>46120</v>
      </c>
      <c r="F634" s="20">
        <f t="shared" si="9"/>
        <v>46113</v>
      </c>
    </row>
    <row r="635" spans="1:6" ht="20.25">
      <c r="A635" s="49"/>
      <c r="B635" s="47" t="s">
        <v>1162</v>
      </c>
      <c r="C635" s="47">
        <v>339</v>
      </c>
      <c r="D635" s="47" t="s">
        <v>62</v>
      </c>
      <c r="E635" s="12">
        <v>46120</v>
      </c>
      <c r="F635" s="20">
        <f t="shared" si="9"/>
        <v>46113</v>
      </c>
    </row>
    <row r="636" spans="1:6" ht="20.25">
      <c r="A636" s="49"/>
      <c r="B636" s="47" t="s">
        <v>1119</v>
      </c>
      <c r="C636" s="47">
        <v>67</v>
      </c>
      <c r="D636" s="47" t="s">
        <v>62</v>
      </c>
      <c r="E636" s="12">
        <v>46120</v>
      </c>
      <c r="F636" s="20">
        <f t="shared" si="9"/>
        <v>46113</v>
      </c>
    </row>
    <row r="637" spans="1:6" ht="20.25">
      <c r="A637" s="49"/>
      <c r="B637" s="47" t="s">
        <v>1264</v>
      </c>
      <c r="C637" s="47">
        <v>266</v>
      </c>
      <c r="D637" s="47" t="s">
        <v>62</v>
      </c>
      <c r="E637" s="12">
        <v>46120</v>
      </c>
      <c r="F637" s="20">
        <f t="shared" si="9"/>
        <v>46113</v>
      </c>
    </row>
    <row r="638" spans="1:6" ht="20.25">
      <c r="A638" s="49"/>
      <c r="B638" s="47" t="s">
        <v>1477</v>
      </c>
      <c r="C638" s="47">
        <v>112</v>
      </c>
      <c r="D638" s="47" t="s">
        <v>62</v>
      </c>
      <c r="E638" s="12">
        <v>46120</v>
      </c>
      <c r="F638" s="20">
        <f t="shared" si="9"/>
        <v>46113</v>
      </c>
    </row>
    <row r="639" spans="1:6" ht="20.25">
      <c r="A639" s="49"/>
      <c r="B639" s="47" t="s">
        <v>656</v>
      </c>
      <c r="C639" s="47">
        <v>103</v>
      </c>
      <c r="D639" s="47" t="s">
        <v>62</v>
      </c>
      <c r="E639" s="12">
        <v>46120</v>
      </c>
      <c r="F639" s="20">
        <f t="shared" si="9"/>
        <v>46113</v>
      </c>
    </row>
    <row r="640" spans="1:6" ht="20.25">
      <c r="A640" s="49"/>
      <c r="B640" s="47" t="s">
        <v>711</v>
      </c>
      <c r="C640" s="47">
        <v>233</v>
      </c>
      <c r="D640" s="47" t="s">
        <v>62</v>
      </c>
      <c r="E640" s="12">
        <v>46120</v>
      </c>
      <c r="F640" s="20">
        <f t="shared" si="9"/>
        <v>46113</v>
      </c>
    </row>
    <row r="641" spans="1:6" ht="20.25">
      <c r="A641" s="49"/>
      <c r="B641" s="47" t="s">
        <v>1327</v>
      </c>
      <c r="C641" s="47">
        <v>83</v>
      </c>
      <c r="D641" s="47" t="s">
        <v>62</v>
      </c>
      <c r="E641" s="12">
        <v>46120</v>
      </c>
      <c r="F641" s="20">
        <f t="shared" si="9"/>
        <v>46113</v>
      </c>
    </row>
    <row r="642" spans="1:6" ht="20.25">
      <c r="A642" s="49"/>
      <c r="B642" s="47" t="s">
        <v>1022</v>
      </c>
      <c r="C642" s="47">
        <v>186</v>
      </c>
      <c r="D642" s="47" t="s">
        <v>62</v>
      </c>
      <c r="E642" s="12">
        <v>46120</v>
      </c>
      <c r="F642" s="20">
        <f t="shared" ref="F642:F705" si="10">EOMONTH(E642,-1)+1</f>
        <v>46113</v>
      </c>
    </row>
    <row r="643" spans="1:6" ht="20.25">
      <c r="A643" s="49"/>
      <c r="B643" s="47" t="s">
        <v>938</v>
      </c>
      <c r="C643" s="47">
        <v>209</v>
      </c>
      <c r="D643" s="47" t="s">
        <v>62</v>
      </c>
      <c r="E643" s="12">
        <v>46120</v>
      </c>
      <c r="F643" s="20">
        <f t="shared" si="10"/>
        <v>46113</v>
      </c>
    </row>
    <row r="644" spans="1:6" ht="20.25">
      <c r="A644" s="49"/>
      <c r="B644" s="47" t="s">
        <v>1151</v>
      </c>
      <c r="C644" s="47">
        <v>57</v>
      </c>
      <c r="D644" s="47" t="s">
        <v>95</v>
      </c>
      <c r="E644" s="12">
        <v>46120</v>
      </c>
      <c r="F644" s="20">
        <f t="shared" si="10"/>
        <v>46113</v>
      </c>
    </row>
    <row r="645" spans="1:6" ht="20.25">
      <c r="A645" s="49"/>
      <c r="B645" s="47" t="s">
        <v>646</v>
      </c>
      <c r="C645" s="47">
        <v>490</v>
      </c>
      <c r="D645" s="47" t="s">
        <v>55</v>
      </c>
      <c r="E645" s="12">
        <v>46120</v>
      </c>
      <c r="F645" s="20">
        <f t="shared" si="10"/>
        <v>46113</v>
      </c>
    </row>
    <row r="646" spans="1:6" ht="20.25">
      <c r="A646" s="49"/>
      <c r="B646" s="47" t="s">
        <v>646</v>
      </c>
      <c r="C646" s="47">
        <v>71</v>
      </c>
      <c r="D646" s="47" t="s">
        <v>55</v>
      </c>
      <c r="E646" s="12">
        <v>46120</v>
      </c>
      <c r="F646" s="20">
        <f t="shared" si="10"/>
        <v>46113</v>
      </c>
    </row>
    <row r="647" spans="1:6" ht="20.25">
      <c r="A647" s="49"/>
      <c r="B647" s="47" t="s">
        <v>1116</v>
      </c>
      <c r="C647" s="47">
        <v>28</v>
      </c>
      <c r="D647" s="47" t="s">
        <v>55</v>
      </c>
      <c r="E647" s="12">
        <v>46120</v>
      </c>
      <c r="F647" s="20">
        <f t="shared" si="10"/>
        <v>46113</v>
      </c>
    </row>
    <row r="648" spans="1:6" ht="20.25">
      <c r="A648" s="49"/>
      <c r="B648" s="47" t="s">
        <v>630</v>
      </c>
      <c r="C648" s="47">
        <v>4</v>
      </c>
      <c r="D648" s="47" t="s">
        <v>55</v>
      </c>
      <c r="E648" s="12">
        <v>46120</v>
      </c>
      <c r="F648" s="20">
        <f t="shared" si="10"/>
        <v>46113</v>
      </c>
    </row>
    <row r="649" spans="1:6" ht="20.25">
      <c r="A649" s="49"/>
      <c r="B649" s="47" t="s">
        <v>1148</v>
      </c>
      <c r="C649" s="47">
        <v>620</v>
      </c>
      <c r="D649" s="47" t="s">
        <v>160</v>
      </c>
      <c r="E649" s="12">
        <v>46120</v>
      </c>
      <c r="F649" s="20">
        <f t="shared" si="10"/>
        <v>46113</v>
      </c>
    </row>
    <row r="650" spans="1:6" ht="20.25">
      <c r="A650" s="49"/>
      <c r="B650" s="47" t="s">
        <v>882</v>
      </c>
      <c r="C650" s="47">
        <v>24</v>
      </c>
      <c r="D650" s="47" t="s">
        <v>63</v>
      </c>
      <c r="E650" s="12">
        <v>46120</v>
      </c>
      <c r="F650" s="20">
        <f t="shared" si="10"/>
        <v>46113</v>
      </c>
    </row>
    <row r="651" spans="1:6" ht="20.25">
      <c r="A651" s="49"/>
      <c r="B651" s="47" t="s">
        <v>927</v>
      </c>
      <c r="C651" s="47">
        <v>74</v>
      </c>
      <c r="D651" s="47" t="s">
        <v>63</v>
      </c>
      <c r="E651" s="12">
        <v>46120</v>
      </c>
      <c r="F651" s="20">
        <f t="shared" si="10"/>
        <v>46113</v>
      </c>
    </row>
    <row r="652" spans="1:6" ht="20.25">
      <c r="A652" s="49"/>
      <c r="B652" s="47" t="s">
        <v>1365</v>
      </c>
      <c r="C652" s="47">
        <v>59</v>
      </c>
      <c r="D652" s="47" t="s">
        <v>63</v>
      </c>
      <c r="E652" s="12">
        <v>46120</v>
      </c>
      <c r="F652" s="20">
        <f t="shared" si="10"/>
        <v>46113</v>
      </c>
    </row>
    <row r="653" spans="1:6" ht="20.25">
      <c r="A653" s="49"/>
      <c r="B653" s="47" t="s">
        <v>715</v>
      </c>
      <c r="C653" s="47">
        <v>270</v>
      </c>
      <c r="D653" s="47" t="s">
        <v>63</v>
      </c>
      <c r="E653" s="12">
        <v>46120</v>
      </c>
      <c r="F653" s="20">
        <f t="shared" si="10"/>
        <v>46113</v>
      </c>
    </row>
    <row r="654" spans="1:6" ht="20.25">
      <c r="A654" s="49"/>
      <c r="B654" s="47" t="s">
        <v>715</v>
      </c>
      <c r="C654" s="47">
        <v>96</v>
      </c>
      <c r="D654" s="47" t="s">
        <v>63</v>
      </c>
      <c r="E654" s="12">
        <v>46120</v>
      </c>
      <c r="F654" s="20">
        <f t="shared" si="10"/>
        <v>46113</v>
      </c>
    </row>
    <row r="655" spans="1:6" ht="20.25">
      <c r="A655" s="49"/>
      <c r="B655" s="47" t="s">
        <v>890</v>
      </c>
      <c r="C655" s="47">
        <v>164</v>
      </c>
      <c r="D655" s="47" t="s">
        <v>46</v>
      </c>
      <c r="E655" s="12">
        <v>46120</v>
      </c>
      <c r="F655" s="20">
        <f t="shared" si="10"/>
        <v>46113</v>
      </c>
    </row>
    <row r="656" spans="1:6" ht="20.25">
      <c r="A656" s="49"/>
      <c r="B656" s="47" t="s">
        <v>802</v>
      </c>
      <c r="C656" s="47">
        <v>93</v>
      </c>
      <c r="D656" s="47" t="s">
        <v>46</v>
      </c>
      <c r="E656" s="12">
        <v>46120</v>
      </c>
      <c r="F656" s="20">
        <f t="shared" si="10"/>
        <v>46113</v>
      </c>
    </row>
    <row r="657" spans="1:6" ht="20.25">
      <c r="A657" s="49"/>
      <c r="B657" s="47" t="s">
        <v>1369</v>
      </c>
      <c r="C657" s="47">
        <v>305</v>
      </c>
      <c r="D657" s="47" t="s">
        <v>46</v>
      </c>
      <c r="E657" s="12">
        <v>46120</v>
      </c>
      <c r="F657" s="20">
        <f t="shared" si="10"/>
        <v>46113</v>
      </c>
    </row>
    <row r="658" spans="1:6" ht="20.25">
      <c r="A658" s="49"/>
      <c r="B658" s="47" t="s">
        <v>820</v>
      </c>
      <c r="C658" s="47">
        <v>290</v>
      </c>
      <c r="D658" s="47" t="s">
        <v>46</v>
      </c>
      <c r="E658" s="12">
        <v>46120</v>
      </c>
      <c r="F658" s="20">
        <f t="shared" si="10"/>
        <v>46113</v>
      </c>
    </row>
    <row r="659" spans="1:6" ht="20.25">
      <c r="A659" s="49"/>
      <c r="B659" s="47" t="s">
        <v>950</v>
      </c>
      <c r="C659" s="47">
        <v>140</v>
      </c>
      <c r="D659" s="47" t="s">
        <v>46</v>
      </c>
      <c r="E659" s="12">
        <v>46120</v>
      </c>
      <c r="F659" s="20">
        <f t="shared" si="10"/>
        <v>46113</v>
      </c>
    </row>
    <row r="660" spans="1:6" ht="20.25">
      <c r="A660" s="49"/>
      <c r="B660" s="47" t="s">
        <v>951</v>
      </c>
      <c r="C660" s="47">
        <v>35</v>
      </c>
      <c r="D660" s="47" t="s">
        <v>46</v>
      </c>
      <c r="E660" s="12">
        <v>46120</v>
      </c>
      <c r="F660" s="20">
        <f t="shared" si="10"/>
        <v>46113</v>
      </c>
    </row>
    <row r="661" spans="1:6" ht="20.25">
      <c r="A661" s="49"/>
      <c r="B661" s="47" t="s">
        <v>1340</v>
      </c>
      <c r="C661" s="47">
        <v>20</v>
      </c>
      <c r="D661" s="47" t="s">
        <v>46</v>
      </c>
      <c r="E661" s="12">
        <v>46120</v>
      </c>
      <c r="F661" s="20">
        <f t="shared" si="10"/>
        <v>46113</v>
      </c>
    </row>
    <row r="662" spans="1:6" ht="20.25">
      <c r="A662" s="49"/>
      <c r="B662" s="47" t="s">
        <v>716</v>
      </c>
      <c r="C662" s="47">
        <v>108</v>
      </c>
      <c r="D662" s="47" t="s">
        <v>46</v>
      </c>
      <c r="E662" s="12">
        <v>46120</v>
      </c>
      <c r="F662" s="20">
        <f t="shared" si="10"/>
        <v>46113</v>
      </c>
    </row>
    <row r="663" spans="1:6" ht="20.25">
      <c r="A663" s="49"/>
      <c r="B663" s="47" t="s">
        <v>716</v>
      </c>
      <c r="C663" s="47">
        <v>125</v>
      </c>
      <c r="D663" s="47" t="s">
        <v>46</v>
      </c>
      <c r="E663" s="12">
        <v>46120</v>
      </c>
      <c r="F663" s="20">
        <f t="shared" si="10"/>
        <v>46113</v>
      </c>
    </row>
    <row r="664" spans="1:6" ht="20.25">
      <c r="A664" s="49"/>
      <c r="B664" s="47" t="s">
        <v>1173</v>
      </c>
      <c r="C664" s="47">
        <v>144</v>
      </c>
      <c r="D664" s="47" t="s">
        <v>46</v>
      </c>
      <c r="E664" s="12">
        <v>46120</v>
      </c>
      <c r="F664" s="20">
        <f t="shared" si="10"/>
        <v>46113</v>
      </c>
    </row>
    <row r="665" spans="1:6" ht="20.25">
      <c r="A665" s="49"/>
      <c r="B665" s="47" t="s">
        <v>1173</v>
      </c>
      <c r="C665" s="47">
        <v>70</v>
      </c>
      <c r="D665" s="47" t="s">
        <v>46</v>
      </c>
      <c r="E665" s="12">
        <v>46120</v>
      </c>
      <c r="F665" s="20">
        <f t="shared" si="10"/>
        <v>46113</v>
      </c>
    </row>
    <row r="666" spans="1:6" ht="20.25">
      <c r="A666" s="49"/>
      <c r="B666" s="47" t="s">
        <v>944</v>
      </c>
      <c r="C666" s="47">
        <v>60</v>
      </c>
      <c r="D666" s="47" t="s">
        <v>46</v>
      </c>
      <c r="E666" s="12">
        <v>46120</v>
      </c>
      <c r="F666" s="20">
        <f t="shared" si="10"/>
        <v>46113</v>
      </c>
    </row>
    <row r="667" spans="1:6" ht="20.25">
      <c r="A667" s="49"/>
      <c r="B667" s="47" t="s">
        <v>617</v>
      </c>
      <c r="C667" s="47">
        <v>99</v>
      </c>
      <c r="D667" s="47" t="s">
        <v>46</v>
      </c>
      <c r="E667" s="12">
        <v>46120</v>
      </c>
      <c r="F667" s="20">
        <f t="shared" si="10"/>
        <v>46113</v>
      </c>
    </row>
    <row r="668" spans="1:6" ht="20.25">
      <c r="A668" s="49"/>
      <c r="B668" s="47" t="s">
        <v>879</v>
      </c>
      <c r="C668" s="47">
        <v>183</v>
      </c>
      <c r="D668" s="47" t="s">
        <v>46</v>
      </c>
      <c r="E668" s="12">
        <v>46120</v>
      </c>
      <c r="F668" s="20">
        <f t="shared" si="10"/>
        <v>46113</v>
      </c>
    </row>
    <row r="669" spans="1:6" ht="20.25">
      <c r="A669" s="49"/>
      <c r="B669" s="47" t="s">
        <v>1042</v>
      </c>
      <c r="C669" s="47">
        <v>243</v>
      </c>
      <c r="D669" s="47" t="s">
        <v>46</v>
      </c>
      <c r="E669" s="12">
        <v>46120</v>
      </c>
      <c r="F669" s="20">
        <f t="shared" si="10"/>
        <v>46113</v>
      </c>
    </row>
    <row r="670" spans="1:6" ht="20.25">
      <c r="A670" s="49"/>
      <c r="B670" s="47" t="s">
        <v>683</v>
      </c>
      <c r="C670" s="47">
        <v>264</v>
      </c>
      <c r="D670" s="47" t="s">
        <v>46</v>
      </c>
      <c r="E670" s="12">
        <v>46120</v>
      </c>
      <c r="F670" s="20">
        <f t="shared" si="10"/>
        <v>46113</v>
      </c>
    </row>
    <row r="671" spans="1:6" ht="20.25">
      <c r="A671" s="49"/>
      <c r="B671" s="47" t="s">
        <v>655</v>
      </c>
      <c r="C671" s="47">
        <v>250</v>
      </c>
      <c r="D671" s="47" t="s">
        <v>46</v>
      </c>
      <c r="E671" s="12">
        <v>46120</v>
      </c>
      <c r="F671" s="20">
        <f t="shared" si="10"/>
        <v>46113</v>
      </c>
    </row>
    <row r="672" spans="1:6" ht="20.25">
      <c r="A672" s="49"/>
      <c r="B672" s="47" t="s">
        <v>780</v>
      </c>
      <c r="C672" s="47">
        <v>470</v>
      </c>
      <c r="D672" s="47" t="s">
        <v>46</v>
      </c>
      <c r="E672" s="12">
        <v>46120</v>
      </c>
      <c r="F672" s="20">
        <f t="shared" si="10"/>
        <v>46113</v>
      </c>
    </row>
    <row r="673" spans="1:6" ht="20.25">
      <c r="A673" s="49"/>
      <c r="B673" s="47" t="s">
        <v>734</v>
      </c>
      <c r="C673" s="47">
        <v>65</v>
      </c>
      <c r="D673" s="47" t="s">
        <v>95</v>
      </c>
      <c r="E673" s="12">
        <v>46120</v>
      </c>
      <c r="F673" s="20">
        <f t="shared" si="10"/>
        <v>46113</v>
      </c>
    </row>
    <row r="674" spans="1:6" ht="20.25">
      <c r="A674" s="49"/>
      <c r="B674" s="47" t="s">
        <v>683</v>
      </c>
      <c r="C674" s="47">
        <v>159</v>
      </c>
      <c r="D674" s="47" t="s">
        <v>72</v>
      </c>
      <c r="E674" s="12">
        <v>46120</v>
      </c>
      <c r="F674" s="20">
        <f t="shared" si="10"/>
        <v>46113</v>
      </c>
    </row>
    <row r="675" spans="1:6" ht="20.25">
      <c r="A675" s="49"/>
      <c r="B675" s="47" t="s">
        <v>626</v>
      </c>
      <c r="C675" s="47">
        <v>341</v>
      </c>
      <c r="D675" s="47" t="s">
        <v>72</v>
      </c>
      <c r="E675" s="12">
        <v>46120</v>
      </c>
      <c r="F675" s="20">
        <f t="shared" si="10"/>
        <v>46113</v>
      </c>
    </row>
    <row r="676" spans="1:6" ht="20.25">
      <c r="A676" s="49"/>
      <c r="B676" s="47" t="s">
        <v>626</v>
      </c>
      <c r="C676" s="47">
        <v>52</v>
      </c>
      <c r="D676" s="47" t="s">
        <v>72</v>
      </c>
      <c r="E676" s="12">
        <v>46120</v>
      </c>
      <c r="F676" s="20">
        <f t="shared" si="10"/>
        <v>46113</v>
      </c>
    </row>
    <row r="677" spans="1:6" ht="20.25">
      <c r="A677" s="49"/>
      <c r="B677" s="47" t="s">
        <v>733</v>
      </c>
      <c r="C677" s="47">
        <v>44</v>
      </c>
      <c r="D677" s="47" t="s">
        <v>97</v>
      </c>
      <c r="E677" s="12">
        <v>46120</v>
      </c>
      <c r="F677" s="20">
        <f t="shared" si="10"/>
        <v>46113</v>
      </c>
    </row>
    <row r="678" spans="1:6" ht="20.25">
      <c r="A678" s="49"/>
      <c r="B678" s="47" t="s">
        <v>1426</v>
      </c>
      <c r="C678" s="47">
        <v>146</v>
      </c>
      <c r="D678" s="47" t="s">
        <v>97</v>
      </c>
      <c r="E678" s="12">
        <v>46120</v>
      </c>
      <c r="F678" s="20">
        <f t="shared" si="10"/>
        <v>46113</v>
      </c>
    </row>
    <row r="679" spans="1:6" ht="20.25">
      <c r="A679" s="49"/>
      <c r="B679" s="47" t="s">
        <v>791</v>
      </c>
      <c r="C679" s="47">
        <v>95</v>
      </c>
      <c r="D679" s="47" t="s">
        <v>97</v>
      </c>
      <c r="E679" s="12">
        <v>46120</v>
      </c>
      <c r="F679" s="20">
        <f t="shared" si="10"/>
        <v>46113</v>
      </c>
    </row>
    <row r="680" spans="1:6" ht="20.25">
      <c r="A680" s="49"/>
      <c r="B680" s="47" t="s">
        <v>818</v>
      </c>
      <c r="C680" s="47">
        <v>274</v>
      </c>
      <c r="D680" s="47" t="s">
        <v>97</v>
      </c>
      <c r="E680" s="12">
        <v>46120</v>
      </c>
      <c r="F680" s="20">
        <f t="shared" si="10"/>
        <v>46113</v>
      </c>
    </row>
    <row r="681" spans="1:6" ht="20.25">
      <c r="A681" s="49"/>
      <c r="B681" s="47" t="s">
        <v>1432</v>
      </c>
      <c r="C681" s="47">
        <v>24</v>
      </c>
      <c r="D681" s="47" t="s">
        <v>97</v>
      </c>
      <c r="E681" s="12">
        <v>46120</v>
      </c>
      <c r="F681" s="20">
        <f t="shared" si="10"/>
        <v>46113</v>
      </c>
    </row>
    <row r="682" spans="1:6" ht="20.25">
      <c r="A682" s="49"/>
      <c r="B682" s="47" t="s">
        <v>732</v>
      </c>
      <c r="C682" s="47">
        <v>1</v>
      </c>
      <c r="D682" s="47" t="s">
        <v>97</v>
      </c>
      <c r="E682" s="12">
        <v>46120</v>
      </c>
      <c r="F682" s="20">
        <f t="shared" si="10"/>
        <v>46113</v>
      </c>
    </row>
    <row r="683" spans="1:6" ht="20.25">
      <c r="A683" s="49"/>
      <c r="B683" s="47" t="s">
        <v>976</v>
      </c>
      <c r="C683" s="47">
        <v>166</v>
      </c>
      <c r="D683" s="47" t="s">
        <v>97</v>
      </c>
      <c r="E683" s="12">
        <v>46120</v>
      </c>
      <c r="F683" s="20">
        <f t="shared" si="10"/>
        <v>46113</v>
      </c>
    </row>
    <row r="684" spans="1:6" ht="20.25">
      <c r="A684" s="49"/>
      <c r="B684" s="47" t="s">
        <v>1054</v>
      </c>
      <c r="C684" s="47">
        <v>54</v>
      </c>
      <c r="D684" s="47" t="s">
        <v>160</v>
      </c>
      <c r="E684" s="12">
        <v>46120</v>
      </c>
      <c r="F684" s="20">
        <f t="shared" si="10"/>
        <v>46113</v>
      </c>
    </row>
    <row r="685" spans="1:6" ht="20.25">
      <c r="A685" s="49"/>
      <c r="B685" s="47" t="s">
        <v>1370</v>
      </c>
      <c r="C685" s="47">
        <v>90</v>
      </c>
      <c r="D685" s="47" t="s">
        <v>63</v>
      </c>
      <c r="E685" s="12">
        <v>46120</v>
      </c>
      <c r="F685" s="20">
        <f t="shared" si="10"/>
        <v>46113</v>
      </c>
    </row>
    <row r="686" spans="1:6" ht="20.25">
      <c r="A686" s="49"/>
      <c r="B686" s="47" t="s">
        <v>631</v>
      </c>
      <c r="C686" s="47">
        <v>71</v>
      </c>
      <c r="D686" s="47" t="s">
        <v>63</v>
      </c>
      <c r="E686" s="12">
        <v>46120</v>
      </c>
      <c r="F686" s="20">
        <f t="shared" si="10"/>
        <v>46113</v>
      </c>
    </row>
    <row r="687" spans="1:6" ht="20.25">
      <c r="A687" s="49"/>
      <c r="B687" s="47" t="s">
        <v>626</v>
      </c>
      <c r="C687" s="47">
        <v>226</v>
      </c>
      <c r="D687" s="47" t="s">
        <v>63</v>
      </c>
      <c r="E687" s="12">
        <v>46120</v>
      </c>
      <c r="F687" s="20">
        <f t="shared" si="10"/>
        <v>46113</v>
      </c>
    </row>
    <row r="688" spans="1:6" ht="20.25">
      <c r="A688" s="49"/>
      <c r="B688" s="47" t="s">
        <v>1546</v>
      </c>
      <c r="C688" s="47">
        <v>159</v>
      </c>
      <c r="D688" s="47" t="s">
        <v>63</v>
      </c>
      <c r="E688" s="12">
        <v>46120</v>
      </c>
      <c r="F688" s="20">
        <f t="shared" si="10"/>
        <v>46113</v>
      </c>
    </row>
    <row r="689" spans="1:6" ht="20.25">
      <c r="A689" s="49"/>
      <c r="B689" s="47" t="s">
        <v>814</v>
      </c>
      <c r="C689" s="47">
        <v>48</v>
      </c>
      <c r="D689" s="47" t="s">
        <v>62</v>
      </c>
      <c r="E689" s="12">
        <v>46120</v>
      </c>
      <c r="F689" s="20">
        <f t="shared" si="10"/>
        <v>46113</v>
      </c>
    </row>
    <row r="690" spans="1:6" ht="20.25">
      <c r="A690" s="49"/>
      <c r="B690" s="47" t="s">
        <v>814</v>
      </c>
      <c r="C690" s="47">
        <v>332</v>
      </c>
      <c r="D690" s="47" t="s">
        <v>62</v>
      </c>
      <c r="E690" s="12">
        <v>46120</v>
      </c>
      <c r="F690" s="20">
        <f t="shared" si="10"/>
        <v>46113</v>
      </c>
    </row>
    <row r="691" spans="1:6" ht="20.25">
      <c r="A691" s="49"/>
      <c r="B691" s="47" t="s">
        <v>1136</v>
      </c>
      <c r="C691" s="47">
        <v>460</v>
      </c>
      <c r="D691" s="47" t="s">
        <v>72</v>
      </c>
      <c r="E691" s="12">
        <v>46120</v>
      </c>
      <c r="F691" s="20">
        <f t="shared" si="10"/>
        <v>46113</v>
      </c>
    </row>
    <row r="692" spans="1:6" ht="20.25">
      <c r="A692" s="49"/>
      <c r="B692" s="47" t="s">
        <v>1285</v>
      </c>
      <c r="C692" s="47">
        <v>214</v>
      </c>
      <c r="D692" s="47" t="s">
        <v>97</v>
      </c>
      <c r="E692" s="12">
        <v>46120</v>
      </c>
      <c r="F692" s="20">
        <f t="shared" si="10"/>
        <v>46113</v>
      </c>
    </row>
    <row r="693" spans="1:6" ht="20.25">
      <c r="A693" s="49"/>
      <c r="B693" s="47" t="s">
        <v>1236</v>
      </c>
      <c r="C693" s="47">
        <v>109</v>
      </c>
      <c r="D693" s="47" t="s">
        <v>63</v>
      </c>
      <c r="E693" s="12">
        <v>46120</v>
      </c>
      <c r="F693" s="20">
        <f t="shared" si="10"/>
        <v>46113</v>
      </c>
    </row>
    <row r="694" spans="1:6" ht="20.25">
      <c r="A694" s="49"/>
      <c r="B694" s="47" t="s">
        <v>682</v>
      </c>
      <c r="C694" s="47">
        <v>320</v>
      </c>
      <c r="D694" s="47" t="s">
        <v>133</v>
      </c>
      <c r="E694" s="12">
        <v>46120</v>
      </c>
      <c r="F694" s="20">
        <f t="shared" si="10"/>
        <v>46113</v>
      </c>
    </row>
    <row r="695" spans="1:6" ht="20.25">
      <c r="A695" s="49"/>
      <c r="B695" s="47" t="s">
        <v>1049</v>
      </c>
      <c r="C695" s="47">
        <v>36</v>
      </c>
      <c r="D695" s="47" t="s">
        <v>97</v>
      </c>
      <c r="E695" s="12">
        <v>46120</v>
      </c>
      <c r="F695" s="20">
        <f t="shared" si="10"/>
        <v>46113</v>
      </c>
    </row>
    <row r="696" spans="1:6" ht="20.25">
      <c r="A696" s="49"/>
      <c r="B696" s="47" t="s">
        <v>851</v>
      </c>
      <c r="C696" s="47">
        <v>307</v>
      </c>
      <c r="D696" s="47" t="s">
        <v>82</v>
      </c>
      <c r="E696" s="12">
        <v>46120</v>
      </c>
      <c r="F696" s="20">
        <f t="shared" si="10"/>
        <v>46113</v>
      </c>
    </row>
    <row r="697" spans="1:6" ht="20.25">
      <c r="A697" s="49"/>
      <c r="B697" s="47" t="s">
        <v>676</v>
      </c>
      <c r="C697" s="47">
        <v>351</v>
      </c>
      <c r="D697" s="47" t="s">
        <v>55</v>
      </c>
      <c r="E697" s="12">
        <v>46120</v>
      </c>
      <c r="F697" s="20">
        <f t="shared" si="10"/>
        <v>46113</v>
      </c>
    </row>
    <row r="698" spans="1:6" ht="20.25">
      <c r="A698" s="49"/>
      <c r="B698" s="47" t="s">
        <v>1016</v>
      </c>
      <c r="C698" s="47">
        <v>32</v>
      </c>
      <c r="D698" s="47" t="s">
        <v>55</v>
      </c>
      <c r="E698" s="12">
        <v>46120</v>
      </c>
      <c r="F698" s="20">
        <f t="shared" si="10"/>
        <v>46113</v>
      </c>
    </row>
    <row r="699" spans="1:6" ht="20.25">
      <c r="A699" s="49"/>
      <c r="B699" s="47" t="s">
        <v>1016</v>
      </c>
      <c r="C699" s="47">
        <v>125</v>
      </c>
      <c r="D699" s="47" t="s">
        <v>55</v>
      </c>
      <c r="E699" s="12">
        <v>46120</v>
      </c>
      <c r="F699" s="20">
        <f t="shared" si="10"/>
        <v>46113</v>
      </c>
    </row>
    <row r="700" spans="1:6" ht="20.25">
      <c r="A700" s="49"/>
      <c r="B700" s="47" t="s">
        <v>937</v>
      </c>
      <c r="C700" s="47">
        <v>101</v>
      </c>
      <c r="D700" s="47" t="s">
        <v>55</v>
      </c>
      <c r="E700" s="12">
        <v>46120</v>
      </c>
      <c r="F700" s="20">
        <f t="shared" si="10"/>
        <v>46113</v>
      </c>
    </row>
    <row r="701" spans="1:6" ht="20.25">
      <c r="A701" s="49"/>
      <c r="B701" s="47" t="s">
        <v>765</v>
      </c>
      <c r="C701" s="47">
        <v>45</v>
      </c>
      <c r="D701" s="47" t="s">
        <v>55</v>
      </c>
      <c r="E701" s="12">
        <v>46120</v>
      </c>
      <c r="F701" s="20">
        <f t="shared" si="10"/>
        <v>46113</v>
      </c>
    </row>
    <row r="702" spans="1:6" ht="20.25">
      <c r="A702" s="49"/>
      <c r="B702" s="47" t="s">
        <v>765</v>
      </c>
      <c r="C702" s="47">
        <v>180</v>
      </c>
      <c r="D702" s="47" t="s">
        <v>55</v>
      </c>
      <c r="E702" s="12">
        <v>46120</v>
      </c>
      <c r="F702" s="20">
        <f t="shared" si="10"/>
        <v>46113</v>
      </c>
    </row>
    <row r="703" spans="1:6" ht="20.25">
      <c r="A703" s="49"/>
      <c r="B703" s="47" t="s">
        <v>1099</v>
      </c>
      <c r="C703" s="47">
        <v>550</v>
      </c>
      <c r="D703" s="47" t="s">
        <v>72</v>
      </c>
      <c r="E703" s="12">
        <v>46120</v>
      </c>
      <c r="F703" s="20">
        <f t="shared" si="10"/>
        <v>46113</v>
      </c>
    </row>
    <row r="704" spans="1:6" ht="20.25">
      <c r="A704" s="49"/>
      <c r="B704" s="47" t="s">
        <v>1045</v>
      </c>
      <c r="C704" s="47">
        <v>699</v>
      </c>
      <c r="D704" s="47" t="s">
        <v>114</v>
      </c>
      <c r="E704" s="12">
        <v>46120</v>
      </c>
      <c r="F704" s="20">
        <f t="shared" si="10"/>
        <v>46113</v>
      </c>
    </row>
    <row r="705" spans="1:6" ht="20.25">
      <c r="A705" s="49"/>
      <c r="B705" s="47" t="s">
        <v>1361</v>
      </c>
      <c r="C705" s="47">
        <v>122</v>
      </c>
      <c r="D705" s="47" t="s">
        <v>114</v>
      </c>
      <c r="E705" s="12">
        <v>46120</v>
      </c>
      <c r="F705" s="20">
        <f t="shared" si="10"/>
        <v>46113</v>
      </c>
    </row>
    <row r="706" spans="1:6" ht="20.25">
      <c r="A706" s="49"/>
      <c r="B706" s="47" t="s">
        <v>1361</v>
      </c>
      <c r="C706" s="47">
        <v>44</v>
      </c>
      <c r="D706" s="47" t="s">
        <v>114</v>
      </c>
      <c r="E706" s="12">
        <v>46120</v>
      </c>
      <c r="F706" s="20">
        <f t="shared" ref="F706:F769" si="11">EOMONTH(E706,-1)+1</f>
        <v>46113</v>
      </c>
    </row>
    <row r="707" spans="1:6" ht="20.25">
      <c r="A707" s="49"/>
      <c r="B707" s="47" t="s">
        <v>700</v>
      </c>
      <c r="C707" s="47">
        <v>206</v>
      </c>
      <c r="D707" s="47" t="s">
        <v>114</v>
      </c>
      <c r="E707" s="12">
        <v>46120</v>
      </c>
      <c r="F707" s="20">
        <f t="shared" si="11"/>
        <v>46113</v>
      </c>
    </row>
    <row r="708" spans="1:6" ht="20.25">
      <c r="A708" s="49"/>
      <c r="B708" s="47" t="s">
        <v>1530</v>
      </c>
      <c r="C708" s="47">
        <v>381</v>
      </c>
      <c r="D708" s="47" t="s">
        <v>114</v>
      </c>
      <c r="E708" s="12">
        <v>46120</v>
      </c>
      <c r="F708" s="20">
        <f t="shared" si="11"/>
        <v>46113</v>
      </c>
    </row>
    <row r="709" spans="1:6" ht="20.25">
      <c r="A709" s="49"/>
      <c r="B709" s="47" t="s">
        <v>970</v>
      </c>
      <c r="C709" s="47">
        <v>59</v>
      </c>
      <c r="D709" s="47" t="s">
        <v>114</v>
      </c>
      <c r="E709" s="12">
        <v>46120</v>
      </c>
      <c r="F709" s="20">
        <f t="shared" si="11"/>
        <v>46113</v>
      </c>
    </row>
    <row r="710" spans="1:6" ht="20.25">
      <c r="A710" s="49"/>
      <c r="B710" s="47" t="s">
        <v>850</v>
      </c>
      <c r="C710" s="47">
        <v>227</v>
      </c>
      <c r="D710" s="47" t="s">
        <v>55</v>
      </c>
      <c r="E710" s="12">
        <v>46120</v>
      </c>
      <c r="F710" s="20">
        <f t="shared" si="11"/>
        <v>46113</v>
      </c>
    </row>
    <row r="711" spans="1:6" ht="20.25">
      <c r="A711" s="49"/>
      <c r="B711" s="47" t="s">
        <v>776</v>
      </c>
      <c r="C711" s="47">
        <v>-4</v>
      </c>
      <c r="D711" s="47" t="s">
        <v>97</v>
      </c>
      <c r="E711" s="12">
        <v>46120</v>
      </c>
      <c r="F711" s="20">
        <f t="shared" si="11"/>
        <v>46113</v>
      </c>
    </row>
    <row r="712" spans="1:6" ht="20.25">
      <c r="A712" s="49"/>
      <c r="B712" s="47" t="s">
        <v>841</v>
      </c>
      <c r="C712" s="47">
        <v>78</v>
      </c>
      <c r="D712" s="47" t="s">
        <v>72</v>
      </c>
      <c r="E712" s="12">
        <v>46121</v>
      </c>
      <c r="F712" s="20">
        <f t="shared" si="11"/>
        <v>46113</v>
      </c>
    </row>
    <row r="713" spans="1:6" ht="20.25">
      <c r="A713" s="49"/>
      <c r="B713" s="47" t="s">
        <v>841</v>
      </c>
      <c r="C713" s="47">
        <v>41</v>
      </c>
      <c r="D713" s="47" t="s">
        <v>72</v>
      </c>
      <c r="E713" s="12">
        <v>46121</v>
      </c>
      <c r="F713" s="20">
        <f t="shared" si="11"/>
        <v>46113</v>
      </c>
    </row>
    <row r="714" spans="1:6" ht="20.25">
      <c r="A714" s="49"/>
      <c r="B714" s="47" t="s">
        <v>838</v>
      </c>
      <c r="C714" s="47">
        <v>34</v>
      </c>
      <c r="D714" s="47" t="s">
        <v>72</v>
      </c>
      <c r="E714" s="12">
        <v>46121</v>
      </c>
      <c r="F714" s="20">
        <f t="shared" si="11"/>
        <v>46113</v>
      </c>
    </row>
    <row r="715" spans="1:6" ht="20.25">
      <c r="A715" s="49"/>
      <c r="B715" s="47" t="s">
        <v>841</v>
      </c>
      <c r="C715" s="47">
        <v>53</v>
      </c>
      <c r="D715" s="47" t="s">
        <v>72</v>
      </c>
      <c r="E715" s="12">
        <v>46121</v>
      </c>
      <c r="F715" s="20">
        <f t="shared" si="11"/>
        <v>46113</v>
      </c>
    </row>
    <row r="716" spans="1:6" ht="20.25">
      <c r="A716" s="49"/>
      <c r="B716" s="47" t="s">
        <v>919</v>
      </c>
      <c r="C716" s="47">
        <v>268</v>
      </c>
      <c r="D716" s="47" t="s">
        <v>72</v>
      </c>
      <c r="E716" s="12">
        <v>46121</v>
      </c>
      <c r="F716" s="20">
        <f t="shared" si="11"/>
        <v>46113</v>
      </c>
    </row>
    <row r="717" spans="1:6" ht="20.25">
      <c r="A717" s="49"/>
      <c r="B717" s="47" t="s">
        <v>1128</v>
      </c>
      <c r="C717" s="47">
        <v>43</v>
      </c>
      <c r="D717" s="47" t="s">
        <v>72</v>
      </c>
      <c r="E717" s="12">
        <v>46121</v>
      </c>
      <c r="F717" s="20">
        <f t="shared" si="11"/>
        <v>46113</v>
      </c>
    </row>
    <row r="718" spans="1:6" ht="20.25">
      <c r="A718" s="49"/>
      <c r="B718" s="47" t="s">
        <v>872</v>
      </c>
      <c r="C718" s="47">
        <v>45</v>
      </c>
      <c r="D718" s="47" t="s">
        <v>72</v>
      </c>
      <c r="E718" s="12">
        <v>46121</v>
      </c>
      <c r="F718" s="20">
        <f t="shared" si="11"/>
        <v>46113</v>
      </c>
    </row>
    <row r="719" spans="1:6" ht="20.25">
      <c r="A719" s="49"/>
      <c r="B719" s="47" t="s">
        <v>978</v>
      </c>
      <c r="C719" s="47">
        <v>86</v>
      </c>
      <c r="D719" s="47" t="s">
        <v>72</v>
      </c>
      <c r="E719" s="12">
        <v>46121</v>
      </c>
      <c r="F719" s="20">
        <f t="shared" si="11"/>
        <v>46113</v>
      </c>
    </row>
    <row r="720" spans="1:6" ht="20.25">
      <c r="A720" s="49"/>
      <c r="B720" s="47" t="s">
        <v>1593</v>
      </c>
      <c r="C720" s="47">
        <v>9</v>
      </c>
      <c r="D720" s="47" t="s">
        <v>72</v>
      </c>
      <c r="E720" s="12">
        <v>46121</v>
      </c>
      <c r="F720" s="20">
        <f t="shared" si="11"/>
        <v>46113</v>
      </c>
    </row>
    <row r="721" spans="1:6" ht="20.25">
      <c r="A721" s="49"/>
      <c r="B721" s="47" t="s">
        <v>1099</v>
      </c>
      <c r="C721" s="47">
        <v>98</v>
      </c>
      <c r="D721" s="47" t="s">
        <v>72</v>
      </c>
      <c r="E721" s="12">
        <v>46121</v>
      </c>
      <c r="F721" s="20">
        <f t="shared" si="11"/>
        <v>46113</v>
      </c>
    </row>
    <row r="722" spans="1:6" ht="20.25">
      <c r="A722" s="49"/>
      <c r="B722" s="47" t="s">
        <v>1099</v>
      </c>
      <c r="C722" s="47">
        <v>420</v>
      </c>
      <c r="D722" s="47" t="s">
        <v>72</v>
      </c>
      <c r="E722" s="12">
        <v>46121</v>
      </c>
      <c r="F722" s="20">
        <f t="shared" si="11"/>
        <v>46113</v>
      </c>
    </row>
    <row r="723" spans="1:6" ht="20.25">
      <c r="A723" s="49"/>
      <c r="B723" s="47" t="s">
        <v>684</v>
      </c>
      <c r="C723" s="47">
        <v>126</v>
      </c>
      <c r="D723" s="47" t="s">
        <v>72</v>
      </c>
      <c r="E723" s="12">
        <v>46121</v>
      </c>
      <c r="F723" s="20">
        <f t="shared" si="11"/>
        <v>46113</v>
      </c>
    </row>
    <row r="724" spans="1:6" ht="20.25">
      <c r="A724" s="49"/>
      <c r="B724" s="47" t="s">
        <v>760</v>
      </c>
      <c r="C724" s="47">
        <v>46</v>
      </c>
      <c r="D724" s="47" t="s">
        <v>114</v>
      </c>
      <c r="E724" s="12">
        <v>46121</v>
      </c>
      <c r="F724" s="20">
        <f t="shared" si="11"/>
        <v>46113</v>
      </c>
    </row>
    <row r="725" spans="1:6" ht="20.25">
      <c r="A725" s="49"/>
      <c r="B725" s="47" t="s">
        <v>793</v>
      </c>
      <c r="C725" s="47">
        <v>187</v>
      </c>
      <c r="D725" s="47" t="s">
        <v>114</v>
      </c>
      <c r="E725" s="12">
        <v>46121</v>
      </c>
      <c r="F725" s="20">
        <f t="shared" si="11"/>
        <v>46113</v>
      </c>
    </row>
    <row r="726" spans="1:6" ht="20.25">
      <c r="A726" s="49"/>
      <c r="B726" s="47" t="s">
        <v>1254</v>
      </c>
      <c r="C726" s="47">
        <v>32</v>
      </c>
      <c r="D726" s="47" t="s">
        <v>114</v>
      </c>
      <c r="E726" s="12">
        <v>46121</v>
      </c>
      <c r="F726" s="20">
        <f t="shared" si="11"/>
        <v>46113</v>
      </c>
    </row>
    <row r="727" spans="1:6" ht="20.25">
      <c r="A727" s="49"/>
      <c r="B727" s="47" t="s">
        <v>1530</v>
      </c>
      <c r="C727" s="47">
        <v>3</v>
      </c>
      <c r="D727" s="47" t="s">
        <v>114</v>
      </c>
      <c r="E727" s="12">
        <v>46121</v>
      </c>
      <c r="F727" s="20">
        <f t="shared" si="11"/>
        <v>46113</v>
      </c>
    </row>
    <row r="728" spans="1:6" ht="20.25">
      <c r="A728" s="49"/>
      <c r="B728" s="47" t="s">
        <v>960</v>
      </c>
      <c r="C728" s="47">
        <v>168</v>
      </c>
      <c r="D728" s="47" t="s">
        <v>114</v>
      </c>
      <c r="E728" s="12">
        <v>46121</v>
      </c>
      <c r="F728" s="20">
        <f t="shared" si="11"/>
        <v>46113</v>
      </c>
    </row>
    <row r="729" spans="1:6" ht="20.25">
      <c r="A729" s="49"/>
      <c r="B729" s="47" t="s">
        <v>818</v>
      </c>
      <c r="C729" s="47">
        <v>266</v>
      </c>
      <c r="D729" s="47" t="s">
        <v>114</v>
      </c>
      <c r="E729" s="12">
        <v>46121</v>
      </c>
      <c r="F729" s="20">
        <f t="shared" si="11"/>
        <v>46113</v>
      </c>
    </row>
    <row r="730" spans="1:6" ht="20.25">
      <c r="A730" s="49"/>
      <c r="B730" s="47" t="s">
        <v>847</v>
      </c>
      <c r="C730" s="47">
        <v>38</v>
      </c>
      <c r="D730" s="47" t="s">
        <v>114</v>
      </c>
      <c r="E730" s="12">
        <v>46121</v>
      </c>
      <c r="F730" s="20">
        <f t="shared" si="11"/>
        <v>46113</v>
      </c>
    </row>
    <row r="731" spans="1:6" ht="20.25">
      <c r="A731" s="49"/>
      <c r="B731" s="47" t="s">
        <v>1361</v>
      </c>
      <c r="C731" s="47">
        <v>132</v>
      </c>
      <c r="D731" s="47" t="s">
        <v>114</v>
      </c>
      <c r="E731" s="12">
        <v>46121</v>
      </c>
      <c r="F731" s="20">
        <f t="shared" si="11"/>
        <v>46113</v>
      </c>
    </row>
    <row r="732" spans="1:6" ht="20.25">
      <c r="A732" s="49"/>
      <c r="B732" s="47" t="s">
        <v>846</v>
      </c>
      <c r="C732" s="47">
        <v>97</v>
      </c>
      <c r="D732" s="47" t="s">
        <v>114</v>
      </c>
      <c r="E732" s="12">
        <v>46121</v>
      </c>
      <c r="F732" s="20">
        <f t="shared" si="11"/>
        <v>46113</v>
      </c>
    </row>
    <row r="733" spans="1:6" ht="20.25">
      <c r="A733" s="49"/>
      <c r="B733" s="47" t="s">
        <v>1054</v>
      </c>
      <c r="C733" s="47">
        <v>96</v>
      </c>
      <c r="D733" s="47" t="s">
        <v>160</v>
      </c>
      <c r="E733" s="12">
        <v>46121</v>
      </c>
      <c r="F733" s="20">
        <f t="shared" si="11"/>
        <v>46113</v>
      </c>
    </row>
    <row r="734" spans="1:6" ht="20.25">
      <c r="A734" s="49"/>
      <c r="B734" s="47" t="s">
        <v>1054</v>
      </c>
      <c r="C734" s="47">
        <v>18</v>
      </c>
      <c r="D734" s="47" t="s">
        <v>160</v>
      </c>
      <c r="E734" s="12">
        <v>46121</v>
      </c>
      <c r="F734" s="20">
        <f t="shared" si="11"/>
        <v>46113</v>
      </c>
    </row>
    <row r="735" spans="1:6" ht="20.25">
      <c r="A735" s="49"/>
      <c r="B735" s="47" t="s">
        <v>604</v>
      </c>
      <c r="C735" s="47">
        <v>20</v>
      </c>
      <c r="D735" s="47" t="s">
        <v>160</v>
      </c>
      <c r="E735" s="12">
        <v>46121</v>
      </c>
      <c r="F735" s="20">
        <f t="shared" si="11"/>
        <v>46113</v>
      </c>
    </row>
    <row r="736" spans="1:6" ht="20.25">
      <c r="A736" s="49"/>
      <c r="B736" s="47" t="s">
        <v>1140</v>
      </c>
      <c r="C736" s="47">
        <v>154</v>
      </c>
      <c r="D736" s="47" t="s">
        <v>160</v>
      </c>
      <c r="E736" s="12">
        <v>46121</v>
      </c>
      <c r="F736" s="20">
        <f t="shared" si="11"/>
        <v>46113</v>
      </c>
    </row>
    <row r="737" spans="1:6" ht="20.25">
      <c r="A737" s="49"/>
      <c r="B737" s="47" t="s">
        <v>648</v>
      </c>
      <c r="C737" s="47">
        <v>44</v>
      </c>
      <c r="D737" s="47" t="s">
        <v>160</v>
      </c>
      <c r="E737" s="12">
        <v>46121</v>
      </c>
      <c r="F737" s="20">
        <f t="shared" si="11"/>
        <v>46113</v>
      </c>
    </row>
    <row r="738" spans="1:6" ht="20.25">
      <c r="A738" s="49"/>
      <c r="B738" s="47" t="s">
        <v>1148</v>
      </c>
      <c r="C738" s="47">
        <v>9</v>
      </c>
      <c r="D738" s="47" t="s">
        <v>160</v>
      </c>
      <c r="E738" s="12">
        <v>46121</v>
      </c>
      <c r="F738" s="20">
        <f t="shared" si="11"/>
        <v>46113</v>
      </c>
    </row>
    <row r="739" spans="1:6" ht="20.25">
      <c r="A739" s="49"/>
      <c r="B739" s="47" t="s">
        <v>1054</v>
      </c>
      <c r="C739" s="47">
        <v>63</v>
      </c>
      <c r="D739" s="47" t="s">
        <v>160</v>
      </c>
      <c r="E739" s="12">
        <v>46121</v>
      </c>
      <c r="F739" s="20">
        <f t="shared" si="11"/>
        <v>46113</v>
      </c>
    </row>
    <row r="740" spans="1:6" ht="20.25">
      <c r="A740" s="49"/>
      <c r="B740" s="47" t="s">
        <v>617</v>
      </c>
      <c r="C740" s="47">
        <v>255</v>
      </c>
      <c r="D740" s="47" t="s">
        <v>72</v>
      </c>
      <c r="E740" s="12">
        <v>46121</v>
      </c>
      <c r="F740" s="20">
        <f t="shared" si="11"/>
        <v>46113</v>
      </c>
    </row>
    <row r="741" spans="1:6" ht="20.25">
      <c r="A741" s="49"/>
      <c r="B741" s="47" t="s">
        <v>1592</v>
      </c>
      <c r="C741" s="47">
        <v>6</v>
      </c>
      <c r="D741" s="47" t="s">
        <v>95</v>
      </c>
      <c r="E741" s="12">
        <v>46121</v>
      </c>
      <c r="F741" s="20">
        <f t="shared" si="11"/>
        <v>46113</v>
      </c>
    </row>
    <row r="742" spans="1:6" ht="20.25">
      <c r="A742" s="49"/>
      <c r="B742" s="47" t="s">
        <v>1590</v>
      </c>
      <c r="C742" s="47">
        <v>3</v>
      </c>
      <c r="D742" s="47" t="s">
        <v>95</v>
      </c>
      <c r="E742" s="12">
        <v>46121</v>
      </c>
      <c r="F742" s="20">
        <f t="shared" si="11"/>
        <v>46113</v>
      </c>
    </row>
    <row r="743" spans="1:6" ht="20.25">
      <c r="A743" s="49"/>
      <c r="B743" s="47" t="s">
        <v>871</v>
      </c>
      <c r="C743" s="47">
        <v>92</v>
      </c>
      <c r="D743" s="47" t="s">
        <v>95</v>
      </c>
      <c r="E743" s="12">
        <v>46121</v>
      </c>
      <c r="F743" s="20">
        <f t="shared" si="11"/>
        <v>46113</v>
      </c>
    </row>
    <row r="744" spans="1:6" ht="20.25">
      <c r="A744" s="49"/>
      <c r="B744" s="47" t="s">
        <v>813</v>
      </c>
      <c r="C744" s="47">
        <v>105</v>
      </c>
      <c r="D744" s="47" t="s">
        <v>95</v>
      </c>
      <c r="E744" s="12">
        <v>46121</v>
      </c>
      <c r="F744" s="20">
        <f t="shared" si="11"/>
        <v>46113</v>
      </c>
    </row>
    <row r="745" spans="1:6" ht="20.25">
      <c r="A745" s="49"/>
      <c r="B745" s="47" t="s">
        <v>939</v>
      </c>
      <c r="C745" s="47">
        <v>70</v>
      </c>
      <c r="D745" s="47" t="s">
        <v>95</v>
      </c>
      <c r="E745" s="12">
        <v>46121</v>
      </c>
      <c r="F745" s="20">
        <f t="shared" si="11"/>
        <v>46113</v>
      </c>
    </row>
    <row r="746" spans="1:6" ht="20.25">
      <c r="A746" s="49"/>
      <c r="B746" s="47" t="s">
        <v>1151</v>
      </c>
      <c r="C746" s="47">
        <v>45</v>
      </c>
      <c r="D746" s="47" t="s">
        <v>95</v>
      </c>
      <c r="E746" s="12">
        <v>46121</v>
      </c>
      <c r="F746" s="20">
        <f t="shared" si="11"/>
        <v>46113</v>
      </c>
    </row>
    <row r="747" spans="1:6" ht="20.25">
      <c r="A747" s="49"/>
      <c r="B747" s="47" t="s">
        <v>1066</v>
      </c>
      <c r="C747" s="47">
        <v>53</v>
      </c>
      <c r="D747" s="47" t="s">
        <v>95</v>
      </c>
      <c r="E747" s="12">
        <v>46121</v>
      </c>
      <c r="F747" s="20">
        <f t="shared" si="11"/>
        <v>46113</v>
      </c>
    </row>
    <row r="748" spans="1:6" ht="20.25">
      <c r="A748" s="49"/>
      <c r="B748" s="47" t="s">
        <v>1033</v>
      </c>
      <c r="C748" s="47">
        <v>27</v>
      </c>
      <c r="D748" s="47" t="s">
        <v>95</v>
      </c>
      <c r="E748" s="12">
        <v>46121</v>
      </c>
      <c r="F748" s="20">
        <f t="shared" si="11"/>
        <v>46113</v>
      </c>
    </row>
    <row r="749" spans="1:6" ht="20.25">
      <c r="A749" s="49"/>
      <c r="B749" s="47" t="s">
        <v>1123</v>
      </c>
      <c r="C749" s="47">
        <v>35</v>
      </c>
      <c r="D749" s="47" t="s">
        <v>95</v>
      </c>
      <c r="E749" s="12">
        <v>46121</v>
      </c>
      <c r="F749" s="20">
        <f t="shared" si="11"/>
        <v>46113</v>
      </c>
    </row>
    <row r="750" spans="1:6" ht="20.25">
      <c r="A750" s="49"/>
      <c r="B750" s="47" t="s">
        <v>1322</v>
      </c>
      <c r="C750" s="47">
        <v>31</v>
      </c>
      <c r="D750" s="47" t="s">
        <v>95</v>
      </c>
      <c r="E750" s="12">
        <v>46121</v>
      </c>
      <c r="F750" s="20">
        <f t="shared" si="11"/>
        <v>46113</v>
      </c>
    </row>
    <row r="751" spans="1:6" ht="20.25">
      <c r="A751" s="49"/>
      <c r="B751" s="47" t="s">
        <v>844</v>
      </c>
      <c r="C751" s="47">
        <v>95</v>
      </c>
      <c r="D751" s="47" t="s">
        <v>95</v>
      </c>
      <c r="E751" s="12">
        <v>46121</v>
      </c>
      <c r="F751" s="20">
        <f t="shared" si="11"/>
        <v>46113</v>
      </c>
    </row>
    <row r="752" spans="1:6" ht="20.25">
      <c r="A752" s="49"/>
      <c r="B752" s="47" t="s">
        <v>734</v>
      </c>
      <c r="C752" s="47">
        <v>2</v>
      </c>
      <c r="D752" s="47" t="s">
        <v>95</v>
      </c>
      <c r="E752" s="12">
        <v>46121</v>
      </c>
      <c r="F752" s="20">
        <f t="shared" si="11"/>
        <v>46113</v>
      </c>
    </row>
    <row r="753" spans="1:6" ht="20.25">
      <c r="A753" s="49"/>
      <c r="B753" s="47" t="s">
        <v>735</v>
      </c>
      <c r="C753" s="47">
        <v>284</v>
      </c>
      <c r="D753" s="47" t="s">
        <v>66</v>
      </c>
      <c r="E753" s="12">
        <v>46121</v>
      </c>
      <c r="F753" s="20">
        <f t="shared" si="11"/>
        <v>46113</v>
      </c>
    </row>
    <row r="754" spans="1:6" ht="20.25">
      <c r="A754" s="49"/>
      <c r="B754" s="47" t="s">
        <v>1549</v>
      </c>
      <c r="C754" s="47">
        <v>927</v>
      </c>
      <c r="D754" s="47" t="s">
        <v>66</v>
      </c>
      <c r="E754" s="12">
        <v>46121</v>
      </c>
      <c r="F754" s="20">
        <f t="shared" si="11"/>
        <v>46113</v>
      </c>
    </row>
    <row r="755" spans="1:6" ht="20.25">
      <c r="A755" s="49"/>
      <c r="B755" s="47" t="s">
        <v>1599</v>
      </c>
      <c r="C755" s="47">
        <v>45</v>
      </c>
      <c r="D755" s="47" t="s">
        <v>66</v>
      </c>
      <c r="E755" s="12">
        <v>46121</v>
      </c>
      <c r="F755" s="20">
        <f t="shared" si="11"/>
        <v>46113</v>
      </c>
    </row>
    <row r="756" spans="1:6" ht="20.25">
      <c r="A756" s="49"/>
      <c r="B756" s="47" t="s">
        <v>936</v>
      </c>
      <c r="C756" s="47">
        <v>31</v>
      </c>
      <c r="D756" s="47" t="s">
        <v>66</v>
      </c>
      <c r="E756" s="12">
        <v>46121</v>
      </c>
      <c r="F756" s="20">
        <f t="shared" si="11"/>
        <v>46113</v>
      </c>
    </row>
    <row r="757" spans="1:6" ht="20.25">
      <c r="A757" s="49"/>
      <c r="B757" s="47" t="s">
        <v>1471</v>
      </c>
      <c r="C757" s="47">
        <v>134</v>
      </c>
      <c r="D757" s="47" t="s">
        <v>66</v>
      </c>
      <c r="E757" s="12">
        <v>46121</v>
      </c>
      <c r="F757" s="20">
        <f t="shared" si="11"/>
        <v>46113</v>
      </c>
    </row>
    <row r="758" spans="1:6" ht="20.25">
      <c r="A758" s="49"/>
      <c r="B758" s="47" t="s">
        <v>702</v>
      </c>
      <c r="C758" s="47">
        <v>349</v>
      </c>
      <c r="D758" s="47" t="s">
        <v>66</v>
      </c>
      <c r="E758" s="12">
        <v>46121</v>
      </c>
      <c r="F758" s="20">
        <f t="shared" si="11"/>
        <v>46113</v>
      </c>
    </row>
    <row r="759" spans="1:6" ht="20.25">
      <c r="A759" s="49"/>
      <c r="B759" s="47" t="s">
        <v>1549</v>
      </c>
      <c r="C759" s="47">
        <v>15</v>
      </c>
      <c r="D759" s="47" t="s">
        <v>66</v>
      </c>
      <c r="E759" s="12">
        <v>46121</v>
      </c>
      <c r="F759" s="20">
        <f t="shared" si="11"/>
        <v>46113</v>
      </c>
    </row>
    <row r="760" spans="1:6" ht="20.25">
      <c r="A760" s="49"/>
      <c r="B760" s="47" t="s">
        <v>984</v>
      </c>
      <c r="C760" s="47">
        <v>30</v>
      </c>
      <c r="D760" s="47" t="s">
        <v>66</v>
      </c>
      <c r="E760" s="12">
        <v>46121</v>
      </c>
      <c r="F760" s="20">
        <f t="shared" si="11"/>
        <v>46113</v>
      </c>
    </row>
    <row r="761" spans="1:6" ht="20.25">
      <c r="A761" s="49"/>
      <c r="B761" s="47" t="s">
        <v>1342</v>
      </c>
      <c r="C761" s="47">
        <v>65</v>
      </c>
      <c r="D761" s="47" t="s">
        <v>66</v>
      </c>
      <c r="E761" s="12">
        <v>46121</v>
      </c>
      <c r="F761" s="20">
        <f t="shared" si="11"/>
        <v>46113</v>
      </c>
    </row>
    <row r="762" spans="1:6" ht="20.25">
      <c r="A762" s="49"/>
      <c r="B762" s="47" t="s">
        <v>1120</v>
      </c>
      <c r="C762" s="47">
        <v>29</v>
      </c>
      <c r="D762" s="47" t="s">
        <v>66</v>
      </c>
      <c r="E762" s="12">
        <v>46121</v>
      </c>
      <c r="F762" s="20">
        <f t="shared" si="11"/>
        <v>46113</v>
      </c>
    </row>
    <row r="763" spans="1:6" ht="20.25">
      <c r="A763" s="49"/>
      <c r="B763" s="47" t="s">
        <v>850</v>
      </c>
      <c r="C763" s="47">
        <v>32</v>
      </c>
      <c r="D763" s="47" t="s">
        <v>55</v>
      </c>
      <c r="E763" s="12">
        <v>46121</v>
      </c>
      <c r="F763" s="20">
        <f t="shared" si="11"/>
        <v>46113</v>
      </c>
    </row>
    <row r="764" spans="1:6" ht="20.25">
      <c r="A764" s="49"/>
      <c r="B764" s="47" t="s">
        <v>627</v>
      </c>
      <c r="C764" s="47">
        <v>96</v>
      </c>
      <c r="D764" s="47" t="s">
        <v>55</v>
      </c>
      <c r="E764" s="12">
        <v>46121</v>
      </c>
      <c r="F764" s="20">
        <f t="shared" si="11"/>
        <v>46113</v>
      </c>
    </row>
    <row r="765" spans="1:6" ht="20.25">
      <c r="A765" s="49"/>
      <c r="B765" s="47" t="s">
        <v>1267</v>
      </c>
      <c r="C765" s="47">
        <v>500</v>
      </c>
      <c r="D765" s="47" t="s">
        <v>55</v>
      </c>
      <c r="E765" s="12">
        <v>46121</v>
      </c>
      <c r="F765" s="20">
        <f t="shared" si="11"/>
        <v>46113</v>
      </c>
    </row>
    <row r="766" spans="1:6" ht="20.25">
      <c r="A766" s="49"/>
      <c r="B766" s="47" t="s">
        <v>661</v>
      </c>
      <c r="C766" s="47">
        <v>31</v>
      </c>
      <c r="D766" s="47" t="s">
        <v>55</v>
      </c>
      <c r="E766" s="12">
        <v>46121</v>
      </c>
      <c r="F766" s="20">
        <f t="shared" si="11"/>
        <v>46113</v>
      </c>
    </row>
    <row r="767" spans="1:6" ht="20.25">
      <c r="A767" s="49"/>
      <c r="B767" s="47" t="s">
        <v>610</v>
      </c>
      <c r="C767" s="47">
        <v>179</v>
      </c>
      <c r="D767" s="47" t="s">
        <v>55</v>
      </c>
      <c r="E767" s="12">
        <v>46121</v>
      </c>
      <c r="F767" s="20">
        <f t="shared" si="11"/>
        <v>46113</v>
      </c>
    </row>
    <row r="768" spans="1:6" ht="20.25">
      <c r="A768" s="49"/>
      <c r="B768" s="47" t="s">
        <v>815</v>
      </c>
      <c r="C768" s="47">
        <v>27</v>
      </c>
      <c r="D768" s="47" t="s">
        <v>55</v>
      </c>
      <c r="E768" s="12">
        <v>46121</v>
      </c>
      <c r="F768" s="20">
        <f t="shared" si="11"/>
        <v>46113</v>
      </c>
    </row>
    <row r="769" spans="1:6" ht="20.25">
      <c r="A769" s="49"/>
      <c r="B769" s="47" t="s">
        <v>812</v>
      </c>
      <c r="C769" s="47">
        <v>64</v>
      </c>
      <c r="D769" s="47" t="s">
        <v>55</v>
      </c>
      <c r="E769" s="12">
        <v>46121</v>
      </c>
      <c r="F769" s="20">
        <f t="shared" si="11"/>
        <v>46113</v>
      </c>
    </row>
    <row r="770" spans="1:6" ht="20.25">
      <c r="A770" s="49"/>
      <c r="B770" s="47" t="s">
        <v>812</v>
      </c>
      <c r="C770" s="47">
        <v>187</v>
      </c>
      <c r="D770" s="47" t="s">
        <v>55</v>
      </c>
      <c r="E770" s="12">
        <v>46121</v>
      </c>
      <c r="F770" s="20">
        <f t="shared" ref="F770:F833" si="12">EOMONTH(E770,-1)+1</f>
        <v>46113</v>
      </c>
    </row>
    <row r="771" spans="1:6" ht="20.25">
      <c r="A771" s="49"/>
      <c r="B771" s="47" t="s">
        <v>1425</v>
      </c>
      <c r="C771" s="47">
        <v>34</v>
      </c>
      <c r="D771" s="47" t="s">
        <v>55</v>
      </c>
      <c r="E771" s="12">
        <v>46121</v>
      </c>
      <c r="F771" s="20">
        <f t="shared" si="12"/>
        <v>46113</v>
      </c>
    </row>
    <row r="772" spans="1:6" ht="20.25">
      <c r="A772" s="49"/>
      <c r="B772" s="47" t="s">
        <v>959</v>
      </c>
      <c r="C772" s="47">
        <v>41</v>
      </c>
      <c r="D772" s="47" t="s">
        <v>55</v>
      </c>
      <c r="E772" s="12">
        <v>46121</v>
      </c>
      <c r="F772" s="20">
        <f t="shared" si="12"/>
        <v>46113</v>
      </c>
    </row>
    <row r="773" spans="1:6" ht="20.25">
      <c r="A773" s="49"/>
      <c r="B773" s="47" t="s">
        <v>959</v>
      </c>
      <c r="C773" s="47">
        <v>137</v>
      </c>
      <c r="D773" s="47" t="s">
        <v>55</v>
      </c>
      <c r="E773" s="12">
        <v>46121</v>
      </c>
      <c r="F773" s="20">
        <f t="shared" si="12"/>
        <v>46113</v>
      </c>
    </row>
    <row r="774" spans="1:6" ht="20.25">
      <c r="A774" s="49"/>
      <c r="B774" s="47" t="s">
        <v>682</v>
      </c>
      <c r="C774" s="47">
        <v>137</v>
      </c>
      <c r="D774" s="47" t="s">
        <v>133</v>
      </c>
      <c r="E774" s="12">
        <v>46121</v>
      </c>
      <c r="F774" s="20">
        <f t="shared" si="12"/>
        <v>46113</v>
      </c>
    </row>
    <row r="775" spans="1:6" ht="20.25">
      <c r="A775" s="49"/>
      <c r="B775" s="47" t="s">
        <v>895</v>
      </c>
      <c r="C775" s="47">
        <v>160</v>
      </c>
      <c r="D775" s="47" t="s">
        <v>133</v>
      </c>
      <c r="E775" s="12">
        <v>46121</v>
      </c>
      <c r="F775" s="20">
        <f t="shared" si="12"/>
        <v>46113</v>
      </c>
    </row>
    <row r="776" spans="1:6" ht="20.25">
      <c r="A776" s="49"/>
      <c r="B776" s="47" t="s">
        <v>1596</v>
      </c>
      <c r="C776" s="47">
        <v>1</v>
      </c>
      <c r="D776" s="47" t="s">
        <v>133</v>
      </c>
      <c r="E776" s="12">
        <v>46121</v>
      </c>
      <c r="F776" s="20">
        <f t="shared" si="12"/>
        <v>46113</v>
      </c>
    </row>
    <row r="777" spans="1:6" ht="20.25">
      <c r="A777" s="49"/>
      <c r="B777" s="47" t="s">
        <v>1546</v>
      </c>
      <c r="C777" s="47">
        <v>55</v>
      </c>
      <c r="D777" s="47" t="s">
        <v>133</v>
      </c>
      <c r="E777" s="12">
        <v>46121</v>
      </c>
      <c r="F777" s="20">
        <f t="shared" si="12"/>
        <v>46113</v>
      </c>
    </row>
    <row r="778" spans="1:6" ht="20.25">
      <c r="A778" s="49"/>
      <c r="B778" s="47" t="s">
        <v>1597</v>
      </c>
      <c r="C778" s="47">
        <v>19</v>
      </c>
      <c r="D778" s="47" t="s">
        <v>133</v>
      </c>
      <c r="E778" s="12">
        <v>46121</v>
      </c>
      <c r="F778" s="20">
        <f t="shared" si="12"/>
        <v>46113</v>
      </c>
    </row>
    <row r="779" spans="1:6" ht="20.25">
      <c r="A779" s="49"/>
      <c r="B779" s="47" t="s">
        <v>1147</v>
      </c>
      <c r="C779" s="47">
        <v>51</v>
      </c>
      <c r="D779" s="47" t="s">
        <v>95</v>
      </c>
      <c r="E779" s="12">
        <v>46121</v>
      </c>
      <c r="F779" s="20">
        <f t="shared" si="12"/>
        <v>46113</v>
      </c>
    </row>
    <row r="780" spans="1:6" ht="20.25">
      <c r="A780" s="49"/>
      <c r="B780" s="47" t="s">
        <v>1145</v>
      </c>
      <c r="C780" s="47">
        <v>30</v>
      </c>
      <c r="D780" s="47" t="s">
        <v>95</v>
      </c>
      <c r="E780" s="12">
        <v>46121</v>
      </c>
      <c r="F780" s="20">
        <f t="shared" si="12"/>
        <v>46113</v>
      </c>
    </row>
    <row r="781" spans="1:6" ht="20.25">
      <c r="A781" s="49"/>
      <c r="B781" s="47" t="s">
        <v>777</v>
      </c>
      <c r="C781" s="47">
        <v>54</v>
      </c>
      <c r="D781" s="47" t="s">
        <v>160</v>
      </c>
      <c r="E781" s="12">
        <v>46121</v>
      </c>
      <c r="F781" s="20">
        <f t="shared" si="12"/>
        <v>46113</v>
      </c>
    </row>
    <row r="782" spans="1:6" ht="20.25">
      <c r="A782" s="49"/>
      <c r="B782" s="47" t="s">
        <v>1474</v>
      </c>
      <c r="C782" s="47">
        <v>16</v>
      </c>
      <c r="D782" s="47" t="s">
        <v>160</v>
      </c>
      <c r="E782" s="12">
        <v>46121</v>
      </c>
      <c r="F782" s="20">
        <f t="shared" si="12"/>
        <v>46113</v>
      </c>
    </row>
    <row r="783" spans="1:6" ht="20.25">
      <c r="A783" s="49"/>
      <c r="B783" s="47" t="s">
        <v>657</v>
      </c>
      <c r="C783" s="47">
        <v>95</v>
      </c>
      <c r="D783" s="47" t="s">
        <v>160</v>
      </c>
      <c r="E783" s="12">
        <v>46121</v>
      </c>
      <c r="F783" s="20">
        <f t="shared" si="12"/>
        <v>46113</v>
      </c>
    </row>
    <row r="784" spans="1:6" ht="20.25">
      <c r="A784" s="49"/>
      <c r="B784" s="47" t="s">
        <v>659</v>
      </c>
      <c r="C784" s="47">
        <v>87</v>
      </c>
      <c r="D784" s="47" t="s">
        <v>160</v>
      </c>
      <c r="E784" s="12">
        <v>46121</v>
      </c>
      <c r="F784" s="20">
        <f t="shared" si="12"/>
        <v>46113</v>
      </c>
    </row>
    <row r="785" spans="1:6" ht="20.25">
      <c r="A785" s="49"/>
      <c r="B785" s="47" t="s">
        <v>862</v>
      </c>
      <c r="C785" s="47">
        <v>291</v>
      </c>
      <c r="D785" s="47" t="s">
        <v>55</v>
      </c>
      <c r="E785" s="12">
        <v>46121</v>
      </c>
      <c r="F785" s="20">
        <f t="shared" si="12"/>
        <v>46113</v>
      </c>
    </row>
    <row r="786" spans="1:6" ht="20.25">
      <c r="A786" s="49"/>
      <c r="B786" s="47" t="s">
        <v>1078</v>
      </c>
      <c r="C786" s="47">
        <v>105</v>
      </c>
      <c r="D786" s="47" t="s">
        <v>66</v>
      </c>
      <c r="E786" s="12">
        <v>46121</v>
      </c>
      <c r="F786" s="20">
        <f t="shared" si="12"/>
        <v>46113</v>
      </c>
    </row>
    <row r="787" spans="1:6" ht="20.25">
      <c r="A787" s="49"/>
      <c r="B787" s="47" t="s">
        <v>1352</v>
      </c>
      <c r="C787" s="47">
        <v>187</v>
      </c>
      <c r="D787" s="47" t="s">
        <v>66</v>
      </c>
      <c r="E787" s="12">
        <v>46121</v>
      </c>
      <c r="F787" s="20">
        <f t="shared" si="12"/>
        <v>46113</v>
      </c>
    </row>
    <row r="788" spans="1:6" ht="20.25">
      <c r="A788" s="49"/>
      <c r="B788" s="47" t="s">
        <v>981</v>
      </c>
      <c r="C788" s="47">
        <v>34</v>
      </c>
      <c r="D788" s="47" t="s">
        <v>63</v>
      </c>
      <c r="E788" s="12">
        <v>46121</v>
      </c>
      <c r="F788" s="20">
        <f t="shared" si="12"/>
        <v>46113</v>
      </c>
    </row>
    <row r="789" spans="1:6" ht="20.25">
      <c r="A789" s="49"/>
      <c r="B789" s="47" t="s">
        <v>1142</v>
      </c>
      <c r="C789" s="47">
        <v>34</v>
      </c>
      <c r="D789" s="47" t="s">
        <v>63</v>
      </c>
      <c r="E789" s="12">
        <v>46121</v>
      </c>
      <c r="F789" s="20">
        <f t="shared" si="12"/>
        <v>46113</v>
      </c>
    </row>
    <row r="790" spans="1:6" ht="20.25">
      <c r="A790" s="49"/>
      <c r="B790" s="47" t="s">
        <v>1250</v>
      </c>
      <c r="C790" s="47">
        <v>37</v>
      </c>
      <c r="D790" s="47" t="s">
        <v>63</v>
      </c>
      <c r="E790" s="12">
        <v>46121</v>
      </c>
      <c r="F790" s="20">
        <f t="shared" si="12"/>
        <v>46113</v>
      </c>
    </row>
    <row r="791" spans="1:6" ht="20.25">
      <c r="A791" s="49"/>
      <c r="B791" s="47" t="s">
        <v>867</v>
      </c>
      <c r="C791" s="47">
        <v>95</v>
      </c>
      <c r="D791" s="47" t="s">
        <v>63</v>
      </c>
      <c r="E791" s="12">
        <v>46121</v>
      </c>
      <c r="F791" s="20">
        <f t="shared" si="12"/>
        <v>46113</v>
      </c>
    </row>
    <row r="792" spans="1:6" ht="20.25">
      <c r="A792" s="49"/>
      <c r="B792" s="47" t="s">
        <v>762</v>
      </c>
      <c r="C792" s="47">
        <v>126</v>
      </c>
      <c r="D792" s="47" t="s">
        <v>63</v>
      </c>
      <c r="E792" s="12">
        <v>46121</v>
      </c>
      <c r="F792" s="20">
        <f t="shared" si="12"/>
        <v>46113</v>
      </c>
    </row>
    <row r="793" spans="1:6" ht="20.25">
      <c r="A793" s="49"/>
      <c r="B793" s="47" t="s">
        <v>1156</v>
      </c>
      <c r="C793" s="47">
        <v>128</v>
      </c>
      <c r="D793" s="47" t="s">
        <v>63</v>
      </c>
      <c r="E793" s="12">
        <v>46121</v>
      </c>
      <c r="F793" s="20">
        <f t="shared" si="12"/>
        <v>46113</v>
      </c>
    </row>
    <row r="794" spans="1:6" ht="20.25">
      <c r="A794" s="49"/>
      <c r="B794" s="47" t="s">
        <v>624</v>
      </c>
      <c r="C794" s="47">
        <v>146</v>
      </c>
      <c r="D794" s="47" t="s">
        <v>63</v>
      </c>
      <c r="E794" s="12">
        <v>46121</v>
      </c>
      <c r="F794" s="20">
        <f t="shared" si="12"/>
        <v>46113</v>
      </c>
    </row>
    <row r="795" spans="1:6" ht="20.25">
      <c r="A795" s="49"/>
      <c r="B795" s="47" t="s">
        <v>1372</v>
      </c>
      <c r="C795" s="47">
        <v>103</v>
      </c>
      <c r="D795" s="47" t="s">
        <v>63</v>
      </c>
      <c r="E795" s="12">
        <v>46121</v>
      </c>
      <c r="F795" s="20">
        <f t="shared" si="12"/>
        <v>46113</v>
      </c>
    </row>
    <row r="796" spans="1:6" ht="20.25">
      <c r="A796" s="49"/>
      <c r="B796" s="47" t="s">
        <v>1463</v>
      </c>
      <c r="C796" s="47">
        <v>205</v>
      </c>
      <c r="D796" s="47" t="s">
        <v>63</v>
      </c>
      <c r="E796" s="12">
        <v>46121</v>
      </c>
      <c r="F796" s="20">
        <f t="shared" si="12"/>
        <v>46113</v>
      </c>
    </row>
    <row r="797" spans="1:6" ht="20.25">
      <c r="A797" s="49"/>
      <c r="B797" s="47" t="s">
        <v>1359</v>
      </c>
      <c r="C797" s="47">
        <v>59</v>
      </c>
      <c r="D797" s="47" t="s">
        <v>97</v>
      </c>
      <c r="E797" s="12">
        <v>46121</v>
      </c>
      <c r="F797" s="20">
        <f t="shared" si="12"/>
        <v>46113</v>
      </c>
    </row>
    <row r="798" spans="1:6" ht="20.25">
      <c r="A798" s="49"/>
      <c r="B798" s="47" t="s">
        <v>954</v>
      </c>
      <c r="C798" s="47">
        <v>36</v>
      </c>
      <c r="D798" s="47" t="s">
        <v>97</v>
      </c>
      <c r="E798" s="12">
        <v>46121</v>
      </c>
      <c r="F798" s="20">
        <f t="shared" si="12"/>
        <v>46113</v>
      </c>
    </row>
    <row r="799" spans="1:6" ht="20.25">
      <c r="A799" s="49"/>
      <c r="B799" s="47" t="s">
        <v>1348</v>
      </c>
      <c r="C799" s="47">
        <v>31</v>
      </c>
      <c r="D799" s="47" t="s">
        <v>97</v>
      </c>
      <c r="E799" s="12">
        <v>46121</v>
      </c>
      <c r="F799" s="20">
        <f t="shared" si="12"/>
        <v>46113</v>
      </c>
    </row>
    <row r="800" spans="1:6" ht="20.25">
      <c r="A800" s="49"/>
      <c r="B800" s="47" t="s">
        <v>790</v>
      </c>
      <c r="C800" s="47">
        <v>34</v>
      </c>
      <c r="D800" s="47" t="s">
        <v>97</v>
      </c>
      <c r="E800" s="12">
        <v>46121</v>
      </c>
      <c r="F800" s="20">
        <f t="shared" si="12"/>
        <v>46113</v>
      </c>
    </row>
    <row r="801" spans="1:6" ht="20.25">
      <c r="A801" s="49"/>
      <c r="B801" s="47" t="s">
        <v>1357</v>
      </c>
      <c r="C801" s="47">
        <v>4</v>
      </c>
      <c r="D801" s="47" t="s">
        <v>97</v>
      </c>
      <c r="E801" s="12">
        <v>46121</v>
      </c>
      <c r="F801" s="20">
        <f t="shared" si="12"/>
        <v>46113</v>
      </c>
    </row>
    <row r="802" spans="1:6" ht="20.25">
      <c r="A802" s="49"/>
      <c r="B802" s="47" t="s">
        <v>1006</v>
      </c>
      <c r="C802" s="47">
        <v>65</v>
      </c>
      <c r="D802" s="47" t="s">
        <v>97</v>
      </c>
      <c r="E802" s="12">
        <v>46121</v>
      </c>
      <c r="F802" s="20">
        <f t="shared" si="12"/>
        <v>46113</v>
      </c>
    </row>
    <row r="803" spans="1:6" ht="20.25">
      <c r="A803" s="49"/>
      <c r="B803" s="47" t="s">
        <v>1049</v>
      </c>
      <c r="C803" s="47">
        <v>1</v>
      </c>
      <c r="D803" s="47" t="s">
        <v>97</v>
      </c>
      <c r="E803" s="12">
        <v>46121</v>
      </c>
      <c r="F803" s="20">
        <f t="shared" si="12"/>
        <v>46113</v>
      </c>
    </row>
    <row r="804" spans="1:6" ht="20.25">
      <c r="A804" s="49"/>
      <c r="B804" s="47" t="s">
        <v>1285</v>
      </c>
      <c r="C804" s="47">
        <v>5</v>
      </c>
      <c r="D804" s="47" t="s">
        <v>97</v>
      </c>
      <c r="E804" s="12">
        <v>46121</v>
      </c>
      <c r="F804" s="20">
        <f t="shared" si="12"/>
        <v>46113</v>
      </c>
    </row>
    <row r="805" spans="1:6" ht="20.25">
      <c r="A805" s="49"/>
      <c r="B805" s="47" t="s">
        <v>1050</v>
      </c>
      <c r="C805" s="47">
        <v>74</v>
      </c>
      <c r="D805" s="47" t="s">
        <v>97</v>
      </c>
      <c r="E805" s="12">
        <v>46121</v>
      </c>
      <c r="F805" s="20">
        <f t="shared" si="12"/>
        <v>46113</v>
      </c>
    </row>
    <row r="806" spans="1:6" ht="20.25">
      <c r="A806" s="49"/>
      <c r="B806" s="47" t="s">
        <v>792</v>
      </c>
      <c r="C806" s="47">
        <v>39</v>
      </c>
      <c r="D806" s="47" t="s">
        <v>97</v>
      </c>
      <c r="E806" s="12">
        <v>46121</v>
      </c>
      <c r="F806" s="20">
        <f t="shared" si="12"/>
        <v>46113</v>
      </c>
    </row>
    <row r="807" spans="1:6" ht="20.25">
      <c r="A807" s="49"/>
      <c r="B807" s="47" t="s">
        <v>1549</v>
      </c>
      <c r="C807" s="47">
        <v>786</v>
      </c>
      <c r="D807" s="47" t="s">
        <v>97</v>
      </c>
      <c r="E807" s="12">
        <v>46121</v>
      </c>
      <c r="F807" s="20">
        <f t="shared" si="12"/>
        <v>46113</v>
      </c>
    </row>
    <row r="808" spans="1:6" ht="20.25">
      <c r="A808" s="49"/>
      <c r="B808" s="47" t="s">
        <v>1157</v>
      </c>
      <c r="C808" s="47">
        <v>64</v>
      </c>
      <c r="D808" s="47" t="s">
        <v>63</v>
      </c>
      <c r="E808" s="12">
        <v>46121</v>
      </c>
      <c r="F808" s="20">
        <f t="shared" si="12"/>
        <v>46113</v>
      </c>
    </row>
    <row r="809" spans="1:6" ht="20.25">
      <c r="A809" s="49"/>
      <c r="B809" s="47" t="s">
        <v>1498</v>
      </c>
      <c r="C809" s="47">
        <v>34</v>
      </c>
      <c r="D809" s="47" t="s">
        <v>95</v>
      </c>
      <c r="E809" s="12">
        <v>46121</v>
      </c>
      <c r="F809" s="20">
        <f t="shared" si="12"/>
        <v>46113</v>
      </c>
    </row>
    <row r="810" spans="1:6" ht="20.25">
      <c r="A810" s="49"/>
      <c r="B810" s="47" t="s">
        <v>996</v>
      </c>
      <c r="C810" s="47">
        <v>56</v>
      </c>
      <c r="D810" s="47" t="s">
        <v>95</v>
      </c>
      <c r="E810" s="12">
        <v>46121</v>
      </c>
      <c r="F810" s="20">
        <f t="shared" si="12"/>
        <v>46113</v>
      </c>
    </row>
    <row r="811" spans="1:6" ht="20.25">
      <c r="A811" s="49"/>
      <c r="B811" s="47" t="s">
        <v>1498</v>
      </c>
      <c r="C811" s="47">
        <v>35</v>
      </c>
      <c r="D811" s="47" t="s">
        <v>95</v>
      </c>
      <c r="E811" s="12">
        <v>46121</v>
      </c>
      <c r="F811" s="20">
        <f t="shared" si="12"/>
        <v>46113</v>
      </c>
    </row>
    <row r="812" spans="1:6" ht="20.25">
      <c r="A812" s="49"/>
      <c r="B812" s="47" t="s">
        <v>1429</v>
      </c>
      <c r="C812" s="47">
        <v>69</v>
      </c>
      <c r="D812" s="47" t="s">
        <v>62</v>
      </c>
      <c r="E812" s="12">
        <v>46121</v>
      </c>
      <c r="F812" s="20">
        <f t="shared" si="12"/>
        <v>46113</v>
      </c>
    </row>
    <row r="813" spans="1:6" ht="20.25">
      <c r="A813" s="49"/>
      <c r="B813" s="47" t="s">
        <v>883</v>
      </c>
      <c r="C813" s="47">
        <v>200</v>
      </c>
      <c r="D813" s="47" t="s">
        <v>62</v>
      </c>
      <c r="E813" s="12">
        <v>46121</v>
      </c>
      <c r="F813" s="20">
        <f t="shared" si="12"/>
        <v>46113</v>
      </c>
    </row>
    <row r="814" spans="1:6" ht="20.25">
      <c r="A814" s="49"/>
      <c r="B814" s="47" t="s">
        <v>962</v>
      </c>
      <c r="C814" s="47">
        <v>638</v>
      </c>
      <c r="D814" s="47" t="s">
        <v>62</v>
      </c>
      <c r="E814" s="12">
        <v>46121</v>
      </c>
      <c r="F814" s="20">
        <f t="shared" si="12"/>
        <v>46113</v>
      </c>
    </row>
    <row r="815" spans="1:6" ht="20.25">
      <c r="A815" s="49"/>
      <c r="B815" s="47" t="s">
        <v>853</v>
      </c>
      <c r="C815" s="47">
        <v>91</v>
      </c>
      <c r="D815" s="47" t="s">
        <v>62</v>
      </c>
      <c r="E815" s="12">
        <v>46121</v>
      </c>
      <c r="F815" s="20">
        <f t="shared" si="12"/>
        <v>46113</v>
      </c>
    </row>
    <row r="816" spans="1:6" ht="20.25">
      <c r="A816" s="49"/>
      <c r="B816" s="47" t="s">
        <v>630</v>
      </c>
      <c r="C816" s="47">
        <v>262</v>
      </c>
      <c r="D816" s="47" t="s">
        <v>62</v>
      </c>
      <c r="E816" s="12">
        <v>46121</v>
      </c>
      <c r="F816" s="20">
        <f t="shared" si="12"/>
        <v>46113</v>
      </c>
    </row>
    <row r="817" spans="1:6" ht="20.25">
      <c r="A817" s="49"/>
      <c r="B817" s="47" t="s">
        <v>630</v>
      </c>
      <c r="C817" s="47">
        <v>210</v>
      </c>
      <c r="D817" s="47" t="s">
        <v>62</v>
      </c>
      <c r="E817" s="12">
        <v>46121</v>
      </c>
      <c r="F817" s="20">
        <f t="shared" si="12"/>
        <v>46113</v>
      </c>
    </row>
    <row r="818" spans="1:6" ht="20.25">
      <c r="A818" s="49"/>
      <c r="B818" s="47" t="s">
        <v>630</v>
      </c>
      <c r="C818" s="47">
        <v>22</v>
      </c>
      <c r="D818" s="47" t="s">
        <v>62</v>
      </c>
      <c r="E818" s="12">
        <v>46121</v>
      </c>
      <c r="F818" s="20">
        <f t="shared" si="12"/>
        <v>46113</v>
      </c>
    </row>
    <row r="819" spans="1:6" ht="20.25">
      <c r="A819" s="49"/>
      <c r="B819" s="47" t="s">
        <v>743</v>
      </c>
      <c r="C819" s="47">
        <v>37</v>
      </c>
      <c r="D819" s="47" t="s">
        <v>62</v>
      </c>
      <c r="E819" s="12">
        <v>46121</v>
      </c>
      <c r="F819" s="20">
        <f t="shared" si="12"/>
        <v>46113</v>
      </c>
    </row>
    <row r="820" spans="1:6" ht="20.25">
      <c r="A820" s="49"/>
      <c r="B820" s="47" t="s">
        <v>1081</v>
      </c>
      <c r="C820" s="47">
        <v>40</v>
      </c>
      <c r="D820" s="47" t="s">
        <v>62</v>
      </c>
      <c r="E820" s="12">
        <v>46121</v>
      </c>
      <c r="F820" s="20">
        <f t="shared" si="12"/>
        <v>46113</v>
      </c>
    </row>
    <row r="821" spans="1:6" ht="20.25">
      <c r="A821" s="49"/>
      <c r="B821" s="47" t="s">
        <v>1071</v>
      </c>
      <c r="C821" s="47">
        <v>202</v>
      </c>
      <c r="D821" s="47" t="s">
        <v>62</v>
      </c>
      <c r="E821" s="12">
        <v>46121</v>
      </c>
      <c r="F821" s="20">
        <f t="shared" si="12"/>
        <v>46113</v>
      </c>
    </row>
    <row r="822" spans="1:6" ht="20.25">
      <c r="A822" s="49"/>
      <c r="B822" s="47" t="s">
        <v>1071</v>
      </c>
      <c r="C822" s="47">
        <v>162</v>
      </c>
      <c r="D822" s="47" t="s">
        <v>62</v>
      </c>
      <c r="E822" s="12">
        <v>46121</v>
      </c>
      <c r="F822" s="20">
        <f t="shared" si="12"/>
        <v>46113</v>
      </c>
    </row>
    <row r="823" spans="1:6" ht="20.25">
      <c r="A823" s="49"/>
      <c r="B823" s="47" t="s">
        <v>799</v>
      </c>
      <c r="C823" s="47">
        <v>370</v>
      </c>
      <c r="D823" s="47" t="s">
        <v>62</v>
      </c>
      <c r="E823" s="12">
        <v>46121</v>
      </c>
      <c r="F823" s="20">
        <f t="shared" si="12"/>
        <v>46113</v>
      </c>
    </row>
    <row r="824" spans="1:6" ht="20.25">
      <c r="A824" s="49"/>
      <c r="B824" s="47" t="s">
        <v>1083</v>
      </c>
      <c r="C824" s="47">
        <v>33</v>
      </c>
      <c r="D824" s="47" t="s">
        <v>62</v>
      </c>
      <c r="E824" s="12">
        <v>46121</v>
      </c>
      <c r="F824" s="20">
        <f t="shared" si="12"/>
        <v>46113</v>
      </c>
    </row>
    <row r="825" spans="1:6" ht="20.25">
      <c r="A825" s="49"/>
      <c r="B825" s="47" t="s">
        <v>784</v>
      </c>
      <c r="C825" s="47">
        <v>133</v>
      </c>
      <c r="D825" s="47" t="s">
        <v>62</v>
      </c>
      <c r="E825" s="12">
        <v>46121</v>
      </c>
      <c r="F825" s="20">
        <f t="shared" si="12"/>
        <v>46113</v>
      </c>
    </row>
    <row r="826" spans="1:6" ht="20.25">
      <c r="A826" s="49"/>
      <c r="B826" s="47" t="s">
        <v>971</v>
      </c>
      <c r="C826" s="47">
        <v>103</v>
      </c>
      <c r="D826" s="47" t="s">
        <v>62</v>
      </c>
      <c r="E826" s="12">
        <v>46121</v>
      </c>
      <c r="F826" s="20">
        <f t="shared" si="12"/>
        <v>46113</v>
      </c>
    </row>
    <row r="827" spans="1:6" ht="20.25">
      <c r="A827" s="49"/>
      <c r="B827" s="47" t="s">
        <v>719</v>
      </c>
      <c r="C827" s="47">
        <v>141</v>
      </c>
      <c r="D827" s="47" t="s">
        <v>95</v>
      </c>
      <c r="E827" s="12">
        <v>46121</v>
      </c>
      <c r="F827" s="20">
        <f t="shared" si="12"/>
        <v>46113</v>
      </c>
    </row>
    <row r="828" spans="1:6" ht="20.25">
      <c r="A828" s="49"/>
      <c r="B828" s="47" t="s">
        <v>817</v>
      </c>
      <c r="C828" s="47">
        <v>118</v>
      </c>
      <c r="D828" s="47" t="s">
        <v>133</v>
      </c>
      <c r="E828" s="12">
        <v>46121</v>
      </c>
      <c r="F828" s="20">
        <f t="shared" si="12"/>
        <v>46113</v>
      </c>
    </row>
    <row r="829" spans="1:6" ht="20.25">
      <c r="A829" s="49"/>
      <c r="B829" s="47" t="s">
        <v>817</v>
      </c>
      <c r="C829" s="47">
        <v>369</v>
      </c>
      <c r="D829" s="47" t="s">
        <v>133</v>
      </c>
      <c r="E829" s="12">
        <v>46121</v>
      </c>
      <c r="F829" s="20">
        <f t="shared" si="12"/>
        <v>46113</v>
      </c>
    </row>
    <row r="830" spans="1:6" ht="20.25">
      <c r="A830" s="49"/>
      <c r="B830" s="47" t="s">
        <v>1007</v>
      </c>
      <c r="C830" s="47">
        <v>120</v>
      </c>
      <c r="D830" s="47" t="s">
        <v>62</v>
      </c>
      <c r="E830" s="12">
        <v>46121</v>
      </c>
      <c r="F830" s="20">
        <f t="shared" si="12"/>
        <v>46113</v>
      </c>
    </row>
    <row r="831" spans="1:6" ht="20.25">
      <c r="A831" s="49"/>
      <c r="B831" s="47" t="s">
        <v>918</v>
      </c>
      <c r="C831" s="47">
        <v>52</v>
      </c>
      <c r="D831" s="47" t="s">
        <v>72</v>
      </c>
      <c r="E831" s="12">
        <v>46121</v>
      </c>
      <c r="F831" s="20">
        <f t="shared" si="12"/>
        <v>46113</v>
      </c>
    </row>
    <row r="832" spans="1:6" ht="20.25">
      <c r="A832" s="49"/>
      <c r="B832" s="47" t="s">
        <v>918</v>
      </c>
      <c r="C832" s="47">
        <v>171</v>
      </c>
      <c r="D832" s="47" t="s">
        <v>72</v>
      </c>
      <c r="E832" s="12">
        <v>46121</v>
      </c>
      <c r="F832" s="20">
        <f t="shared" si="12"/>
        <v>46113</v>
      </c>
    </row>
    <row r="833" spans="1:6" ht="20.25">
      <c r="A833" s="49"/>
      <c r="B833" s="47" t="s">
        <v>1593</v>
      </c>
      <c r="C833" s="47">
        <v>712</v>
      </c>
      <c r="D833" s="47" t="s">
        <v>72</v>
      </c>
      <c r="E833" s="12">
        <v>46121</v>
      </c>
      <c r="F833" s="20">
        <f t="shared" si="12"/>
        <v>46113</v>
      </c>
    </row>
    <row r="834" spans="1:6" ht="20.25">
      <c r="A834" s="49"/>
      <c r="B834" s="47" t="s">
        <v>877</v>
      </c>
      <c r="C834" s="47">
        <v>1</v>
      </c>
      <c r="D834" s="47" t="s">
        <v>97</v>
      </c>
      <c r="E834" s="12">
        <v>46121</v>
      </c>
      <c r="F834" s="20">
        <f t="shared" ref="F834:F897" si="13">EOMONTH(E834,-1)+1</f>
        <v>46113</v>
      </c>
    </row>
    <row r="835" spans="1:6" ht="20.25">
      <c r="A835" s="49"/>
      <c r="B835" s="47" t="s">
        <v>1549</v>
      </c>
      <c r="C835" s="47">
        <v>964</v>
      </c>
      <c r="D835" s="47" t="s">
        <v>95</v>
      </c>
      <c r="E835" s="12">
        <v>46121</v>
      </c>
      <c r="F835" s="20">
        <f t="shared" si="13"/>
        <v>46113</v>
      </c>
    </row>
    <row r="836" spans="1:6" ht="20.25">
      <c r="A836" s="49"/>
      <c r="B836" s="47" t="s">
        <v>826</v>
      </c>
      <c r="C836" s="47">
        <v>106</v>
      </c>
      <c r="D836" s="47" t="s">
        <v>62</v>
      </c>
      <c r="E836" s="12">
        <v>46121</v>
      </c>
      <c r="F836" s="20">
        <f t="shared" si="13"/>
        <v>46113</v>
      </c>
    </row>
    <row r="837" spans="1:6" ht="20.25">
      <c r="A837" s="49"/>
      <c r="B837" s="47" t="s">
        <v>1083</v>
      </c>
      <c r="C837" s="47">
        <v>34</v>
      </c>
      <c r="D837" s="47" t="s">
        <v>62</v>
      </c>
      <c r="E837" s="12">
        <v>46121</v>
      </c>
      <c r="F837" s="20">
        <f t="shared" si="13"/>
        <v>46113</v>
      </c>
    </row>
    <row r="838" spans="1:6" ht="20.25">
      <c r="A838" s="49"/>
      <c r="B838" s="47" t="s">
        <v>748</v>
      </c>
      <c r="C838" s="47">
        <v>44</v>
      </c>
      <c r="D838" s="47" t="s">
        <v>62</v>
      </c>
      <c r="E838" s="12">
        <v>46121</v>
      </c>
      <c r="F838" s="20">
        <f t="shared" si="13"/>
        <v>46113</v>
      </c>
    </row>
    <row r="839" spans="1:6" ht="20.25">
      <c r="A839" s="49"/>
      <c r="B839" s="47" t="s">
        <v>621</v>
      </c>
      <c r="C839" s="47">
        <v>91</v>
      </c>
      <c r="D839" s="47" t="s">
        <v>63</v>
      </c>
      <c r="E839" s="12">
        <v>46121</v>
      </c>
      <c r="F839" s="20">
        <f t="shared" si="13"/>
        <v>46113</v>
      </c>
    </row>
    <row r="840" spans="1:6" ht="20.25">
      <c r="A840" s="49"/>
      <c r="B840" s="47" t="s">
        <v>910</v>
      </c>
      <c r="C840" s="47">
        <v>227</v>
      </c>
      <c r="D840" s="47" t="s">
        <v>63</v>
      </c>
      <c r="E840" s="12">
        <v>46121</v>
      </c>
      <c r="F840" s="20">
        <f t="shared" si="13"/>
        <v>46113</v>
      </c>
    </row>
    <row r="841" spans="1:6" ht="20.25">
      <c r="A841" s="49"/>
      <c r="B841" s="47" t="s">
        <v>717</v>
      </c>
      <c r="C841" s="47">
        <v>533</v>
      </c>
      <c r="D841" s="47" t="s">
        <v>63</v>
      </c>
      <c r="E841" s="12">
        <v>46121</v>
      </c>
      <c r="F841" s="20">
        <f t="shared" si="13"/>
        <v>46113</v>
      </c>
    </row>
    <row r="842" spans="1:6" ht="20.25">
      <c r="A842" s="49"/>
      <c r="B842" s="47" t="s">
        <v>717</v>
      </c>
      <c r="C842" s="47">
        <v>103</v>
      </c>
      <c r="D842" s="47" t="s">
        <v>63</v>
      </c>
      <c r="E842" s="12">
        <v>46121</v>
      </c>
      <c r="F842" s="20">
        <f t="shared" si="13"/>
        <v>46113</v>
      </c>
    </row>
    <row r="843" spans="1:6" ht="20.25">
      <c r="A843" s="49"/>
      <c r="B843" s="47" t="s">
        <v>717</v>
      </c>
      <c r="C843" s="47">
        <v>22</v>
      </c>
      <c r="D843" s="47" t="s">
        <v>63</v>
      </c>
      <c r="E843" s="12">
        <v>46121</v>
      </c>
      <c r="F843" s="20">
        <f t="shared" si="13"/>
        <v>46113</v>
      </c>
    </row>
    <row r="844" spans="1:6" ht="20.25">
      <c r="A844" s="49"/>
      <c r="B844" s="47" t="s">
        <v>638</v>
      </c>
      <c r="C844" s="47">
        <v>370</v>
      </c>
      <c r="D844" s="47" t="s">
        <v>82</v>
      </c>
      <c r="E844" s="12">
        <v>46121</v>
      </c>
      <c r="F844" s="20">
        <f t="shared" si="13"/>
        <v>46113</v>
      </c>
    </row>
    <row r="845" spans="1:6" ht="20.25">
      <c r="A845" s="49"/>
      <c r="B845" s="47" t="s">
        <v>695</v>
      </c>
      <c r="C845" s="47">
        <v>600</v>
      </c>
      <c r="D845" s="47" t="s">
        <v>82</v>
      </c>
      <c r="E845" s="12">
        <v>46121</v>
      </c>
      <c r="F845" s="20">
        <f t="shared" si="13"/>
        <v>46113</v>
      </c>
    </row>
    <row r="846" spans="1:6" ht="20.25">
      <c r="A846" s="49"/>
      <c r="B846" s="47" t="s">
        <v>1008</v>
      </c>
      <c r="C846" s="47">
        <v>92</v>
      </c>
      <c r="D846" s="47" t="s">
        <v>82</v>
      </c>
      <c r="E846" s="12">
        <v>46121</v>
      </c>
      <c r="F846" s="20">
        <f t="shared" si="13"/>
        <v>46113</v>
      </c>
    </row>
    <row r="847" spans="1:6" ht="20.25">
      <c r="A847" s="49"/>
      <c r="B847" s="47" t="s">
        <v>634</v>
      </c>
      <c r="C847" s="47">
        <v>110</v>
      </c>
      <c r="D847" s="47" t="s">
        <v>82</v>
      </c>
      <c r="E847" s="12">
        <v>46121</v>
      </c>
      <c r="F847" s="20">
        <f t="shared" si="13"/>
        <v>46113</v>
      </c>
    </row>
    <row r="848" spans="1:6" ht="20.25">
      <c r="A848" s="49"/>
      <c r="B848" s="47" t="s">
        <v>1075</v>
      </c>
      <c r="C848" s="47">
        <v>67</v>
      </c>
      <c r="D848" s="47" t="s">
        <v>82</v>
      </c>
      <c r="E848" s="12">
        <v>46121</v>
      </c>
      <c r="F848" s="20">
        <f t="shared" si="13"/>
        <v>46113</v>
      </c>
    </row>
    <row r="849" spans="1:6" ht="20.25">
      <c r="A849" s="49"/>
      <c r="B849" s="47" t="s">
        <v>956</v>
      </c>
      <c r="C849" s="47">
        <v>38</v>
      </c>
      <c r="D849" s="47" t="s">
        <v>82</v>
      </c>
      <c r="E849" s="12">
        <v>46121</v>
      </c>
      <c r="F849" s="20">
        <f t="shared" si="13"/>
        <v>46113</v>
      </c>
    </row>
    <row r="850" spans="1:6" ht="20.25">
      <c r="A850" s="49"/>
      <c r="B850" s="47" t="s">
        <v>752</v>
      </c>
      <c r="C850" s="47">
        <v>51</v>
      </c>
      <c r="D850" s="47" t="s">
        <v>82</v>
      </c>
      <c r="E850" s="12">
        <v>46121</v>
      </c>
      <c r="F850" s="20">
        <f t="shared" si="13"/>
        <v>46113</v>
      </c>
    </row>
    <row r="851" spans="1:6" ht="20.25">
      <c r="A851" s="49"/>
      <c r="B851" s="47" t="s">
        <v>745</v>
      </c>
      <c r="C851" s="47">
        <v>43</v>
      </c>
      <c r="D851" s="47" t="s">
        <v>82</v>
      </c>
      <c r="E851" s="12">
        <v>46121</v>
      </c>
      <c r="F851" s="20">
        <f t="shared" si="13"/>
        <v>46113</v>
      </c>
    </row>
    <row r="852" spans="1:6" ht="20.25">
      <c r="A852" s="49"/>
      <c r="B852" s="47" t="s">
        <v>785</v>
      </c>
      <c r="C852" s="47">
        <v>37</v>
      </c>
      <c r="D852" s="47" t="s">
        <v>82</v>
      </c>
      <c r="E852" s="12">
        <v>46121</v>
      </c>
      <c r="F852" s="20">
        <f t="shared" si="13"/>
        <v>46113</v>
      </c>
    </row>
    <row r="853" spans="1:6" ht="20.25">
      <c r="A853" s="49"/>
      <c r="B853" s="47" t="s">
        <v>1438</v>
      </c>
      <c r="C853" s="47">
        <v>39</v>
      </c>
      <c r="D853" s="47" t="s">
        <v>82</v>
      </c>
      <c r="E853" s="12">
        <v>46121</v>
      </c>
      <c r="F853" s="20">
        <f t="shared" si="13"/>
        <v>46113</v>
      </c>
    </row>
    <row r="854" spans="1:6" ht="20.25">
      <c r="A854" s="49"/>
      <c r="B854" s="47" t="s">
        <v>1162</v>
      </c>
      <c r="C854" s="47">
        <v>424</v>
      </c>
      <c r="D854" s="47" t="s">
        <v>82</v>
      </c>
      <c r="E854" s="12">
        <v>46121</v>
      </c>
      <c r="F854" s="20">
        <f t="shared" si="13"/>
        <v>46113</v>
      </c>
    </row>
    <row r="855" spans="1:6" ht="20.25">
      <c r="A855" s="49"/>
      <c r="B855" s="47" t="s">
        <v>876</v>
      </c>
      <c r="C855" s="47">
        <v>115</v>
      </c>
      <c r="D855" s="47" t="s">
        <v>66</v>
      </c>
      <c r="E855" s="12">
        <v>46121</v>
      </c>
      <c r="F855" s="20">
        <f t="shared" si="13"/>
        <v>46113</v>
      </c>
    </row>
    <row r="856" spans="1:6" ht="20.25">
      <c r="A856" s="49"/>
      <c r="B856" s="47" t="s">
        <v>1531</v>
      </c>
      <c r="C856" s="47">
        <v>226</v>
      </c>
      <c r="D856" s="47" t="s">
        <v>62</v>
      </c>
      <c r="E856" s="12">
        <v>46121</v>
      </c>
      <c r="F856" s="20">
        <f t="shared" si="13"/>
        <v>46113</v>
      </c>
    </row>
    <row r="857" spans="1:6" ht="20.25">
      <c r="A857" s="49"/>
      <c r="B857" s="47" t="s">
        <v>1023</v>
      </c>
      <c r="C857" s="47">
        <v>194</v>
      </c>
      <c r="D857" s="47" t="s">
        <v>97</v>
      </c>
      <c r="E857" s="12">
        <v>46121</v>
      </c>
      <c r="F857" s="20">
        <f t="shared" si="13"/>
        <v>46113</v>
      </c>
    </row>
    <row r="858" spans="1:6" ht="20.25">
      <c r="A858" s="49"/>
      <c r="B858" s="47" t="s">
        <v>742</v>
      </c>
      <c r="C858" s="47">
        <v>507</v>
      </c>
      <c r="D858" s="47" t="s">
        <v>82</v>
      </c>
      <c r="E858" s="12">
        <v>46121</v>
      </c>
      <c r="F858" s="20">
        <f t="shared" si="13"/>
        <v>46113</v>
      </c>
    </row>
    <row r="859" spans="1:6" ht="20.25">
      <c r="A859" s="49"/>
      <c r="B859" s="47" t="s">
        <v>1549</v>
      </c>
      <c r="C859" s="47">
        <v>700</v>
      </c>
      <c r="D859" s="47" t="s">
        <v>114</v>
      </c>
      <c r="E859" s="12">
        <v>46121</v>
      </c>
      <c r="F859" s="20">
        <f t="shared" si="13"/>
        <v>46113</v>
      </c>
    </row>
    <row r="860" spans="1:6" ht="20.25">
      <c r="A860" s="49"/>
      <c r="B860" s="47" t="s">
        <v>1286</v>
      </c>
      <c r="C860" s="47">
        <v>65</v>
      </c>
      <c r="D860" s="47" t="s">
        <v>55</v>
      </c>
      <c r="E860" s="12">
        <v>46121</v>
      </c>
      <c r="F860" s="20">
        <f t="shared" si="13"/>
        <v>46113</v>
      </c>
    </row>
    <row r="861" spans="1:6" ht="20.25">
      <c r="A861" s="49"/>
      <c r="B861" s="47" t="s">
        <v>1371</v>
      </c>
      <c r="C861" s="47">
        <v>35</v>
      </c>
      <c r="D861" s="47" t="s">
        <v>55</v>
      </c>
      <c r="E861" s="12">
        <v>46121</v>
      </c>
      <c r="F861" s="20">
        <f t="shared" si="13"/>
        <v>46113</v>
      </c>
    </row>
    <row r="862" spans="1:6" ht="20.25">
      <c r="A862" s="49"/>
      <c r="B862" s="47" t="s">
        <v>1014</v>
      </c>
      <c r="C862" s="47">
        <v>180</v>
      </c>
      <c r="D862" s="47" t="s">
        <v>55</v>
      </c>
      <c r="E862" s="12">
        <v>46121</v>
      </c>
      <c r="F862" s="20">
        <f t="shared" si="13"/>
        <v>46113</v>
      </c>
    </row>
    <row r="863" spans="1:6" ht="20.25">
      <c r="A863" s="49"/>
      <c r="B863" s="47" t="s">
        <v>1014</v>
      </c>
      <c r="C863" s="47">
        <v>118</v>
      </c>
      <c r="D863" s="47" t="s">
        <v>55</v>
      </c>
      <c r="E863" s="12">
        <v>46121</v>
      </c>
      <c r="F863" s="20">
        <f t="shared" si="13"/>
        <v>46113</v>
      </c>
    </row>
    <row r="864" spans="1:6" ht="20.25">
      <c r="A864" s="49"/>
      <c r="B864" s="47" t="s">
        <v>879</v>
      </c>
      <c r="C864" s="47">
        <v>3</v>
      </c>
      <c r="D864" s="47" t="s">
        <v>46</v>
      </c>
      <c r="E864" s="12">
        <v>46121</v>
      </c>
      <c r="F864" s="20">
        <f t="shared" si="13"/>
        <v>46113</v>
      </c>
    </row>
    <row r="865" spans="1:6" ht="20.25">
      <c r="A865" s="49"/>
      <c r="B865" s="47" t="s">
        <v>804</v>
      </c>
      <c r="C865" s="47">
        <v>34</v>
      </c>
      <c r="D865" s="47" t="s">
        <v>46</v>
      </c>
      <c r="E865" s="12">
        <v>46121</v>
      </c>
      <c r="F865" s="20">
        <f t="shared" si="13"/>
        <v>46113</v>
      </c>
    </row>
    <row r="866" spans="1:6" ht="20.25">
      <c r="A866" s="49"/>
      <c r="B866" s="47" t="s">
        <v>1277</v>
      </c>
      <c r="C866" s="47">
        <v>6</v>
      </c>
      <c r="D866" s="47" t="s">
        <v>46</v>
      </c>
      <c r="E866" s="12">
        <v>46121</v>
      </c>
      <c r="F866" s="20">
        <f t="shared" si="13"/>
        <v>46113</v>
      </c>
    </row>
    <row r="867" spans="1:6" ht="20.25">
      <c r="A867" s="49"/>
      <c r="B867" s="47" t="s">
        <v>1256</v>
      </c>
      <c r="C867" s="47">
        <v>415</v>
      </c>
      <c r="D867" s="47" t="s">
        <v>46</v>
      </c>
      <c r="E867" s="12">
        <v>46121</v>
      </c>
      <c r="F867" s="20">
        <f t="shared" si="13"/>
        <v>46113</v>
      </c>
    </row>
    <row r="868" spans="1:6" ht="20.25">
      <c r="A868" s="49"/>
      <c r="B868" s="47" t="s">
        <v>1056</v>
      </c>
      <c r="C868" s="47">
        <v>38</v>
      </c>
      <c r="D868" s="47" t="s">
        <v>46</v>
      </c>
      <c r="E868" s="12">
        <v>46121</v>
      </c>
      <c r="F868" s="20">
        <f t="shared" si="13"/>
        <v>46113</v>
      </c>
    </row>
    <row r="869" spans="1:6" ht="20.25">
      <c r="A869" s="49"/>
      <c r="B869" s="47" t="s">
        <v>1056</v>
      </c>
      <c r="C869" s="47">
        <v>72</v>
      </c>
      <c r="D869" s="47" t="s">
        <v>46</v>
      </c>
      <c r="E869" s="12">
        <v>46121</v>
      </c>
      <c r="F869" s="20">
        <f t="shared" si="13"/>
        <v>46113</v>
      </c>
    </row>
    <row r="870" spans="1:6" ht="20.25">
      <c r="A870" s="49"/>
      <c r="B870" s="47" t="s">
        <v>1056</v>
      </c>
      <c r="C870" s="47">
        <v>89</v>
      </c>
      <c r="D870" s="47" t="s">
        <v>46</v>
      </c>
      <c r="E870" s="12">
        <v>46121</v>
      </c>
      <c r="F870" s="20">
        <f t="shared" si="13"/>
        <v>46113</v>
      </c>
    </row>
    <row r="871" spans="1:6" ht="20.25">
      <c r="A871" s="49"/>
      <c r="B871" s="47" t="s">
        <v>843</v>
      </c>
      <c r="C871" s="47">
        <v>120</v>
      </c>
      <c r="D871" s="47" t="s">
        <v>46</v>
      </c>
      <c r="E871" s="12">
        <v>46121</v>
      </c>
      <c r="F871" s="20">
        <f t="shared" si="13"/>
        <v>46113</v>
      </c>
    </row>
    <row r="872" spans="1:6" ht="20.25">
      <c r="A872" s="49"/>
      <c r="B872" s="47" t="s">
        <v>944</v>
      </c>
      <c r="C872" s="47">
        <v>156</v>
      </c>
      <c r="D872" s="47" t="s">
        <v>46</v>
      </c>
      <c r="E872" s="12">
        <v>46121</v>
      </c>
      <c r="F872" s="20">
        <f t="shared" si="13"/>
        <v>46113</v>
      </c>
    </row>
    <row r="873" spans="1:6" ht="20.25">
      <c r="A873" s="49"/>
      <c r="B873" s="47" t="s">
        <v>619</v>
      </c>
      <c r="C873" s="47">
        <v>156</v>
      </c>
      <c r="D873" s="47" t="s">
        <v>46</v>
      </c>
      <c r="E873" s="12">
        <v>46121</v>
      </c>
      <c r="F873" s="20">
        <f t="shared" si="13"/>
        <v>46113</v>
      </c>
    </row>
    <row r="874" spans="1:6" ht="20.25">
      <c r="A874" s="49"/>
      <c r="B874" s="47" t="s">
        <v>618</v>
      </c>
      <c r="C874" s="47">
        <v>180</v>
      </c>
      <c r="D874" s="47" t="s">
        <v>46</v>
      </c>
      <c r="E874" s="12">
        <v>46121</v>
      </c>
      <c r="F874" s="20">
        <f t="shared" si="13"/>
        <v>46113</v>
      </c>
    </row>
    <row r="875" spans="1:6" ht="20.25">
      <c r="A875" s="49"/>
      <c r="B875" s="47" t="s">
        <v>1110</v>
      </c>
      <c r="C875" s="47">
        <v>190</v>
      </c>
      <c r="D875" s="47" t="s">
        <v>46</v>
      </c>
      <c r="E875" s="12">
        <v>46121</v>
      </c>
      <c r="F875" s="20">
        <f t="shared" si="13"/>
        <v>46113</v>
      </c>
    </row>
    <row r="876" spans="1:6" ht="20.25">
      <c r="A876" s="49"/>
      <c r="B876" s="47" t="s">
        <v>867</v>
      </c>
      <c r="C876" s="47">
        <v>35</v>
      </c>
      <c r="D876" s="47" t="s">
        <v>46</v>
      </c>
      <c r="E876" s="12">
        <v>46121</v>
      </c>
      <c r="F876" s="20">
        <f t="shared" si="13"/>
        <v>46113</v>
      </c>
    </row>
    <row r="877" spans="1:6" ht="20.25">
      <c r="A877" s="49"/>
      <c r="B877" s="47" t="s">
        <v>1262</v>
      </c>
      <c r="C877" s="47">
        <v>37</v>
      </c>
      <c r="D877" s="47" t="s">
        <v>46</v>
      </c>
      <c r="E877" s="12">
        <v>46121</v>
      </c>
      <c r="F877" s="20">
        <f t="shared" si="13"/>
        <v>46113</v>
      </c>
    </row>
    <row r="878" spans="1:6" ht="20.25">
      <c r="A878" s="49"/>
      <c r="B878" s="47" t="s">
        <v>1282</v>
      </c>
      <c r="C878" s="47">
        <v>76</v>
      </c>
      <c r="D878" s="47" t="s">
        <v>46</v>
      </c>
      <c r="E878" s="12">
        <v>46121</v>
      </c>
      <c r="F878" s="20">
        <f t="shared" si="13"/>
        <v>46113</v>
      </c>
    </row>
    <row r="879" spans="1:6" ht="20.25">
      <c r="A879" s="49"/>
      <c r="B879" s="47" t="s">
        <v>762</v>
      </c>
      <c r="C879" s="47">
        <v>35</v>
      </c>
      <c r="D879" s="47" t="s">
        <v>46</v>
      </c>
      <c r="E879" s="12">
        <v>46121</v>
      </c>
      <c r="F879" s="20">
        <f t="shared" si="13"/>
        <v>46113</v>
      </c>
    </row>
    <row r="880" spans="1:6" ht="20.25">
      <c r="A880" s="49"/>
      <c r="B880" s="47" t="s">
        <v>704</v>
      </c>
      <c r="C880" s="47">
        <v>223</v>
      </c>
      <c r="D880" s="47" t="s">
        <v>46</v>
      </c>
      <c r="E880" s="12">
        <v>46121</v>
      </c>
      <c r="F880" s="20">
        <f t="shared" si="13"/>
        <v>46113</v>
      </c>
    </row>
    <row r="881" spans="1:6" ht="20.25">
      <c r="A881" s="49"/>
      <c r="B881" s="47" t="s">
        <v>1019</v>
      </c>
      <c r="C881" s="47">
        <v>82</v>
      </c>
      <c r="D881" s="47" t="s">
        <v>46</v>
      </c>
      <c r="E881" s="12">
        <v>46121</v>
      </c>
      <c r="F881" s="20">
        <f t="shared" si="13"/>
        <v>46113</v>
      </c>
    </row>
    <row r="882" spans="1:6" ht="20.25">
      <c r="A882" s="49"/>
      <c r="B882" s="47" t="s">
        <v>1019</v>
      </c>
      <c r="C882" s="47">
        <v>345</v>
      </c>
      <c r="D882" s="47" t="s">
        <v>46</v>
      </c>
      <c r="E882" s="12">
        <v>46121</v>
      </c>
      <c r="F882" s="20">
        <f t="shared" si="13"/>
        <v>46113</v>
      </c>
    </row>
    <row r="883" spans="1:6" ht="20.25">
      <c r="A883" s="49"/>
      <c r="B883" s="47" t="s">
        <v>1598</v>
      </c>
      <c r="C883" s="47">
        <v>3</v>
      </c>
      <c r="D883" s="47" t="s">
        <v>62</v>
      </c>
      <c r="E883" s="12">
        <v>46121</v>
      </c>
      <c r="F883" s="20">
        <f t="shared" si="13"/>
        <v>46113</v>
      </c>
    </row>
    <row r="884" spans="1:6" ht="20.25">
      <c r="A884" s="49"/>
      <c r="B884" s="47" t="s">
        <v>1547</v>
      </c>
      <c r="C884" s="47">
        <v>1014</v>
      </c>
      <c r="D884" s="47" t="s">
        <v>62</v>
      </c>
      <c r="E884" s="12">
        <v>46121</v>
      </c>
      <c r="F884" s="20">
        <f t="shared" si="13"/>
        <v>46113</v>
      </c>
    </row>
    <row r="885" spans="1:6" ht="20.25">
      <c r="A885" s="49"/>
      <c r="B885" s="47" t="s">
        <v>1115</v>
      </c>
      <c r="C885" s="47">
        <v>36</v>
      </c>
      <c r="D885" s="47" t="s">
        <v>72</v>
      </c>
      <c r="E885" s="12">
        <v>46121</v>
      </c>
      <c r="F885" s="20">
        <f t="shared" si="13"/>
        <v>46113</v>
      </c>
    </row>
    <row r="886" spans="1:6" ht="20.25">
      <c r="A886" s="49"/>
      <c r="B886" s="47" t="s">
        <v>1546</v>
      </c>
      <c r="C886" s="47">
        <v>302</v>
      </c>
      <c r="D886" s="47" t="s">
        <v>63</v>
      </c>
      <c r="E886" s="12">
        <v>46121</v>
      </c>
      <c r="F886" s="20">
        <f t="shared" si="13"/>
        <v>46113</v>
      </c>
    </row>
    <row r="887" spans="1:6" ht="20.25">
      <c r="A887" s="49"/>
      <c r="B887" s="47" t="s">
        <v>665</v>
      </c>
      <c r="C887" s="47">
        <v>60</v>
      </c>
      <c r="D887" s="47" t="s">
        <v>97</v>
      </c>
      <c r="E887" s="12">
        <v>46121</v>
      </c>
      <c r="F887" s="20">
        <f t="shared" si="13"/>
        <v>46113</v>
      </c>
    </row>
    <row r="888" spans="1:6" ht="20.25">
      <c r="A888" s="49"/>
      <c r="B888" s="47" t="s">
        <v>665</v>
      </c>
      <c r="C888" s="47">
        <v>227</v>
      </c>
      <c r="D888" s="47" t="s">
        <v>97</v>
      </c>
      <c r="E888" s="12">
        <v>46121</v>
      </c>
      <c r="F888" s="20">
        <f t="shared" si="13"/>
        <v>46113</v>
      </c>
    </row>
    <row r="889" spans="1:6" ht="20.25">
      <c r="A889" s="49"/>
      <c r="B889" s="47" t="s">
        <v>1367</v>
      </c>
      <c r="C889" s="47">
        <v>649</v>
      </c>
      <c r="D889" s="47" t="s">
        <v>55</v>
      </c>
      <c r="E889" s="12">
        <v>46121</v>
      </c>
      <c r="F889" s="20">
        <f t="shared" si="13"/>
        <v>46113</v>
      </c>
    </row>
    <row r="890" spans="1:6" ht="20.25">
      <c r="A890" s="49"/>
      <c r="B890" s="47" t="s">
        <v>997</v>
      </c>
      <c r="C890" s="47">
        <v>-1</v>
      </c>
      <c r="D890" s="47" t="s">
        <v>63</v>
      </c>
      <c r="E890" s="12">
        <v>46121</v>
      </c>
      <c r="F890" s="20">
        <f t="shared" si="13"/>
        <v>46113</v>
      </c>
    </row>
    <row r="891" spans="1:6" ht="20.25">
      <c r="A891" s="49"/>
      <c r="B891" s="47" t="s">
        <v>867</v>
      </c>
      <c r="C891" s="47">
        <v>-1</v>
      </c>
      <c r="D891" s="47" t="s">
        <v>46</v>
      </c>
      <c r="E891" s="12">
        <v>46121</v>
      </c>
      <c r="F891" s="20">
        <f t="shared" si="13"/>
        <v>46113</v>
      </c>
    </row>
    <row r="892" spans="1:6" ht="20.25">
      <c r="A892" s="49"/>
      <c r="B892" s="47" t="s">
        <v>750</v>
      </c>
      <c r="C892" s="47">
        <v>-2</v>
      </c>
      <c r="D892" s="47" t="s">
        <v>46</v>
      </c>
      <c r="E892" s="12">
        <v>46121</v>
      </c>
      <c r="F892" s="20">
        <f t="shared" si="13"/>
        <v>46113</v>
      </c>
    </row>
    <row r="893" spans="1:6" ht="20.25">
      <c r="A893" s="49"/>
      <c r="B893" s="47" t="s">
        <v>1057</v>
      </c>
      <c r="C893" s="47">
        <v>109</v>
      </c>
      <c r="D893" s="47" t="s">
        <v>66</v>
      </c>
      <c r="E893" s="12">
        <v>46122</v>
      </c>
      <c r="F893" s="20">
        <f t="shared" si="13"/>
        <v>46113</v>
      </c>
    </row>
    <row r="894" spans="1:6" ht="20.25">
      <c r="A894" s="49"/>
      <c r="B894" s="47" t="s">
        <v>794</v>
      </c>
      <c r="C894" s="47">
        <v>141</v>
      </c>
      <c r="D894" s="47" t="s">
        <v>66</v>
      </c>
      <c r="E894" s="12">
        <v>46122</v>
      </c>
      <c r="F894" s="20">
        <f t="shared" si="13"/>
        <v>46113</v>
      </c>
    </row>
    <row r="895" spans="1:6" ht="20.25">
      <c r="A895" s="49"/>
      <c r="B895" s="47" t="s">
        <v>1099</v>
      </c>
      <c r="C895" s="47">
        <v>317</v>
      </c>
      <c r="D895" s="47" t="s">
        <v>66</v>
      </c>
      <c r="E895" s="12">
        <v>46122</v>
      </c>
      <c r="F895" s="20">
        <f t="shared" si="13"/>
        <v>46113</v>
      </c>
    </row>
    <row r="896" spans="1:6" ht="20.25">
      <c r="A896" s="49"/>
      <c r="B896" s="47" t="s">
        <v>1423</v>
      </c>
      <c r="C896" s="47">
        <v>229</v>
      </c>
      <c r="D896" s="47" t="s">
        <v>66</v>
      </c>
      <c r="E896" s="12">
        <v>46122</v>
      </c>
      <c r="F896" s="20">
        <f t="shared" si="13"/>
        <v>46113</v>
      </c>
    </row>
    <row r="897" spans="1:6" ht="20.25">
      <c r="A897" s="49"/>
      <c r="B897" s="47" t="s">
        <v>1549</v>
      </c>
      <c r="C897" s="47">
        <v>33</v>
      </c>
      <c r="D897" s="47" t="s">
        <v>66</v>
      </c>
      <c r="E897" s="12">
        <v>46122</v>
      </c>
      <c r="F897" s="20">
        <f t="shared" si="13"/>
        <v>46113</v>
      </c>
    </row>
    <row r="898" spans="1:6" ht="20.25">
      <c r="A898" s="49"/>
      <c r="B898" s="47" t="s">
        <v>876</v>
      </c>
      <c r="C898" s="47">
        <v>28</v>
      </c>
      <c r="D898" s="47" t="s">
        <v>66</v>
      </c>
      <c r="E898" s="12">
        <v>46122</v>
      </c>
      <c r="F898" s="20">
        <f t="shared" ref="F898:F961" si="14">EOMONTH(E898,-1)+1</f>
        <v>46113</v>
      </c>
    </row>
    <row r="899" spans="1:6" ht="20.25">
      <c r="A899" s="49"/>
      <c r="B899" s="47" t="s">
        <v>1036</v>
      </c>
      <c r="C899" s="47">
        <v>37</v>
      </c>
      <c r="D899" s="47" t="s">
        <v>66</v>
      </c>
      <c r="E899" s="12">
        <v>46122</v>
      </c>
      <c r="F899" s="20">
        <f t="shared" si="14"/>
        <v>46113</v>
      </c>
    </row>
    <row r="900" spans="1:6" ht="20.25">
      <c r="A900" s="49"/>
      <c r="B900" s="47" t="s">
        <v>1600</v>
      </c>
      <c r="C900" s="47">
        <v>41</v>
      </c>
      <c r="D900" s="47" t="s">
        <v>66</v>
      </c>
      <c r="E900" s="12">
        <v>46122</v>
      </c>
      <c r="F900" s="20">
        <f t="shared" si="14"/>
        <v>46113</v>
      </c>
    </row>
    <row r="901" spans="1:6" ht="20.25">
      <c r="A901" s="49"/>
      <c r="B901" s="47" t="s">
        <v>983</v>
      </c>
      <c r="C901" s="47">
        <v>91</v>
      </c>
      <c r="D901" s="47" t="s">
        <v>66</v>
      </c>
      <c r="E901" s="12">
        <v>46122</v>
      </c>
      <c r="F901" s="20">
        <f t="shared" si="14"/>
        <v>46113</v>
      </c>
    </row>
    <row r="902" spans="1:6" ht="20.25">
      <c r="A902" s="49"/>
      <c r="B902" s="47" t="s">
        <v>1328</v>
      </c>
      <c r="C902" s="47">
        <v>68</v>
      </c>
      <c r="D902" s="47" t="s">
        <v>66</v>
      </c>
      <c r="E902" s="12">
        <v>46122</v>
      </c>
      <c r="F902" s="20">
        <f t="shared" si="14"/>
        <v>46113</v>
      </c>
    </row>
    <row r="903" spans="1:6" ht="20.25">
      <c r="A903" s="49"/>
      <c r="B903" s="47" t="s">
        <v>657</v>
      </c>
      <c r="C903" s="47">
        <v>1</v>
      </c>
      <c r="D903" s="47" t="s">
        <v>160</v>
      </c>
      <c r="E903" s="12">
        <v>46122</v>
      </c>
      <c r="F903" s="20">
        <f t="shared" si="14"/>
        <v>46113</v>
      </c>
    </row>
    <row r="904" spans="1:6" ht="20.25">
      <c r="A904" s="49"/>
      <c r="B904" s="47" t="s">
        <v>1601</v>
      </c>
      <c r="C904" s="47">
        <v>56</v>
      </c>
      <c r="D904" s="47" t="s">
        <v>160</v>
      </c>
      <c r="E904" s="12">
        <v>46122</v>
      </c>
      <c r="F904" s="20">
        <f t="shared" si="14"/>
        <v>46113</v>
      </c>
    </row>
    <row r="905" spans="1:6" ht="20.25">
      <c r="A905" s="49"/>
      <c r="B905" s="47" t="s">
        <v>836</v>
      </c>
      <c r="C905" s="47">
        <v>75</v>
      </c>
      <c r="D905" s="47" t="s">
        <v>160</v>
      </c>
      <c r="E905" s="12">
        <v>46122</v>
      </c>
      <c r="F905" s="20">
        <f t="shared" si="14"/>
        <v>46113</v>
      </c>
    </row>
    <row r="906" spans="1:6" ht="20.25">
      <c r="A906" s="49"/>
      <c r="B906" s="47" t="s">
        <v>774</v>
      </c>
      <c r="C906" s="47">
        <v>87</v>
      </c>
      <c r="D906" s="47" t="s">
        <v>160</v>
      </c>
      <c r="E906" s="12">
        <v>46122</v>
      </c>
      <c r="F906" s="20">
        <f t="shared" si="14"/>
        <v>46113</v>
      </c>
    </row>
    <row r="907" spans="1:6" ht="20.25">
      <c r="A907" s="49"/>
      <c r="B907" s="47" t="s">
        <v>834</v>
      </c>
      <c r="C907" s="47">
        <v>117</v>
      </c>
      <c r="D907" s="47" t="s">
        <v>160</v>
      </c>
      <c r="E907" s="12">
        <v>46122</v>
      </c>
      <c r="F907" s="20">
        <f t="shared" si="14"/>
        <v>46113</v>
      </c>
    </row>
    <row r="908" spans="1:6" ht="20.25">
      <c r="A908" s="49"/>
      <c r="B908" s="47" t="s">
        <v>987</v>
      </c>
      <c r="C908" s="47">
        <v>147</v>
      </c>
      <c r="D908" s="47" t="s">
        <v>160</v>
      </c>
      <c r="E908" s="12">
        <v>46122</v>
      </c>
      <c r="F908" s="20">
        <f t="shared" si="14"/>
        <v>46113</v>
      </c>
    </row>
    <row r="909" spans="1:6" ht="20.25">
      <c r="A909" s="49"/>
      <c r="B909" s="47" t="s">
        <v>1349</v>
      </c>
      <c r="C909" s="47">
        <v>262</v>
      </c>
      <c r="D909" s="47" t="s">
        <v>160</v>
      </c>
      <c r="E909" s="12">
        <v>46122</v>
      </c>
      <c r="F909" s="20">
        <f t="shared" si="14"/>
        <v>46113</v>
      </c>
    </row>
    <row r="910" spans="1:6" ht="20.25">
      <c r="A910" s="49"/>
      <c r="B910" s="47" t="s">
        <v>735</v>
      </c>
      <c r="C910" s="47">
        <v>33</v>
      </c>
      <c r="D910" s="47" t="s">
        <v>66</v>
      </c>
      <c r="E910" s="12">
        <v>46122</v>
      </c>
      <c r="F910" s="20">
        <f t="shared" si="14"/>
        <v>46113</v>
      </c>
    </row>
    <row r="911" spans="1:6" ht="20.25">
      <c r="A911" s="49"/>
      <c r="B911" s="47" t="s">
        <v>1549</v>
      </c>
      <c r="C911" s="47">
        <v>10</v>
      </c>
      <c r="D911" s="47" t="s">
        <v>95</v>
      </c>
      <c r="E911" s="12">
        <v>46122</v>
      </c>
      <c r="F911" s="20">
        <f t="shared" si="14"/>
        <v>46113</v>
      </c>
    </row>
    <row r="912" spans="1:6" ht="20.25">
      <c r="A912" s="49"/>
      <c r="B912" s="47" t="s">
        <v>1038</v>
      </c>
      <c r="C912" s="47">
        <v>55</v>
      </c>
      <c r="D912" s="47" t="s">
        <v>95</v>
      </c>
      <c r="E912" s="12">
        <v>46122</v>
      </c>
      <c r="F912" s="20">
        <f t="shared" si="14"/>
        <v>46113</v>
      </c>
    </row>
    <row r="913" spans="1:6" ht="20.25">
      <c r="A913" s="49"/>
      <c r="B913" s="47" t="s">
        <v>1038</v>
      </c>
      <c r="C913" s="47">
        <v>366</v>
      </c>
      <c r="D913" s="47" t="s">
        <v>95</v>
      </c>
      <c r="E913" s="12">
        <v>46122</v>
      </c>
      <c r="F913" s="20">
        <f t="shared" si="14"/>
        <v>46113</v>
      </c>
    </row>
    <row r="914" spans="1:6" ht="20.25">
      <c r="A914" s="49"/>
      <c r="B914" s="47" t="s">
        <v>1364</v>
      </c>
      <c r="C914" s="47">
        <v>343</v>
      </c>
      <c r="D914" s="47" t="s">
        <v>95</v>
      </c>
      <c r="E914" s="12">
        <v>46122</v>
      </c>
      <c r="F914" s="20">
        <f t="shared" si="14"/>
        <v>46113</v>
      </c>
    </row>
    <row r="915" spans="1:6" ht="20.25">
      <c r="A915" s="49"/>
      <c r="B915" s="47" t="s">
        <v>871</v>
      </c>
      <c r="C915" s="47">
        <v>98</v>
      </c>
      <c r="D915" s="47" t="s">
        <v>95</v>
      </c>
      <c r="E915" s="12">
        <v>46122</v>
      </c>
      <c r="F915" s="20">
        <f t="shared" si="14"/>
        <v>46113</v>
      </c>
    </row>
    <row r="916" spans="1:6" ht="20.25">
      <c r="A916" s="49"/>
      <c r="B916" s="47" t="s">
        <v>1261</v>
      </c>
      <c r="C916" s="47">
        <v>32</v>
      </c>
      <c r="D916" s="47" t="s">
        <v>95</v>
      </c>
      <c r="E916" s="12">
        <v>46122</v>
      </c>
      <c r="F916" s="20">
        <f t="shared" si="14"/>
        <v>46113</v>
      </c>
    </row>
    <row r="917" spans="1:6" ht="20.25">
      <c r="A917" s="49"/>
      <c r="B917" s="47" t="s">
        <v>1375</v>
      </c>
      <c r="C917" s="47">
        <v>47</v>
      </c>
      <c r="D917" s="47" t="s">
        <v>95</v>
      </c>
      <c r="E917" s="12">
        <v>46122</v>
      </c>
      <c r="F917" s="20">
        <f t="shared" si="14"/>
        <v>46113</v>
      </c>
    </row>
    <row r="918" spans="1:6" ht="20.25">
      <c r="A918" s="49"/>
      <c r="B918" s="47" t="s">
        <v>1164</v>
      </c>
      <c r="C918" s="47">
        <v>110</v>
      </c>
      <c r="D918" s="47" t="s">
        <v>95</v>
      </c>
      <c r="E918" s="12">
        <v>46122</v>
      </c>
      <c r="F918" s="20">
        <f t="shared" si="14"/>
        <v>46113</v>
      </c>
    </row>
    <row r="919" spans="1:6" ht="20.25">
      <c r="A919" s="49"/>
      <c r="B919" s="47" t="s">
        <v>1363</v>
      </c>
      <c r="C919" s="47">
        <v>41</v>
      </c>
      <c r="D919" s="47" t="s">
        <v>95</v>
      </c>
      <c r="E919" s="12">
        <v>46122</v>
      </c>
      <c r="F919" s="20">
        <f t="shared" si="14"/>
        <v>46113</v>
      </c>
    </row>
    <row r="920" spans="1:6" ht="20.25">
      <c r="A920" s="49"/>
      <c r="B920" s="47" t="s">
        <v>603</v>
      </c>
      <c r="C920" s="47">
        <v>162</v>
      </c>
      <c r="D920" s="47" t="s">
        <v>95</v>
      </c>
      <c r="E920" s="12">
        <v>46122</v>
      </c>
      <c r="F920" s="20">
        <f t="shared" si="14"/>
        <v>46113</v>
      </c>
    </row>
    <row r="921" spans="1:6" ht="20.25">
      <c r="A921" s="49"/>
      <c r="B921" s="47" t="s">
        <v>624</v>
      </c>
      <c r="C921" s="47">
        <v>76</v>
      </c>
      <c r="D921" s="47" t="s">
        <v>72</v>
      </c>
      <c r="E921" s="12">
        <v>46122</v>
      </c>
      <c r="F921" s="20">
        <f t="shared" si="14"/>
        <v>46113</v>
      </c>
    </row>
    <row r="922" spans="1:6" ht="20.25">
      <c r="A922" s="49"/>
      <c r="B922" s="47" t="s">
        <v>701</v>
      </c>
      <c r="C922" s="47">
        <v>215</v>
      </c>
      <c r="D922" s="47" t="s">
        <v>72</v>
      </c>
      <c r="E922" s="12">
        <v>46122</v>
      </c>
      <c r="F922" s="20">
        <f t="shared" si="14"/>
        <v>46113</v>
      </c>
    </row>
    <row r="923" spans="1:6" ht="20.25">
      <c r="A923" s="49"/>
      <c r="B923" s="47" t="s">
        <v>814</v>
      </c>
      <c r="C923" s="47">
        <v>351</v>
      </c>
      <c r="D923" s="47" t="s">
        <v>72</v>
      </c>
      <c r="E923" s="12">
        <v>46122</v>
      </c>
      <c r="F923" s="20">
        <f t="shared" si="14"/>
        <v>46113</v>
      </c>
    </row>
    <row r="924" spans="1:6" ht="20.25">
      <c r="A924" s="49"/>
      <c r="B924" s="47" t="s">
        <v>917</v>
      </c>
      <c r="C924" s="47">
        <v>68</v>
      </c>
      <c r="D924" s="47" t="s">
        <v>72</v>
      </c>
      <c r="E924" s="12">
        <v>46122</v>
      </c>
      <c r="F924" s="20">
        <f t="shared" si="14"/>
        <v>46113</v>
      </c>
    </row>
    <row r="925" spans="1:6" ht="20.25">
      <c r="A925" s="49"/>
      <c r="B925" s="47" t="s">
        <v>904</v>
      </c>
      <c r="C925" s="47">
        <v>58</v>
      </c>
      <c r="D925" s="47" t="s">
        <v>72</v>
      </c>
      <c r="E925" s="12">
        <v>46122</v>
      </c>
      <c r="F925" s="20">
        <f t="shared" si="14"/>
        <v>46113</v>
      </c>
    </row>
    <row r="926" spans="1:6" ht="20.25">
      <c r="A926" s="49"/>
      <c r="B926" s="47" t="s">
        <v>1457</v>
      </c>
      <c r="C926" s="47">
        <v>90</v>
      </c>
      <c r="D926" s="47" t="s">
        <v>72</v>
      </c>
      <c r="E926" s="12">
        <v>46122</v>
      </c>
      <c r="F926" s="20">
        <f t="shared" si="14"/>
        <v>46113</v>
      </c>
    </row>
    <row r="927" spans="1:6" ht="20.25">
      <c r="A927" s="49"/>
      <c r="B927" s="47" t="s">
        <v>727</v>
      </c>
      <c r="C927" s="47">
        <v>50</v>
      </c>
      <c r="D927" s="47" t="s">
        <v>72</v>
      </c>
      <c r="E927" s="12">
        <v>46122</v>
      </c>
      <c r="F927" s="20">
        <f t="shared" si="14"/>
        <v>46113</v>
      </c>
    </row>
    <row r="928" spans="1:6" ht="20.25">
      <c r="A928" s="49"/>
      <c r="B928" s="47" t="s">
        <v>978</v>
      </c>
      <c r="C928" s="47">
        <v>152</v>
      </c>
      <c r="D928" s="47" t="s">
        <v>72</v>
      </c>
      <c r="E928" s="12">
        <v>46122</v>
      </c>
      <c r="F928" s="20">
        <f t="shared" si="14"/>
        <v>46113</v>
      </c>
    </row>
    <row r="929" spans="1:6" ht="20.25">
      <c r="A929" s="49"/>
      <c r="B929" s="47" t="s">
        <v>864</v>
      </c>
      <c r="C929" s="47">
        <v>61</v>
      </c>
      <c r="D929" s="47" t="s">
        <v>72</v>
      </c>
      <c r="E929" s="12">
        <v>46122</v>
      </c>
      <c r="F929" s="20">
        <f t="shared" si="14"/>
        <v>46113</v>
      </c>
    </row>
    <row r="930" spans="1:6" ht="20.25">
      <c r="A930" s="49"/>
      <c r="B930" s="47" t="s">
        <v>1343</v>
      </c>
      <c r="C930" s="47">
        <v>60</v>
      </c>
      <c r="D930" s="47" t="s">
        <v>72</v>
      </c>
      <c r="E930" s="12">
        <v>46122</v>
      </c>
      <c r="F930" s="20">
        <f t="shared" si="14"/>
        <v>46113</v>
      </c>
    </row>
    <row r="931" spans="1:6" ht="20.25">
      <c r="A931" s="49"/>
      <c r="B931" s="47" t="s">
        <v>1069</v>
      </c>
      <c r="C931" s="47">
        <v>308</v>
      </c>
      <c r="D931" s="47" t="s">
        <v>72</v>
      </c>
      <c r="E931" s="12">
        <v>46122</v>
      </c>
      <c r="F931" s="20">
        <f t="shared" si="14"/>
        <v>46113</v>
      </c>
    </row>
    <row r="932" spans="1:6" ht="20.25">
      <c r="A932" s="49"/>
      <c r="B932" s="47" t="s">
        <v>821</v>
      </c>
      <c r="C932" s="47">
        <v>48</v>
      </c>
      <c r="D932" s="47" t="s">
        <v>63</v>
      </c>
      <c r="E932" s="12">
        <v>46122</v>
      </c>
      <c r="F932" s="20">
        <f t="shared" si="14"/>
        <v>46113</v>
      </c>
    </row>
    <row r="933" spans="1:6" ht="20.25">
      <c r="A933" s="49"/>
      <c r="B933" s="47" t="s">
        <v>1090</v>
      </c>
      <c r="C933" s="47">
        <v>36</v>
      </c>
      <c r="D933" s="47" t="s">
        <v>63</v>
      </c>
      <c r="E933" s="12">
        <v>46122</v>
      </c>
      <c r="F933" s="20">
        <f t="shared" si="14"/>
        <v>46113</v>
      </c>
    </row>
    <row r="934" spans="1:6" ht="20.25">
      <c r="A934" s="49"/>
      <c r="B934" s="47" t="s">
        <v>764</v>
      </c>
      <c r="C934" s="47">
        <v>56</v>
      </c>
      <c r="D934" s="47" t="s">
        <v>63</v>
      </c>
      <c r="E934" s="12">
        <v>46122</v>
      </c>
      <c r="F934" s="20">
        <f t="shared" si="14"/>
        <v>46113</v>
      </c>
    </row>
    <row r="935" spans="1:6" ht="20.25">
      <c r="A935" s="49"/>
      <c r="B935" s="47" t="s">
        <v>1549</v>
      </c>
      <c r="C935" s="47">
        <v>357</v>
      </c>
      <c r="D935" s="47" t="s">
        <v>63</v>
      </c>
      <c r="E935" s="12">
        <v>46122</v>
      </c>
      <c r="F935" s="20">
        <f t="shared" si="14"/>
        <v>46113</v>
      </c>
    </row>
    <row r="936" spans="1:6" ht="20.25">
      <c r="A936" s="49"/>
      <c r="B936" s="47" t="s">
        <v>1549</v>
      </c>
      <c r="C936" s="47">
        <v>727</v>
      </c>
      <c r="D936" s="47" t="s">
        <v>63</v>
      </c>
      <c r="E936" s="12">
        <v>46122</v>
      </c>
      <c r="F936" s="20">
        <f t="shared" si="14"/>
        <v>46113</v>
      </c>
    </row>
    <row r="937" spans="1:6" ht="20.25">
      <c r="A937" s="49"/>
      <c r="B937" s="47" t="s">
        <v>1118</v>
      </c>
      <c r="C937" s="47">
        <v>35</v>
      </c>
      <c r="D937" s="47" t="s">
        <v>72</v>
      </c>
      <c r="E937" s="12">
        <v>46122</v>
      </c>
      <c r="F937" s="20">
        <f t="shared" si="14"/>
        <v>46113</v>
      </c>
    </row>
    <row r="938" spans="1:6" ht="20.25">
      <c r="A938" s="49"/>
      <c r="B938" s="47" t="s">
        <v>1161</v>
      </c>
      <c r="C938" s="47">
        <v>95</v>
      </c>
      <c r="D938" s="47" t="s">
        <v>95</v>
      </c>
      <c r="E938" s="12">
        <v>46122</v>
      </c>
      <c r="F938" s="20">
        <f t="shared" si="14"/>
        <v>46113</v>
      </c>
    </row>
    <row r="939" spans="1:6" ht="20.25">
      <c r="A939" s="49"/>
      <c r="B939" s="47" t="s">
        <v>966</v>
      </c>
      <c r="C939" s="47">
        <v>59</v>
      </c>
      <c r="D939" s="47" t="s">
        <v>95</v>
      </c>
      <c r="E939" s="12">
        <v>46122</v>
      </c>
      <c r="F939" s="20">
        <f t="shared" si="14"/>
        <v>46113</v>
      </c>
    </row>
    <row r="940" spans="1:6" ht="20.25">
      <c r="A940" s="49"/>
      <c r="B940" s="47" t="s">
        <v>1255</v>
      </c>
      <c r="C940" s="47">
        <v>33</v>
      </c>
      <c r="D940" s="47" t="s">
        <v>95</v>
      </c>
      <c r="E940" s="12">
        <v>46122</v>
      </c>
      <c r="F940" s="20">
        <f t="shared" si="14"/>
        <v>46113</v>
      </c>
    </row>
    <row r="941" spans="1:6" ht="20.25">
      <c r="A941" s="49"/>
      <c r="B941" s="47" t="s">
        <v>1114</v>
      </c>
      <c r="C941" s="47">
        <v>39</v>
      </c>
      <c r="D941" s="47" t="s">
        <v>95</v>
      </c>
      <c r="E941" s="12">
        <v>46122</v>
      </c>
      <c r="F941" s="20">
        <f t="shared" si="14"/>
        <v>46113</v>
      </c>
    </row>
    <row r="942" spans="1:6" ht="20.25">
      <c r="A942" s="49"/>
      <c r="B942" s="47" t="s">
        <v>1151</v>
      </c>
      <c r="C942" s="47">
        <v>51</v>
      </c>
      <c r="D942" s="47" t="s">
        <v>95</v>
      </c>
      <c r="E942" s="12">
        <v>46122</v>
      </c>
      <c r="F942" s="20">
        <f t="shared" si="14"/>
        <v>46113</v>
      </c>
    </row>
    <row r="943" spans="1:6" ht="20.25">
      <c r="A943" s="49"/>
      <c r="B943" s="47" t="s">
        <v>1069</v>
      </c>
      <c r="C943" s="47">
        <v>66</v>
      </c>
      <c r="D943" s="47" t="s">
        <v>82</v>
      </c>
      <c r="E943" s="12">
        <v>46122</v>
      </c>
      <c r="F943" s="20">
        <f t="shared" si="14"/>
        <v>46113</v>
      </c>
    </row>
    <row r="944" spans="1:6" ht="20.25">
      <c r="A944" s="49"/>
      <c r="B944" s="47" t="s">
        <v>799</v>
      </c>
      <c r="C944" s="47">
        <v>132</v>
      </c>
      <c r="D944" s="47" t="s">
        <v>82</v>
      </c>
      <c r="E944" s="12">
        <v>46122</v>
      </c>
      <c r="F944" s="20">
        <f t="shared" si="14"/>
        <v>46113</v>
      </c>
    </row>
    <row r="945" spans="1:6" ht="20.25">
      <c r="A945" s="49"/>
      <c r="B945" s="47" t="s">
        <v>942</v>
      </c>
      <c r="C945" s="47">
        <v>41</v>
      </c>
      <c r="D945" s="47" t="s">
        <v>82</v>
      </c>
      <c r="E945" s="12">
        <v>46122</v>
      </c>
      <c r="F945" s="20">
        <f t="shared" si="14"/>
        <v>46113</v>
      </c>
    </row>
    <row r="946" spans="1:6" ht="20.25">
      <c r="A946" s="49"/>
      <c r="B946" s="47" t="s">
        <v>942</v>
      </c>
      <c r="C946" s="47">
        <v>350</v>
      </c>
      <c r="D946" s="47" t="s">
        <v>82</v>
      </c>
      <c r="E946" s="12">
        <v>46122</v>
      </c>
      <c r="F946" s="20">
        <f t="shared" si="14"/>
        <v>46113</v>
      </c>
    </row>
    <row r="947" spans="1:6" ht="20.25">
      <c r="A947" s="49"/>
      <c r="B947" s="47" t="s">
        <v>1235</v>
      </c>
      <c r="C947" s="47">
        <v>275</v>
      </c>
      <c r="D947" s="47" t="s">
        <v>82</v>
      </c>
      <c r="E947" s="12">
        <v>46122</v>
      </c>
      <c r="F947" s="20">
        <f t="shared" si="14"/>
        <v>46113</v>
      </c>
    </row>
    <row r="948" spans="1:6" ht="20.25">
      <c r="A948" s="49"/>
      <c r="B948" s="47" t="s">
        <v>1012</v>
      </c>
      <c r="C948" s="47">
        <v>42</v>
      </c>
      <c r="D948" s="47" t="s">
        <v>82</v>
      </c>
      <c r="E948" s="12">
        <v>46122</v>
      </c>
      <c r="F948" s="20">
        <f t="shared" si="14"/>
        <v>46113</v>
      </c>
    </row>
    <row r="949" spans="1:6" ht="20.25">
      <c r="A949" s="49"/>
      <c r="B949" s="47" t="s">
        <v>820</v>
      </c>
      <c r="C949" s="47">
        <v>222</v>
      </c>
      <c r="D949" s="47" t="s">
        <v>95</v>
      </c>
      <c r="E949" s="12">
        <v>46122</v>
      </c>
      <c r="F949" s="20">
        <f t="shared" si="14"/>
        <v>46113</v>
      </c>
    </row>
    <row r="950" spans="1:6" ht="20.25">
      <c r="A950" s="49"/>
      <c r="B950" s="47" t="s">
        <v>603</v>
      </c>
      <c r="C950" s="47">
        <v>394</v>
      </c>
      <c r="D950" s="47" t="s">
        <v>95</v>
      </c>
      <c r="E950" s="12">
        <v>46122</v>
      </c>
      <c r="F950" s="20">
        <f t="shared" si="14"/>
        <v>46113</v>
      </c>
    </row>
    <row r="951" spans="1:6" ht="20.25">
      <c r="A951" s="49"/>
      <c r="B951" s="47" t="s">
        <v>1367</v>
      </c>
      <c r="C951" s="47">
        <v>96</v>
      </c>
      <c r="D951" s="47" t="s">
        <v>55</v>
      </c>
      <c r="E951" s="12">
        <v>46122</v>
      </c>
      <c r="F951" s="20">
        <f t="shared" si="14"/>
        <v>46113</v>
      </c>
    </row>
    <row r="952" spans="1:6" ht="20.25">
      <c r="A952" s="49"/>
      <c r="B952" s="47" t="s">
        <v>610</v>
      </c>
      <c r="C952" s="47">
        <v>176</v>
      </c>
      <c r="D952" s="47" t="s">
        <v>55</v>
      </c>
      <c r="E952" s="12">
        <v>46122</v>
      </c>
      <c r="F952" s="20">
        <f t="shared" si="14"/>
        <v>46113</v>
      </c>
    </row>
    <row r="953" spans="1:6" ht="20.25">
      <c r="A953" s="49"/>
      <c r="B953" s="47" t="s">
        <v>1331</v>
      </c>
      <c r="C953" s="47">
        <v>27</v>
      </c>
      <c r="D953" s="47" t="s">
        <v>55</v>
      </c>
      <c r="E953" s="12">
        <v>46122</v>
      </c>
      <c r="F953" s="20">
        <f t="shared" si="14"/>
        <v>46113</v>
      </c>
    </row>
    <row r="954" spans="1:6" ht="20.25">
      <c r="A954" s="49"/>
      <c r="B954" s="47" t="s">
        <v>862</v>
      </c>
      <c r="C954" s="47">
        <v>45</v>
      </c>
      <c r="D954" s="47" t="s">
        <v>55</v>
      </c>
      <c r="E954" s="12">
        <v>46122</v>
      </c>
      <c r="F954" s="20">
        <f t="shared" si="14"/>
        <v>46113</v>
      </c>
    </row>
    <row r="955" spans="1:6" ht="20.25">
      <c r="A955" s="49"/>
      <c r="B955" s="47" t="s">
        <v>812</v>
      </c>
      <c r="C955" s="47">
        <v>64</v>
      </c>
      <c r="D955" s="47" t="s">
        <v>55</v>
      </c>
      <c r="E955" s="12">
        <v>46122</v>
      </c>
      <c r="F955" s="20">
        <f t="shared" si="14"/>
        <v>46113</v>
      </c>
    </row>
    <row r="956" spans="1:6" ht="20.25">
      <c r="A956" s="49"/>
      <c r="B956" s="47" t="s">
        <v>1371</v>
      </c>
      <c r="C956" s="47">
        <v>267</v>
      </c>
      <c r="D956" s="47" t="s">
        <v>55</v>
      </c>
      <c r="E956" s="12">
        <v>46122</v>
      </c>
      <c r="F956" s="20">
        <f t="shared" si="14"/>
        <v>46113</v>
      </c>
    </row>
    <row r="957" spans="1:6" ht="20.25">
      <c r="A957" s="49"/>
      <c r="B957" s="47" t="s">
        <v>1125</v>
      </c>
      <c r="C957" s="47">
        <v>430</v>
      </c>
      <c r="D957" s="47" t="s">
        <v>160</v>
      </c>
      <c r="E957" s="12">
        <v>46122</v>
      </c>
      <c r="F957" s="20">
        <f t="shared" si="14"/>
        <v>46113</v>
      </c>
    </row>
    <row r="958" spans="1:6" ht="20.25">
      <c r="A958" s="49"/>
      <c r="B958" s="47" t="s">
        <v>1431</v>
      </c>
      <c r="C958" s="47">
        <v>32</v>
      </c>
      <c r="D958" s="47" t="s">
        <v>62</v>
      </c>
      <c r="E958" s="12">
        <v>46122</v>
      </c>
      <c r="F958" s="20">
        <f t="shared" si="14"/>
        <v>46113</v>
      </c>
    </row>
    <row r="959" spans="1:6" ht="20.25">
      <c r="A959" s="49"/>
      <c r="B959" s="47" t="s">
        <v>1431</v>
      </c>
      <c r="C959" s="47">
        <v>158</v>
      </c>
      <c r="D959" s="47" t="s">
        <v>62</v>
      </c>
      <c r="E959" s="12">
        <v>46122</v>
      </c>
      <c r="F959" s="20">
        <f t="shared" si="14"/>
        <v>46113</v>
      </c>
    </row>
    <row r="960" spans="1:6" ht="20.25">
      <c r="A960" s="49"/>
      <c r="B960" s="47" t="s">
        <v>771</v>
      </c>
      <c r="C960" s="47">
        <v>13</v>
      </c>
      <c r="D960" s="47" t="s">
        <v>62</v>
      </c>
      <c r="E960" s="12">
        <v>46122</v>
      </c>
      <c r="F960" s="20">
        <f t="shared" si="14"/>
        <v>46113</v>
      </c>
    </row>
    <row r="961" spans="1:6" ht="20.25">
      <c r="A961" s="49"/>
      <c r="B961" s="47" t="s">
        <v>655</v>
      </c>
      <c r="C961" s="47">
        <v>84</v>
      </c>
      <c r="D961" s="47" t="s">
        <v>62</v>
      </c>
      <c r="E961" s="12">
        <v>46122</v>
      </c>
      <c r="F961" s="20">
        <f t="shared" si="14"/>
        <v>46113</v>
      </c>
    </row>
    <row r="962" spans="1:6" ht="20.25">
      <c r="A962" s="49"/>
      <c r="B962" s="47" t="s">
        <v>938</v>
      </c>
      <c r="C962" s="47">
        <v>171</v>
      </c>
      <c r="D962" s="47" t="s">
        <v>62</v>
      </c>
      <c r="E962" s="12">
        <v>46122</v>
      </c>
      <c r="F962" s="20">
        <f t="shared" ref="F962:F1025" si="15">EOMONTH(E962,-1)+1</f>
        <v>46113</v>
      </c>
    </row>
    <row r="963" spans="1:6" ht="20.25">
      <c r="A963" s="49"/>
      <c r="B963" s="47" t="s">
        <v>938</v>
      </c>
      <c r="C963" s="47">
        <v>83</v>
      </c>
      <c r="D963" s="47" t="s">
        <v>62</v>
      </c>
      <c r="E963" s="12">
        <v>46122</v>
      </c>
      <c r="F963" s="20">
        <f t="shared" si="15"/>
        <v>46113</v>
      </c>
    </row>
    <row r="964" spans="1:6" ht="20.25">
      <c r="A964" s="49"/>
      <c r="B964" s="47" t="s">
        <v>688</v>
      </c>
      <c r="C964" s="47">
        <v>184</v>
      </c>
      <c r="D964" s="47" t="s">
        <v>62</v>
      </c>
      <c r="E964" s="12">
        <v>46122</v>
      </c>
      <c r="F964" s="20">
        <f t="shared" si="15"/>
        <v>46113</v>
      </c>
    </row>
    <row r="965" spans="1:6" ht="20.25">
      <c r="A965" s="49"/>
      <c r="B965" s="47" t="s">
        <v>826</v>
      </c>
      <c r="C965" s="47">
        <v>20</v>
      </c>
      <c r="D965" s="47" t="s">
        <v>62</v>
      </c>
      <c r="E965" s="12">
        <v>46122</v>
      </c>
      <c r="F965" s="20">
        <f t="shared" si="15"/>
        <v>46113</v>
      </c>
    </row>
    <row r="966" spans="1:6" ht="20.25">
      <c r="A966" s="49"/>
      <c r="B966" s="47" t="s">
        <v>831</v>
      </c>
      <c r="C966" s="47">
        <v>31</v>
      </c>
      <c r="D966" s="47" t="s">
        <v>62</v>
      </c>
      <c r="E966" s="12">
        <v>46122</v>
      </c>
      <c r="F966" s="20">
        <f t="shared" si="15"/>
        <v>46113</v>
      </c>
    </row>
    <row r="967" spans="1:6" ht="20.25">
      <c r="A967" s="49"/>
      <c r="B967" s="47" t="s">
        <v>1435</v>
      </c>
      <c r="C967" s="47">
        <v>222</v>
      </c>
      <c r="D967" s="47" t="s">
        <v>62</v>
      </c>
      <c r="E967" s="12">
        <v>46122</v>
      </c>
      <c r="F967" s="20">
        <f t="shared" si="15"/>
        <v>46113</v>
      </c>
    </row>
    <row r="968" spans="1:6" ht="20.25">
      <c r="A968" s="49"/>
      <c r="B968" s="47" t="s">
        <v>1434</v>
      </c>
      <c r="C968" s="47">
        <v>307</v>
      </c>
      <c r="D968" s="47" t="s">
        <v>62</v>
      </c>
      <c r="E968" s="12">
        <v>46122</v>
      </c>
      <c r="F968" s="20">
        <f t="shared" si="15"/>
        <v>46113</v>
      </c>
    </row>
    <row r="969" spans="1:6" ht="20.25">
      <c r="A969" s="49"/>
      <c r="B969" s="47" t="s">
        <v>1428</v>
      </c>
      <c r="C969" s="47">
        <v>161</v>
      </c>
      <c r="D969" s="47" t="s">
        <v>62</v>
      </c>
      <c r="E969" s="12">
        <v>46122</v>
      </c>
      <c r="F969" s="20">
        <f t="shared" si="15"/>
        <v>46113</v>
      </c>
    </row>
    <row r="970" spans="1:6" ht="20.25">
      <c r="A970" s="49"/>
      <c r="B970" s="47" t="s">
        <v>784</v>
      </c>
      <c r="C970" s="47">
        <v>141</v>
      </c>
      <c r="D970" s="47" t="s">
        <v>62</v>
      </c>
      <c r="E970" s="12">
        <v>46122</v>
      </c>
      <c r="F970" s="20">
        <f t="shared" si="15"/>
        <v>46113</v>
      </c>
    </row>
    <row r="971" spans="1:6" ht="20.25">
      <c r="A971" s="49"/>
      <c r="B971" s="47" t="s">
        <v>1518</v>
      </c>
      <c r="C971" s="47">
        <v>17</v>
      </c>
      <c r="D971" s="47" t="s">
        <v>66</v>
      </c>
      <c r="E971" s="12">
        <v>46122</v>
      </c>
      <c r="F971" s="20">
        <f t="shared" si="15"/>
        <v>46113</v>
      </c>
    </row>
    <row r="972" spans="1:6" ht="20.25">
      <c r="A972" s="49"/>
      <c r="B972" s="47" t="s">
        <v>1129</v>
      </c>
      <c r="C972" s="47">
        <v>63</v>
      </c>
      <c r="D972" s="47" t="s">
        <v>66</v>
      </c>
      <c r="E972" s="12">
        <v>46122</v>
      </c>
      <c r="F972" s="20">
        <f t="shared" si="15"/>
        <v>46113</v>
      </c>
    </row>
    <row r="973" spans="1:6" ht="20.25">
      <c r="A973" s="49"/>
      <c r="B973" s="47" t="s">
        <v>985</v>
      </c>
      <c r="C973" s="47">
        <v>218</v>
      </c>
      <c r="D973" s="47" t="s">
        <v>66</v>
      </c>
      <c r="E973" s="12">
        <v>46122</v>
      </c>
      <c r="F973" s="20">
        <f t="shared" si="15"/>
        <v>46113</v>
      </c>
    </row>
    <row r="974" spans="1:6" ht="20.25">
      <c r="A974" s="49"/>
      <c r="B974" s="47" t="s">
        <v>899</v>
      </c>
      <c r="C974" s="47">
        <v>80</v>
      </c>
      <c r="D974" s="47" t="s">
        <v>114</v>
      </c>
      <c r="E974" s="12">
        <v>46122</v>
      </c>
      <c r="F974" s="20">
        <f t="shared" si="15"/>
        <v>46113</v>
      </c>
    </row>
    <row r="975" spans="1:6" ht="20.25">
      <c r="A975" s="49"/>
      <c r="B975" s="47" t="s">
        <v>1454</v>
      </c>
      <c r="C975" s="47">
        <v>527</v>
      </c>
      <c r="D975" s="47" t="s">
        <v>114</v>
      </c>
      <c r="E975" s="12">
        <v>46122</v>
      </c>
      <c r="F975" s="20">
        <f t="shared" si="15"/>
        <v>46113</v>
      </c>
    </row>
    <row r="976" spans="1:6" ht="20.25">
      <c r="A976" s="49"/>
      <c r="B976" s="47" t="s">
        <v>1549</v>
      </c>
      <c r="C976" s="47">
        <v>265</v>
      </c>
      <c r="D976" s="47" t="s">
        <v>114</v>
      </c>
      <c r="E976" s="12">
        <v>46122</v>
      </c>
      <c r="F976" s="20">
        <f t="shared" si="15"/>
        <v>46113</v>
      </c>
    </row>
    <row r="977" spans="1:6" ht="20.25">
      <c r="A977" s="49"/>
      <c r="B977" s="47" t="s">
        <v>1034</v>
      </c>
      <c r="C977" s="47">
        <v>148</v>
      </c>
      <c r="D977" s="47" t="s">
        <v>95</v>
      </c>
      <c r="E977" s="12">
        <v>46122</v>
      </c>
      <c r="F977" s="20">
        <f t="shared" si="15"/>
        <v>46113</v>
      </c>
    </row>
    <row r="978" spans="1:6" ht="20.25">
      <c r="A978" s="49"/>
      <c r="B978" s="47" t="s">
        <v>1602</v>
      </c>
      <c r="C978" s="47">
        <v>310</v>
      </c>
      <c r="D978" s="47" t="s">
        <v>133</v>
      </c>
      <c r="E978" s="12">
        <v>46122</v>
      </c>
      <c r="F978" s="20">
        <f t="shared" si="15"/>
        <v>46113</v>
      </c>
    </row>
    <row r="979" spans="1:6" ht="20.25">
      <c r="A979" s="49"/>
      <c r="B979" s="47" t="s">
        <v>1602</v>
      </c>
      <c r="C979" s="47">
        <v>61</v>
      </c>
      <c r="D979" s="47" t="s">
        <v>133</v>
      </c>
      <c r="E979" s="12">
        <v>46122</v>
      </c>
      <c r="F979" s="20">
        <f t="shared" si="15"/>
        <v>46113</v>
      </c>
    </row>
    <row r="980" spans="1:6" ht="20.25">
      <c r="A980" s="49"/>
      <c r="B980" s="47" t="s">
        <v>1488</v>
      </c>
      <c r="C980" s="47">
        <v>28</v>
      </c>
      <c r="D980" s="47" t="s">
        <v>133</v>
      </c>
      <c r="E980" s="12">
        <v>46122</v>
      </c>
      <c r="F980" s="20">
        <f t="shared" si="15"/>
        <v>46113</v>
      </c>
    </row>
    <row r="981" spans="1:6" ht="20.25">
      <c r="A981" s="49"/>
      <c r="B981" s="47" t="s">
        <v>682</v>
      </c>
      <c r="C981" s="47">
        <v>34</v>
      </c>
      <c r="D981" s="47" t="s">
        <v>133</v>
      </c>
      <c r="E981" s="12">
        <v>46122</v>
      </c>
      <c r="F981" s="20">
        <f t="shared" si="15"/>
        <v>46113</v>
      </c>
    </row>
    <row r="982" spans="1:6" ht="20.25">
      <c r="A982" s="49"/>
      <c r="B982" s="47" t="s">
        <v>682</v>
      </c>
      <c r="C982" s="47">
        <v>74</v>
      </c>
      <c r="D982" s="47" t="s">
        <v>133</v>
      </c>
      <c r="E982" s="12">
        <v>46122</v>
      </c>
      <c r="F982" s="20">
        <f t="shared" si="15"/>
        <v>46113</v>
      </c>
    </row>
    <row r="983" spans="1:6" ht="20.25">
      <c r="A983" s="49"/>
      <c r="B983" s="47" t="s">
        <v>682</v>
      </c>
      <c r="C983" s="47">
        <v>118</v>
      </c>
      <c r="D983" s="47" t="s">
        <v>133</v>
      </c>
      <c r="E983" s="12">
        <v>46122</v>
      </c>
      <c r="F983" s="20">
        <f t="shared" si="15"/>
        <v>46113</v>
      </c>
    </row>
    <row r="984" spans="1:6" ht="20.25">
      <c r="A984" s="49"/>
      <c r="B984" s="47" t="s">
        <v>1549</v>
      </c>
      <c r="C984" s="47">
        <v>9</v>
      </c>
      <c r="D984" s="47" t="s">
        <v>1484</v>
      </c>
      <c r="E984" s="12">
        <v>46122</v>
      </c>
      <c r="F984" s="20">
        <f t="shared" si="15"/>
        <v>46113</v>
      </c>
    </row>
    <row r="985" spans="1:6" ht="20.25">
      <c r="A985" s="49"/>
      <c r="B985" s="47" t="s">
        <v>1275</v>
      </c>
      <c r="C985" s="47">
        <v>137</v>
      </c>
      <c r="D985" s="47" t="s">
        <v>1484</v>
      </c>
      <c r="E985" s="12">
        <v>46122</v>
      </c>
      <c r="F985" s="20">
        <f t="shared" si="15"/>
        <v>46113</v>
      </c>
    </row>
    <row r="986" spans="1:6" ht="20.25">
      <c r="A986" s="49"/>
      <c r="B986" s="47" t="s">
        <v>609</v>
      </c>
      <c r="C986" s="47">
        <v>310</v>
      </c>
      <c r="D986" s="47" t="s">
        <v>1484</v>
      </c>
      <c r="E986" s="12">
        <v>46122</v>
      </c>
      <c r="F986" s="20">
        <f t="shared" si="15"/>
        <v>46113</v>
      </c>
    </row>
    <row r="987" spans="1:6" ht="20.25">
      <c r="A987" s="49"/>
      <c r="B987" s="47" t="s">
        <v>1603</v>
      </c>
      <c r="C987" s="47">
        <v>117</v>
      </c>
      <c r="D987" s="47" t="s">
        <v>133</v>
      </c>
      <c r="E987" s="12">
        <v>46122</v>
      </c>
      <c r="F987" s="20">
        <f t="shared" si="15"/>
        <v>46113</v>
      </c>
    </row>
    <row r="988" spans="1:6" ht="20.25">
      <c r="A988" s="49"/>
      <c r="B988" s="47" t="s">
        <v>1279</v>
      </c>
      <c r="C988" s="47">
        <v>27</v>
      </c>
      <c r="D988" s="47" t="s">
        <v>62</v>
      </c>
      <c r="E988" s="12">
        <v>46122</v>
      </c>
      <c r="F988" s="20">
        <f t="shared" si="15"/>
        <v>46113</v>
      </c>
    </row>
    <row r="989" spans="1:6" ht="20.25">
      <c r="A989" s="49"/>
      <c r="B989" s="47" t="s">
        <v>637</v>
      </c>
      <c r="C989" s="47">
        <v>151</v>
      </c>
      <c r="D989" s="47" t="s">
        <v>62</v>
      </c>
      <c r="E989" s="12">
        <v>46122</v>
      </c>
      <c r="F989" s="20">
        <f t="shared" si="15"/>
        <v>46113</v>
      </c>
    </row>
    <row r="990" spans="1:6" ht="20.25">
      <c r="A990" s="49"/>
      <c r="B990" s="47" t="s">
        <v>747</v>
      </c>
      <c r="C990" s="47">
        <v>68</v>
      </c>
      <c r="D990" s="47" t="s">
        <v>62</v>
      </c>
      <c r="E990" s="12">
        <v>46122</v>
      </c>
      <c r="F990" s="20">
        <f t="shared" si="15"/>
        <v>46113</v>
      </c>
    </row>
    <row r="991" spans="1:6" ht="20.25">
      <c r="A991" s="49"/>
      <c r="B991" s="47" t="s">
        <v>717</v>
      </c>
      <c r="C991" s="47">
        <v>171</v>
      </c>
      <c r="D991" s="47" t="s">
        <v>63</v>
      </c>
      <c r="E991" s="12">
        <v>46122</v>
      </c>
      <c r="F991" s="20">
        <f t="shared" si="15"/>
        <v>46113</v>
      </c>
    </row>
    <row r="992" spans="1:6" ht="20.25">
      <c r="A992" s="49"/>
      <c r="B992" s="47" t="s">
        <v>802</v>
      </c>
      <c r="C992" s="47">
        <v>138</v>
      </c>
      <c r="D992" s="47" t="s">
        <v>63</v>
      </c>
      <c r="E992" s="12">
        <v>46122</v>
      </c>
      <c r="F992" s="20">
        <f t="shared" si="15"/>
        <v>46113</v>
      </c>
    </row>
    <row r="993" spans="1:6" ht="20.25">
      <c r="A993" s="49"/>
      <c r="B993" s="47" t="s">
        <v>882</v>
      </c>
      <c r="C993" s="47">
        <v>50</v>
      </c>
      <c r="D993" s="47" t="s">
        <v>63</v>
      </c>
      <c r="E993" s="12">
        <v>46122</v>
      </c>
      <c r="F993" s="20">
        <f t="shared" si="15"/>
        <v>46113</v>
      </c>
    </row>
    <row r="994" spans="1:6" ht="20.25">
      <c r="A994" s="49"/>
      <c r="B994" s="47" t="s">
        <v>622</v>
      </c>
      <c r="C994" s="47">
        <v>398</v>
      </c>
      <c r="D994" s="47" t="s">
        <v>63</v>
      </c>
      <c r="E994" s="12">
        <v>46122</v>
      </c>
      <c r="F994" s="20">
        <f t="shared" si="15"/>
        <v>46113</v>
      </c>
    </row>
    <row r="995" spans="1:6" ht="20.25">
      <c r="A995" s="49"/>
      <c r="B995" s="47" t="s">
        <v>632</v>
      </c>
      <c r="C995" s="47">
        <v>302</v>
      </c>
      <c r="D995" s="47" t="s">
        <v>82</v>
      </c>
      <c r="E995" s="12">
        <v>46122</v>
      </c>
      <c r="F995" s="20">
        <f t="shared" si="15"/>
        <v>46113</v>
      </c>
    </row>
    <row r="996" spans="1:6" ht="20.25">
      <c r="A996" s="49"/>
      <c r="B996" s="47" t="s">
        <v>746</v>
      </c>
      <c r="C996" s="47">
        <v>387</v>
      </c>
      <c r="D996" s="47" t="s">
        <v>82</v>
      </c>
      <c r="E996" s="12">
        <v>46122</v>
      </c>
      <c r="F996" s="20">
        <f t="shared" si="15"/>
        <v>46113</v>
      </c>
    </row>
    <row r="997" spans="1:6" ht="20.25">
      <c r="A997" s="49"/>
      <c r="B997" s="47" t="s">
        <v>638</v>
      </c>
      <c r="C997" s="47">
        <v>149</v>
      </c>
      <c r="D997" s="47" t="s">
        <v>82</v>
      </c>
      <c r="E997" s="12">
        <v>46122</v>
      </c>
      <c r="F997" s="20">
        <f t="shared" si="15"/>
        <v>46113</v>
      </c>
    </row>
    <row r="998" spans="1:6" ht="20.25">
      <c r="A998" s="49"/>
      <c r="B998" s="47" t="s">
        <v>676</v>
      </c>
      <c r="C998" s="47">
        <v>144</v>
      </c>
      <c r="D998" s="47" t="s">
        <v>55</v>
      </c>
      <c r="E998" s="12">
        <v>46122</v>
      </c>
      <c r="F998" s="20">
        <f t="shared" si="15"/>
        <v>46113</v>
      </c>
    </row>
    <row r="999" spans="1:6" ht="20.25">
      <c r="A999" s="49"/>
      <c r="B999" s="47" t="s">
        <v>676</v>
      </c>
      <c r="C999" s="47">
        <v>160</v>
      </c>
      <c r="D999" s="47" t="s">
        <v>55</v>
      </c>
      <c r="E999" s="12">
        <v>46122</v>
      </c>
      <c r="F999" s="20">
        <f t="shared" si="15"/>
        <v>46113</v>
      </c>
    </row>
    <row r="1000" spans="1:6" ht="20.25">
      <c r="A1000" s="49"/>
      <c r="B1000" s="47" t="s">
        <v>799</v>
      </c>
      <c r="C1000" s="47">
        <v>218</v>
      </c>
      <c r="D1000" s="47" t="s">
        <v>62</v>
      </c>
      <c r="E1000" s="12">
        <v>46122</v>
      </c>
      <c r="F1000" s="20">
        <f t="shared" si="15"/>
        <v>46113</v>
      </c>
    </row>
    <row r="1001" spans="1:6" ht="20.25">
      <c r="A1001" s="49"/>
      <c r="B1001" s="47" t="s">
        <v>799</v>
      </c>
      <c r="C1001" s="47">
        <v>20</v>
      </c>
      <c r="D1001" s="47" t="s">
        <v>62</v>
      </c>
      <c r="E1001" s="12">
        <v>46122</v>
      </c>
      <c r="F1001" s="20">
        <f t="shared" si="15"/>
        <v>46113</v>
      </c>
    </row>
    <row r="1002" spans="1:6" ht="20.25">
      <c r="A1002" s="49"/>
      <c r="B1002" s="47" t="s">
        <v>609</v>
      </c>
      <c r="C1002" s="47">
        <v>85</v>
      </c>
      <c r="D1002" s="47" t="s">
        <v>46</v>
      </c>
      <c r="E1002" s="12">
        <v>46122</v>
      </c>
      <c r="F1002" s="20">
        <f t="shared" si="15"/>
        <v>46113</v>
      </c>
    </row>
    <row r="1003" spans="1:6" ht="20.25">
      <c r="A1003" s="49"/>
      <c r="B1003" s="47" t="s">
        <v>1124</v>
      </c>
      <c r="C1003" s="47">
        <v>29</v>
      </c>
      <c r="D1003" s="47" t="s">
        <v>46</v>
      </c>
      <c r="E1003" s="12">
        <v>46122</v>
      </c>
      <c r="F1003" s="20">
        <f t="shared" si="15"/>
        <v>46113</v>
      </c>
    </row>
    <row r="1004" spans="1:6" ht="20.25">
      <c r="A1004" s="49"/>
      <c r="B1004" s="47" t="s">
        <v>872</v>
      </c>
      <c r="C1004" s="47">
        <v>102</v>
      </c>
      <c r="D1004" s="47" t="s">
        <v>46</v>
      </c>
      <c r="E1004" s="12">
        <v>46122</v>
      </c>
      <c r="F1004" s="20">
        <f t="shared" si="15"/>
        <v>46113</v>
      </c>
    </row>
    <row r="1005" spans="1:6" ht="20.25">
      <c r="A1005" s="49"/>
      <c r="B1005" s="47" t="s">
        <v>892</v>
      </c>
      <c r="C1005" s="47">
        <v>28</v>
      </c>
      <c r="D1005" s="47" t="s">
        <v>46</v>
      </c>
      <c r="E1005" s="12">
        <v>46122</v>
      </c>
      <c r="F1005" s="20">
        <f t="shared" si="15"/>
        <v>46113</v>
      </c>
    </row>
    <row r="1006" spans="1:6" ht="20.25">
      <c r="A1006" s="49"/>
      <c r="B1006" s="47" t="s">
        <v>1456</v>
      </c>
      <c r="C1006" s="47">
        <v>35</v>
      </c>
      <c r="D1006" s="47" t="s">
        <v>46</v>
      </c>
      <c r="E1006" s="12">
        <v>46122</v>
      </c>
      <c r="F1006" s="20">
        <f t="shared" si="15"/>
        <v>46113</v>
      </c>
    </row>
    <row r="1007" spans="1:6" ht="20.25">
      <c r="A1007" s="49"/>
      <c r="B1007" s="47" t="s">
        <v>868</v>
      </c>
      <c r="C1007" s="47">
        <v>43</v>
      </c>
      <c r="D1007" s="47" t="s">
        <v>46</v>
      </c>
      <c r="E1007" s="12">
        <v>46122</v>
      </c>
      <c r="F1007" s="20">
        <f t="shared" si="15"/>
        <v>46113</v>
      </c>
    </row>
    <row r="1008" spans="1:6" ht="20.25">
      <c r="A1008" s="49"/>
      <c r="B1008" s="47" t="s">
        <v>855</v>
      </c>
      <c r="C1008" s="47">
        <v>32</v>
      </c>
      <c r="D1008" s="47" t="s">
        <v>46</v>
      </c>
      <c r="E1008" s="12">
        <v>46122</v>
      </c>
      <c r="F1008" s="20">
        <f t="shared" si="15"/>
        <v>46113</v>
      </c>
    </row>
    <row r="1009" spans="1:6" ht="20.25">
      <c r="A1009" s="49"/>
      <c r="B1009" s="47" t="s">
        <v>1027</v>
      </c>
      <c r="C1009" s="47">
        <v>72</v>
      </c>
      <c r="D1009" s="47" t="s">
        <v>46</v>
      </c>
      <c r="E1009" s="12">
        <v>46122</v>
      </c>
      <c r="F1009" s="20">
        <f t="shared" si="15"/>
        <v>46113</v>
      </c>
    </row>
    <row r="1010" spans="1:6" ht="20.25">
      <c r="A1010" s="49"/>
      <c r="B1010" s="47" t="s">
        <v>761</v>
      </c>
      <c r="C1010" s="47">
        <v>37</v>
      </c>
      <c r="D1010" s="47" t="s">
        <v>46</v>
      </c>
      <c r="E1010" s="12">
        <v>46122</v>
      </c>
      <c r="F1010" s="20">
        <f t="shared" si="15"/>
        <v>46113</v>
      </c>
    </row>
    <row r="1011" spans="1:6" ht="20.25">
      <c r="A1011" s="49"/>
      <c r="B1011" s="47" t="s">
        <v>819</v>
      </c>
      <c r="C1011" s="47">
        <v>146</v>
      </c>
      <c r="D1011" s="47" t="s">
        <v>46</v>
      </c>
      <c r="E1011" s="12">
        <v>46122</v>
      </c>
      <c r="F1011" s="20">
        <f t="shared" si="15"/>
        <v>46113</v>
      </c>
    </row>
    <row r="1012" spans="1:6" ht="20.25">
      <c r="A1012" s="49"/>
      <c r="B1012" s="47" t="s">
        <v>622</v>
      </c>
      <c r="C1012" s="47">
        <v>314</v>
      </c>
      <c r="D1012" s="47" t="s">
        <v>46</v>
      </c>
      <c r="E1012" s="12">
        <v>46122</v>
      </c>
      <c r="F1012" s="20">
        <f t="shared" si="15"/>
        <v>46113</v>
      </c>
    </row>
    <row r="1013" spans="1:6" ht="20.25">
      <c r="A1013" s="49"/>
      <c r="B1013" s="47" t="s">
        <v>1443</v>
      </c>
      <c r="C1013" s="47">
        <v>301</v>
      </c>
      <c r="D1013" s="47" t="s">
        <v>46</v>
      </c>
      <c r="E1013" s="12">
        <v>46122</v>
      </c>
      <c r="F1013" s="20">
        <f t="shared" si="15"/>
        <v>46113</v>
      </c>
    </row>
    <row r="1014" spans="1:6" ht="20.25">
      <c r="A1014" s="49"/>
      <c r="B1014" s="47" t="s">
        <v>879</v>
      </c>
      <c r="C1014" s="47">
        <v>85</v>
      </c>
      <c r="D1014" s="47" t="s">
        <v>46</v>
      </c>
      <c r="E1014" s="12">
        <v>46122</v>
      </c>
      <c r="F1014" s="20">
        <f t="shared" si="15"/>
        <v>46113</v>
      </c>
    </row>
    <row r="1015" spans="1:6" ht="20.25">
      <c r="A1015" s="49"/>
      <c r="B1015" s="47" t="s">
        <v>1030</v>
      </c>
      <c r="C1015" s="47">
        <v>2</v>
      </c>
      <c r="D1015" s="47" t="s">
        <v>46</v>
      </c>
      <c r="E1015" s="12">
        <v>46122</v>
      </c>
      <c r="F1015" s="20">
        <f t="shared" si="15"/>
        <v>46113</v>
      </c>
    </row>
    <row r="1016" spans="1:6" ht="20.25">
      <c r="A1016" s="49"/>
      <c r="B1016" s="47" t="s">
        <v>1104</v>
      </c>
      <c r="C1016" s="47">
        <v>53</v>
      </c>
      <c r="D1016" s="47" t="s">
        <v>46</v>
      </c>
      <c r="E1016" s="12">
        <v>46122</v>
      </c>
      <c r="F1016" s="20">
        <f t="shared" si="15"/>
        <v>46113</v>
      </c>
    </row>
    <row r="1017" spans="1:6" ht="20.25">
      <c r="A1017" s="49"/>
      <c r="B1017" s="47" t="s">
        <v>636</v>
      </c>
      <c r="C1017" s="47">
        <v>25</v>
      </c>
      <c r="D1017" s="47" t="s">
        <v>55</v>
      </c>
      <c r="E1017" s="12">
        <v>46122</v>
      </c>
      <c r="F1017" s="20">
        <f t="shared" si="15"/>
        <v>46113</v>
      </c>
    </row>
    <row r="1018" spans="1:6" ht="20.25">
      <c r="A1018" s="49"/>
      <c r="B1018" s="47" t="s">
        <v>850</v>
      </c>
      <c r="C1018" s="47">
        <v>0</v>
      </c>
      <c r="D1018" s="47" t="s">
        <v>55</v>
      </c>
      <c r="E1018" s="12">
        <v>46122</v>
      </c>
      <c r="F1018" s="20">
        <f t="shared" si="15"/>
        <v>46113</v>
      </c>
    </row>
    <row r="1019" spans="1:6" ht="20.25">
      <c r="A1019" s="49"/>
      <c r="B1019" s="47" t="s">
        <v>1546</v>
      </c>
      <c r="C1019" s="47">
        <v>40</v>
      </c>
      <c r="D1019" s="47" t="s">
        <v>63</v>
      </c>
      <c r="E1019" s="12">
        <v>46122</v>
      </c>
      <c r="F1019" s="20">
        <f t="shared" si="15"/>
        <v>46113</v>
      </c>
    </row>
    <row r="1020" spans="1:6" ht="20.25">
      <c r="A1020" s="49"/>
      <c r="B1020" s="47" t="s">
        <v>914</v>
      </c>
      <c r="C1020" s="47">
        <v>416</v>
      </c>
      <c r="D1020" s="47" t="s">
        <v>72</v>
      </c>
      <c r="E1020" s="12">
        <v>46122</v>
      </c>
      <c r="F1020" s="20">
        <f t="shared" si="15"/>
        <v>46113</v>
      </c>
    </row>
    <row r="1021" spans="1:6" ht="20.25">
      <c r="A1021" s="49"/>
      <c r="B1021" s="47" t="s">
        <v>643</v>
      </c>
      <c r="C1021" s="47">
        <v>177</v>
      </c>
      <c r="D1021" s="47" t="s">
        <v>72</v>
      </c>
      <c r="E1021" s="12">
        <v>46122</v>
      </c>
      <c r="F1021" s="20">
        <f t="shared" si="15"/>
        <v>46113</v>
      </c>
    </row>
    <row r="1022" spans="1:6" ht="20.25">
      <c r="A1022" s="49"/>
      <c r="B1022" s="47" t="s">
        <v>1521</v>
      </c>
      <c r="C1022" s="47">
        <v>40</v>
      </c>
      <c r="D1022" s="47" t="s">
        <v>72</v>
      </c>
      <c r="E1022" s="12">
        <v>46122</v>
      </c>
      <c r="F1022" s="20">
        <f t="shared" si="15"/>
        <v>46113</v>
      </c>
    </row>
    <row r="1023" spans="1:6" ht="20.25">
      <c r="A1023" s="49"/>
      <c r="B1023" s="47" t="s">
        <v>1521</v>
      </c>
      <c r="C1023" s="47">
        <v>50</v>
      </c>
      <c r="D1023" s="47" t="s">
        <v>72</v>
      </c>
      <c r="E1023" s="12">
        <v>46122</v>
      </c>
      <c r="F1023" s="20">
        <f t="shared" si="15"/>
        <v>46113</v>
      </c>
    </row>
    <row r="1024" spans="1:6" ht="20.25">
      <c r="A1024" s="49"/>
      <c r="B1024" s="47" t="s">
        <v>626</v>
      </c>
      <c r="C1024" s="47">
        <v>232</v>
      </c>
      <c r="D1024" s="47" t="s">
        <v>72</v>
      </c>
      <c r="E1024" s="12">
        <v>46122</v>
      </c>
      <c r="F1024" s="20">
        <f t="shared" si="15"/>
        <v>46113</v>
      </c>
    </row>
    <row r="1025" spans="1:6" ht="20.25">
      <c r="A1025" s="49"/>
      <c r="B1025" s="47" t="s">
        <v>665</v>
      </c>
      <c r="C1025" s="47">
        <v>69</v>
      </c>
      <c r="D1025" s="47" t="s">
        <v>97</v>
      </c>
      <c r="E1025" s="12">
        <v>46122</v>
      </c>
      <c r="F1025" s="20">
        <f t="shared" si="15"/>
        <v>46113</v>
      </c>
    </row>
    <row r="1026" spans="1:6" ht="20.25">
      <c r="A1026" s="49"/>
      <c r="B1026" s="47" t="s">
        <v>665</v>
      </c>
      <c r="C1026" s="47">
        <v>60</v>
      </c>
      <c r="D1026" s="47" t="s">
        <v>97</v>
      </c>
      <c r="E1026" s="12">
        <v>46122</v>
      </c>
      <c r="F1026" s="20">
        <f t="shared" ref="F1026:F1089" si="16">EOMONTH(E1026,-1)+1</f>
        <v>46113</v>
      </c>
    </row>
    <row r="1027" spans="1:6" ht="20.25">
      <c r="A1027" s="49"/>
      <c r="B1027" s="47" t="s">
        <v>1347</v>
      </c>
      <c r="C1027" s="47">
        <v>35</v>
      </c>
      <c r="D1027" s="47" t="s">
        <v>97</v>
      </c>
      <c r="E1027" s="12">
        <v>46122</v>
      </c>
      <c r="F1027" s="20">
        <f t="shared" si="16"/>
        <v>46113</v>
      </c>
    </row>
    <row r="1028" spans="1:6" ht="20.25">
      <c r="A1028" s="49"/>
      <c r="B1028" s="47" t="s">
        <v>1347</v>
      </c>
      <c r="C1028" s="47">
        <v>62</v>
      </c>
      <c r="D1028" s="47" t="s">
        <v>97</v>
      </c>
      <c r="E1028" s="12">
        <v>46122</v>
      </c>
      <c r="F1028" s="20">
        <f t="shared" si="16"/>
        <v>46113</v>
      </c>
    </row>
    <row r="1029" spans="1:6" ht="20.25">
      <c r="A1029" s="49"/>
      <c r="B1029" s="47" t="s">
        <v>1347</v>
      </c>
      <c r="C1029" s="47">
        <v>94</v>
      </c>
      <c r="D1029" s="47" t="s">
        <v>97</v>
      </c>
      <c r="E1029" s="12">
        <v>46122</v>
      </c>
      <c r="F1029" s="20">
        <f t="shared" si="16"/>
        <v>46113</v>
      </c>
    </row>
    <row r="1030" spans="1:6" ht="20.25">
      <c r="A1030" s="49"/>
      <c r="B1030" s="47" t="s">
        <v>1347</v>
      </c>
      <c r="C1030" s="47">
        <v>137</v>
      </c>
      <c r="D1030" s="47" t="s">
        <v>97</v>
      </c>
      <c r="E1030" s="12">
        <v>46122</v>
      </c>
      <c r="F1030" s="20">
        <f t="shared" si="16"/>
        <v>46113</v>
      </c>
    </row>
    <row r="1031" spans="1:6" ht="20.25">
      <c r="A1031" s="49"/>
      <c r="B1031" s="47" t="s">
        <v>1160</v>
      </c>
      <c r="C1031" s="47">
        <v>254</v>
      </c>
      <c r="D1031" s="47" t="s">
        <v>55</v>
      </c>
      <c r="E1031" s="12">
        <v>46122</v>
      </c>
      <c r="F1031" s="20">
        <f t="shared" si="16"/>
        <v>46113</v>
      </c>
    </row>
    <row r="1032" spans="1:6" ht="20.25">
      <c r="A1032" s="49"/>
      <c r="B1032" s="47" t="s">
        <v>773</v>
      </c>
      <c r="C1032" s="47">
        <v>896</v>
      </c>
      <c r="D1032" s="47" t="s">
        <v>82</v>
      </c>
      <c r="E1032" s="12">
        <v>46122</v>
      </c>
      <c r="F1032" s="20">
        <f t="shared" si="16"/>
        <v>46113</v>
      </c>
    </row>
    <row r="1033" spans="1:6" ht="20.25">
      <c r="A1033" s="49"/>
      <c r="B1033" s="47" t="s">
        <v>1108</v>
      </c>
      <c r="C1033" s="47">
        <v>50</v>
      </c>
      <c r="D1033" s="47" t="s">
        <v>46</v>
      </c>
      <c r="E1033" s="12">
        <v>46122</v>
      </c>
      <c r="F1033" s="20">
        <f t="shared" si="16"/>
        <v>46113</v>
      </c>
    </row>
    <row r="1034" spans="1:6" ht="20.25">
      <c r="A1034" s="49"/>
      <c r="B1034" s="47" t="s">
        <v>1517</v>
      </c>
      <c r="C1034" s="47">
        <v>54</v>
      </c>
      <c r="D1034" s="47" t="s">
        <v>46</v>
      </c>
      <c r="E1034" s="12">
        <v>46122</v>
      </c>
      <c r="F1034" s="20">
        <f t="shared" si="16"/>
        <v>46113</v>
      </c>
    </row>
    <row r="1035" spans="1:6" ht="20.25">
      <c r="A1035" s="49"/>
      <c r="B1035" s="47" t="s">
        <v>602</v>
      </c>
      <c r="C1035" s="47">
        <v>481</v>
      </c>
      <c r="D1035" s="47" t="s">
        <v>46</v>
      </c>
      <c r="E1035" s="12">
        <v>46122</v>
      </c>
      <c r="F1035" s="20">
        <f t="shared" si="16"/>
        <v>46113</v>
      </c>
    </row>
    <row r="1036" spans="1:6" ht="20.25">
      <c r="A1036" s="49"/>
      <c r="B1036" s="47" t="s">
        <v>1055</v>
      </c>
      <c r="C1036" s="47">
        <v>70</v>
      </c>
      <c r="D1036" s="47" t="s">
        <v>46</v>
      </c>
      <c r="E1036" s="12">
        <v>46122</v>
      </c>
      <c r="F1036" s="20">
        <f t="shared" si="16"/>
        <v>46113</v>
      </c>
    </row>
    <row r="1037" spans="1:6" ht="20.25">
      <c r="A1037" s="49"/>
      <c r="B1037" s="47" t="s">
        <v>758</v>
      </c>
      <c r="C1037" s="47">
        <v>47</v>
      </c>
      <c r="D1037" s="47" t="s">
        <v>97</v>
      </c>
      <c r="E1037" s="12">
        <v>46122</v>
      </c>
      <c r="F1037" s="20">
        <f t="shared" si="16"/>
        <v>46113</v>
      </c>
    </row>
    <row r="1038" spans="1:6" ht="20.25">
      <c r="A1038" s="49"/>
      <c r="B1038" s="47" t="s">
        <v>791</v>
      </c>
      <c r="C1038" s="47">
        <v>43</v>
      </c>
      <c r="D1038" s="47" t="s">
        <v>97</v>
      </c>
      <c r="E1038" s="12">
        <v>46122</v>
      </c>
      <c r="F1038" s="20">
        <f t="shared" si="16"/>
        <v>46113</v>
      </c>
    </row>
    <row r="1039" spans="1:6" ht="20.25">
      <c r="A1039" s="49"/>
      <c r="B1039" s="47" t="s">
        <v>791</v>
      </c>
      <c r="C1039" s="47">
        <v>62</v>
      </c>
      <c r="D1039" s="47" t="s">
        <v>97</v>
      </c>
      <c r="E1039" s="12">
        <v>46122</v>
      </c>
      <c r="F1039" s="20">
        <f t="shared" si="16"/>
        <v>46113</v>
      </c>
    </row>
    <row r="1040" spans="1:6" ht="20.25">
      <c r="A1040" s="49"/>
      <c r="B1040" s="47" t="s">
        <v>1118</v>
      </c>
      <c r="C1040" s="47">
        <v>20</v>
      </c>
      <c r="D1040" s="47" t="s">
        <v>72</v>
      </c>
      <c r="E1040" s="12">
        <v>46122</v>
      </c>
      <c r="F1040" s="20">
        <f t="shared" si="16"/>
        <v>46113</v>
      </c>
    </row>
    <row r="1041" spans="1:6" ht="20.25">
      <c r="A1041" s="49"/>
      <c r="B1041" s="47" t="s">
        <v>783</v>
      </c>
      <c r="C1041" s="47">
        <v>97</v>
      </c>
      <c r="D1041" s="47" t="s">
        <v>72</v>
      </c>
      <c r="E1041" s="12">
        <v>46122</v>
      </c>
      <c r="F1041" s="20">
        <f t="shared" si="16"/>
        <v>46113</v>
      </c>
    </row>
    <row r="1042" spans="1:6" ht="20.25">
      <c r="A1042" s="49"/>
      <c r="B1042" s="47" t="s">
        <v>628</v>
      </c>
      <c r="C1042" s="47">
        <v>40</v>
      </c>
      <c r="D1042" s="47" t="s">
        <v>55</v>
      </c>
      <c r="E1042" s="12">
        <v>46122</v>
      </c>
      <c r="F1042" s="20">
        <f t="shared" si="16"/>
        <v>46113</v>
      </c>
    </row>
    <row r="1043" spans="1:6" ht="20.25">
      <c r="A1043" s="49"/>
      <c r="B1043" s="47" t="s">
        <v>628</v>
      </c>
      <c r="C1043" s="47">
        <v>166</v>
      </c>
      <c r="D1043" s="47" t="s">
        <v>55</v>
      </c>
      <c r="E1043" s="12">
        <v>46122</v>
      </c>
      <c r="F1043" s="20">
        <f t="shared" si="16"/>
        <v>46113</v>
      </c>
    </row>
    <row r="1044" spans="1:6" ht="20.25">
      <c r="A1044" s="49"/>
      <c r="B1044" s="47" t="s">
        <v>1255</v>
      </c>
      <c r="C1044" s="47">
        <v>118</v>
      </c>
      <c r="D1044" s="47" t="s">
        <v>46</v>
      </c>
      <c r="E1044" s="12">
        <v>46122</v>
      </c>
      <c r="F1044" s="20">
        <f t="shared" si="16"/>
        <v>46113</v>
      </c>
    </row>
    <row r="1045" spans="1:6" ht="20.25">
      <c r="A1045" s="49"/>
      <c r="B1045" s="47" t="s">
        <v>981</v>
      </c>
      <c r="C1045" s="47">
        <v>1</v>
      </c>
      <c r="D1045" s="47" t="s">
        <v>63</v>
      </c>
      <c r="E1045" s="12">
        <v>46122</v>
      </c>
      <c r="F1045" s="20">
        <f t="shared" si="16"/>
        <v>46113</v>
      </c>
    </row>
    <row r="1046" spans="1:6" ht="20.25">
      <c r="A1046" s="49"/>
      <c r="B1046" s="47" t="s">
        <v>1157</v>
      </c>
      <c r="C1046" s="47">
        <v>3</v>
      </c>
      <c r="D1046" s="47" t="s">
        <v>63</v>
      </c>
      <c r="E1046" s="12">
        <v>46122</v>
      </c>
      <c r="F1046" s="20">
        <f t="shared" si="16"/>
        <v>46113</v>
      </c>
    </row>
    <row r="1047" spans="1:6" ht="20.25">
      <c r="A1047" s="49"/>
      <c r="B1047" s="47" t="s">
        <v>1019</v>
      </c>
      <c r="C1047" s="47">
        <v>50</v>
      </c>
      <c r="D1047" s="47" t="s">
        <v>46</v>
      </c>
      <c r="E1047" s="12">
        <v>46122</v>
      </c>
      <c r="F1047" s="20">
        <f t="shared" si="16"/>
        <v>46113</v>
      </c>
    </row>
    <row r="1048" spans="1:6" ht="20.25">
      <c r="A1048" s="49"/>
      <c r="B1048" s="47" t="s">
        <v>1023</v>
      </c>
      <c r="C1048" s="47">
        <v>38</v>
      </c>
      <c r="D1048" s="47" t="s">
        <v>97</v>
      </c>
      <c r="E1048" s="12">
        <v>46122</v>
      </c>
      <c r="F1048" s="20">
        <f t="shared" si="16"/>
        <v>46113</v>
      </c>
    </row>
    <row r="1049" spans="1:6" ht="20.25">
      <c r="A1049" s="49"/>
      <c r="B1049" s="47" t="s">
        <v>1023</v>
      </c>
      <c r="C1049" s="47">
        <v>232</v>
      </c>
      <c r="D1049" s="47" t="s">
        <v>97</v>
      </c>
      <c r="E1049" s="12">
        <v>46122</v>
      </c>
      <c r="F1049" s="20">
        <f t="shared" si="16"/>
        <v>46113</v>
      </c>
    </row>
    <row r="1050" spans="1:6" ht="20.25">
      <c r="A1050" s="49"/>
      <c r="B1050" s="47" t="s">
        <v>1378</v>
      </c>
      <c r="C1050" s="47">
        <v>27</v>
      </c>
      <c r="D1050" s="47" t="s">
        <v>55</v>
      </c>
      <c r="E1050" s="12">
        <v>46122</v>
      </c>
      <c r="F1050" s="20">
        <f t="shared" si="16"/>
        <v>46113</v>
      </c>
    </row>
    <row r="1051" spans="1:6" ht="20.25">
      <c r="A1051" s="49"/>
      <c r="B1051" s="47" t="s">
        <v>1267</v>
      </c>
      <c r="C1051" s="47">
        <v>128</v>
      </c>
      <c r="D1051" s="47" t="s">
        <v>55</v>
      </c>
      <c r="E1051" s="12">
        <v>46122</v>
      </c>
      <c r="F1051" s="20">
        <f t="shared" si="16"/>
        <v>46113</v>
      </c>
    </row>
    <row r="1052" spans="1:6" ht="20.25">
      <c r="A1052" s="49"/>
      <c r="B1052" s="47" t="s">
        <v>884</v>
      </c>
      <c r="C1052" s="47">
        <v>190</v>
      </c>
      <c r="D1052" s="47" t="s">
        <v>55</v>
      </c>
      <c r="E1052" s="12">
        <v>46122</v>
      </c>
      <c r="F1052" s="20">
        <f t="shared" si="16"/>
        <v>46113</v>
      </c>
    </row>
    <row r="1053" spans="1:6" ht="20.25">
      <c r="A1053" s="49"/>
      <c r="B1053" s="47" t="s">
        <v>630</v>
      </c>
      <c r="C1053" s="47">
        <v>17</v>
      </c>
      <c r="D1053" s="47" t="s">
        <v>55</v>
      </c>
      <c r="E1053" s="12">
        <v>46122</v>
      </c>
      <c r="F1053" s="20">
        <f t="shared" si="16"/>
        <v>46113</v>
      </c>
    </row>
    <row r="1054" spans="1:6" ht="20.25">
      <c r="A1054" s="49"/>
      <c r="B1054" s="47" t="s">
        <v>1171</v>
      </c>
      <c r="C1054" s="47">
        <v>80</v>
      </c>
      <c r="D1054" s="47" t="s">
        <v>46</v>
      </c>
      <c r="E1054" s="12">
        <v>46122</v>
      </c>
      <c r="F1054" s="20">
        <f t="shared" si="16"/>
        <v>46113</v>
      </c>
    </row>
    <row r="1055" spans="1:6" ht="20.25">
      <c r="A1055" s="49"/>
      <c r="B1055" s="47" t="s">
        <v>932</v>
      </c>
      <c r="C1055" s="47">
        <v>451</v>
      </c>
      <c r="D1055" s="47" t="s">
        <v>95</v>
      </c>
      <c r="E1055" s="12">
        <v>46123</v>
      </c>
      <c r="F1055" s="20">
        <f t="shared" si="16"/>
        <v>46113</v>
      </c>
    </row>
    <row r="1056" spans="1:6" ht="20.25">
      <c r="A1056" s="49"/>
      <c r="B1056" s="47" t="s">
        <v>871</v>
      </c>
      <c r="C1056" s="47">
        <v>116</v>
      </c>
      <c r="D1056" s="47" t="s">
        <v>95</v>
      </c>
      <c r="E1056" s="12">
        <v>46123</v>
      </c>
      <c r="F1056" s="20">
        <f t="shared" si="16"/>
        <v>46113</v>
      </c>
    </row>
    <row r="1057" spans="1:6" ht="20.25">
      <c r="A1057" s="49"/>
      <c r="B1057" s="47" t="s">
        <v>717</v>
      </c>
      <c r="C1057" s="47">
        <v>369</v>
      </c>
      <c r="D1057" s="47" t="s">
        <v>95</v>
      </c>
      <c r="E1057" s="12">
        <v>46123</v>
      </c>
      <c r="F1057" s="20">
        <f t="shared" si="16"/>
        <v>46113</v>
      </c>
    </row>
    <row r="1058" spans="1:6" ht="20.25">
      <c r="A1058" s="49"/>
      <c r="B1058" s="47" t="s">
        <v>986</v>
      </c>
      <c r="C1058" s="47">
        <v>464</v>
      </c>
      <c r="D1058" s="47" t="s">
        <v>160</v>
      </c>
      <c r="E1058" s="12">
        <v>46123</v>
      </c>
      <c r="F1058" s="20">
        <f t="shared" si="16"/>
        <v>46113</v>
      </c>
    </row>
    <row r="1059" spans="1:6" ht="20.25">
      <c r="A1059" s="49"/>
      <c r="B1059" s="47" t="s">
        <v>1241</v>
      </c>
      <c r="C1059" s="47">
        <v>256</v>
      </c>
      <c r="D1059" s="47" t="s">
        <v>160</v>
      </c>
      <c r="E1059" s="12">
        <v>46123</v>
      </c>
      <c r="F1059" s="20">
        <f t="shared" si="16"/>
        <v>46113</v>
      </c>
    </row>
    <row r="1060" spans="1:6" ht="20.25">
      <c r="A1060" s="49"/>
      <c r="B1060" s="47" t="s">
        <v>880</v>
      </c>
      <c r="C1060" s="47">
        <v>386</v>
      </c>
      <c r="D1060" s="47" t="s">
        <v>160</v>
      </c>
      <c r="E1060" s="12">
        <v>46123</v>
      </c>
      <c r="F1060" s="20">
        <f t="shared" si="16"/>
        <v>46113</v>
      </c>
    </row>
    <row r="1061" spans="1:6" ht="20.25">
      <c r="A1061" s="49"/>
      <c r="B1061" s="47" t="s">
        <v>1125</v>
      </c>
      <c r="C1061" s="47">
        <v>70</v>
      </c>
      <c r="D1061" s="47" t="s">
        <v>160</v>
      </c>
      <c r="E1061" s="12">
        <v>46123</v>
      </c>
      <c r="F1061" s="20">
        <f t="shared" si="16"/>
        <v>46113</v>
      </c>
    </row>
    <row r="1062" spans="1:6" ht="20.25">
      <c r="A1062" s="49"/>
      <c r="B1062" s="47" t="s">
        <v>1125</v>
      </c>
      <c r="C1062" s="47">
        <v>129</v>
      </c>
      <c r="D1062" s="47" t="s">
        <v>160</v>
      </c>
      <c r="E1062" s="12">
        <v>46123</v>
      </c>
      <c r="F1062" s="20">
        <f t="shared" si="16"/>
        <v>46113</v>
      </c>
    </row>
    <row r="1063" spans="1:6" ht="20.25">
      <c r="A1063" s="49"/>
      <c r="B1063" s="47" t="s">
        <v>939</v>
      </c>
      <c r="C1063" s="47">
        <v>117</v>
      </c>
      <c r="D1063" s="47" t="s">
        <v>95</v>
      </c>
      <c r="E1063" s="12">
        <v>46123</v>
      </c>
      <c r="F1063" s="20">
        <f t="shared" si="16"/>
        <v>46113</v>
      </c>
    </row>
    <row r="1064" spans="1:6" ht="20.25">
      <c r="A1064" s="49"/>
      <c r="B1064" s="47" t="s">
        <v>613</v>
      </c>
      <c r="C1064" s="47">
        <v>307</v>
      </c>
      <c r="D1064" s="47" t="s">
        <v>66</v>
      </c>
      <c r="E1064" s="12">
        <v>46123</v>
      </c>
      <c r="F1064" s="20">
        <f t="shared" si="16"/>
        <v>46113</v>
      </c>
    </row>
    <row r="1065" spans="1:6" ht="20.25">
      <c r="A1065" s="49"/>
      <c r="B1065" s="47" t="s">
        <v>1549</v>
      </c>
      <c r="C1065" s="47">
        <v>10</v>
      </c>
      <c r="D1065" s="47" t="s">
        <v>66</v>
      </c>
      <c r="E1065" s="12">
        <v>46123</v>
      </c>
      <c r="F1065" s="20">
        <f t="shared" si="16"/>
        <v>46113</v>
      </c>
    </row>
    <row r="1066" spans="1:6" ht="20.25">
      <c r="A1066" s="49"/>
      <c r="B1066" s="47" t="s">
        <v>638</v>
      </c>
      <c r="C1066" s="47">
        <v>52</v>
      </c>
      <c r="D1066" s="47" t="s">
        <v>66</v>
      </c>
      <c r="E1066" s="12">
        <v>46123</v>
      </c>
      <c r="F1066" s="20">
        <f t="shared" si="16"/>
        <v>46113</v>
      </c>
    </row>
    <row r="1067" spans="1:6" ht="20.25">
      <c r="A1067" s="49"/>
      <c r="B1067" s="47" t="s">
        <v>757</v>
      </c>
      <c r="C1067" s="47">
        <v>32</v>
      </c>
      <c r="D1067" s="47" t="s">
        <v>66</v>
      </c>
      <c r="E1067" s="12">
        <v>46123</v>
      </c>
      <c r="F1067" s="20">
        <f t="shared" si="16"/>
        <v>46113</v>
      </c>
    </row>
    <row r="1068" spans="1:6" ht="20.25">
      <c r="A1068" s="49"/>
      <c r="B1068" s="47" t="s">
        <v>982</v>
      </c>
      <c r="C1068" s="47">
        <v>65</v>
      </c>
      <c r="D1068" s="47" t="s">
        <v>66</v>
      </c>
      <c r="E1068" s="12">
        <v>46123</v>
      </c>
      <c r="F1068" s="20">
        <f t="shared" si="16"/>
        <v>46113</v>
      </c>
    </row>
    <row r="1069" spans="1:6" ht="20.25">
      <c r="A1069" s="49"/>
      <c r="B1069" s="47" t="s">
        <v>982</v>
      </c>
      <c r="C1069" s="47">
        <v>42</v>
      </c>
      <c r="D1069" s="47" t="s">
        <v>66</v>
      </c>
      <c r="E1069" s="12">
        <v>46123</v>
      </c>
      <c r="F1069" s="20">
        <f t="shared" si="16"/>
        <v>46113</v>
      </c>
    </row>
    <row r="1070" spans="1:6" ht="20.25">
      <c r="A1070" s="49"/>
      <c r="B1070" s="47" t="s">
        <v>985</v>
      </c>
      <c r="C1070" s="47">
        <v>151</v>
      </c>
      <c r="D1070" s="47" t="s">
        <v>66</v>
      </c>
      <c r="E1070" s="12">
        <v>46123</v>
      </c>
      <c r="F1070" s="20">
        <f t="shared" si="16"/>
        <v>46113</v>
      </c>
    </row>
    <row r="1071" spans="1:6" ht="20.25">
      <c r="A1071" s="49"/>
      <c r="B1071" s="47" t="s">
        <v>1597</v>
      </c>
      <c r="C1071" s="47">
        <v>40</v>
      </c>
      <c r="D1071" s="47" t="s">
        <v>66</v>
      </c>
      <c r="E1071" s="12">
        <v>46123</v>
      </c>
      <c r="F1071" s="20">
        <f t="shared" si="16"/>
        <v>46113</v>
      </c>
    </row>
    <row r="1072" spans="1:6" ht="20.25">
      <c r="A1072" s="49"/>
      <c r="B1072" s="47" t="s">
        <v>934</v>
      </c>
      <c r="C1072" s="47">
        <v>118</v>
      </c>
      <c r="D1072" s="47" t="s">
        <v>66</v>
      </c>
      <c r="E1072" s="12">
        <v>46123</v>
      </c>
      <c r="F1072" s="20">
        <f t="shared" si="16"/>
        <v>46113</v>
      </c>
    </row>
    <row r="1073" spans="1:6" ht="20.25">
      <c r="A1073" s="49"/>
      <c r="B1073" s="47" t="s">
        <v>773</v>
      </c>
      <c r="C1073" s="47">
        <v>345</v>
      </c>
      <c r="D1073" s="47" t="s">
        <v>66</v>
      </c>
      <c r="E1073" s="12">
        <v>46123</v>
      </c>
      <c r="F1073" s="20">
        <f t="shared" si="16"/>
        <v>46113</v>
      </c>
    </row>
    <row r="1074" spans="1:6" ht="20.25">
      <c r="A1074" s="49"/>
      <c r="B1074" s="47" t="s">
        <v>717</v>
      </c>
      <c r="C1074" s="47">
        <v>657</v>
      </c>
      <c r="D1074" s="47" t="s">
        <v>66</v>
      </c>
      <c r="E1074" s="12">
        <v>46123</v>
      </c>
      <c r="F1074" s="20">
        <f t="shared" si="16"/>
        <v>46113</v>
      </c>
    </row>
    <row r="1075" spans="1:6" ht="20.25">
      <c r="A1075" s="49"/>
      <c r="B1075" s="47" t="s">
        <v>807</v>
      </c>
      <c r="C1075" s="47">
        <v>1023</v>
      </c>
      <c r="D1075" s="47" t="s">
        <v>66</v>
      </c>
      <c r="E1075" s="12">
        <v>46123</v>
      </c>
      <c r="F1075" s="20">
        <f t="shared" si="16"/>
        <v>46113</v>
      </c>
    </row>
    <row r="1076" spans="1:6" ht="20.25">
      <c r="A1076" s="49"/>
      <c r="B1076" s="47" t="s">
        <v>1599</v>
      </c>
      <c r="C1076" s="47">
        <v>68</v>
      </c>
      <c r="D1076" s="47" t="s">
        <v>66</v>
      </c>
      <c r="E1076" s="12">
        <v>46123</v>
      </c>
      <c r="F1076" s="20">
        <f t="shared" si="16"/>
        <v>46113</v>
      </c>
    </row>
    <row r="1077" spans="1:6" ht="20.25">
      <c r="A1077" s="49"/>
      <c r="B1077" s="47" t="s">
        <v>1551</v>
      </c>
      <c r="C1077" s="47">
        <v>85</v>
      </c>
      <c r="D1077" s="47" t="s">
        <v>72</v>
      </c>
      <c r="E1077" s="12">
        <v>46123</v>
      </c>
      <c r="F1077" s="20">
        <f t="shared" si="16"/>
        <v>46113</v>
      </c>
    </row>
    <row r="1078" spans="1:6" ht="20.25">
      <c r="A1078" s="49"/>
      <c r="B1078" s="47" t="s">
        <v>1551</v>
      </c>
      <c r="C1078" s="47">
        <v>105</v>
      </c>
      <c r="D1078" s="47" t="s">
        <v>72</v>
      </c>
      <c r="E1078" s="12">
        <v>46123</v>
      </c>
      <c r="F1078" s="20">
        <f t="shared" si="16"/>
        <v>46113</v>
      </c>
    </row>
    <row r="1079" spans="1:6" ht="20.25">
      <c r="A1079" s="49"/>
      <c r="B1079" s="47" t="s">
        <v>624</v>
      </c>
      <c r="C1079" s="47">
        <v>15</v>
      </c>
      <c r="D1079" s="47" t="s">
        <v>72</v>
      </c>
      <c r="E1079" s="12">
        <v>46123</v>
      </c>
      <c r="F1079" s="20">
        <f t="shared" si="16"/>
        <v>46113</v>
      </c>
    </row>
    <row r="1080" spans="1:6" ht="20.25">
      <c r="A1080" s="49"/>
      <c r="B1080" s="47" t="s">
        <v>617</v>
      </c>
      <c r="C1080" s="47">
        <v>102</v>
      </c>
      <c r="D1080" s="47" t="s">
        <v>72</v>
      </c>
      <c r="E1080" s="12">
        <v>46123</v>
      </c>
      <c r="F1080" s="20">
        <f t="shared" si="16"/>
        <v>46113</v>
      </c>
    </row>
    <row r="1081" spans="1:6" ht="20.25">
      <c r="A1081" s="49"/>
      <c r="B1081" s="47" t="s">
        <v>734</v>
      </c>
      <c r="C1081" s="47">
        <v>117</v>
      </c>
      <c r="D1081" s="47" t="s">
        <v>72</v>
      </c>
      <c r="E1081" s="12">
        <v>46123</v>
      </c>
      <c r="F1081" s="20">
        <f t="shared" si="16"/>
        <v>46113</v>
      </c>
    </row>
    <row r="1082" spans="1:6" ht="20.25">
      <c r="A1082" s="49"/>
      <c r="B1082" s="47" t="s">
        <v>683</v>
      </c>
      <c r="C1082" s="47">
        <v>166</v>
      </c>
      <c r="D1082" s="47" t="s">
        <v>72</v>
      </c>
      <c r="E1082" s="12">
        <v>46123</v>
      </c>
      <c r="F1082" s="20">
        <f t="shared" si="16"/>
        <v>46113</v>
      </c>
    </row>
    <row r="1083" spans="1:6" ht="20.25">
      <c r="A1083" s="49"/>
      <c r="B1083" s="47" t="s">
        <v>701</v>
      </c>
      <c r="C1083" s="47">
        <v>166</v>
      </c>
      <c r="D1083" s="47" t="s">
        <v>72</v>
      </c>
      <c r="E1083" s="12">
        <v>46123</v>
      </c>
      <c r="F1083" s="20">
        <f t="shared" si="16"/>
        <v>46113</v>
      </c>
    </row>
    <row r="1084" spans="1:6" ht="20.25">
      <c r="A1084" s="49"/>
      <c r="B1084" s="47" t="s">
        <v>627</v>
      </c>
      <c r="C1084" s="47">
        <v>45</v>
      </c>
      <c r="D1084" s="47" t="s">
        <v>55</v>
      </c>
      <c r="E1084" s="12">
        <v>46123</v>
      </c>
      <c r="F1084" s="20">
        <f t="shared" si="16"/>
        <v>46113</v>
      </c>
    </row>
    <row r="1085" spans="1:6" ht="20.25">
      <c r="A1085" s="49"/>
      <c r="B1085" s="47" t="s">
        <v>627</v>
      </c>
      <c r="C1085" s="47">
        <v>104</v>
      </c>
      <c r="D1085" s="47" t="s">
        <v>55</v>
      </c>
      <c r="E1085" s="12">
        <v>46123</v>
      </c>
      <c r="F1085" s="20">
        <f t="shared" si="16"/>
        <v>46113</v>
      </c>
    </row>
    <row r="1086" spans="1:6" ht="20.25">
      <c r="A1086" s="49"/>
      <c r="B1086" s="47" t="s">
        <v>627</v>
      </c>
      <c r="C1086" s="47">
        <v>218</v>
      </c>
      <c r="D1086" s="47" t="s">
        <v>55</v>
      </c>
      <c r="E1086" s="12">
        <v>46123</v>
      </c>
      <c r="F1086" s="20">
        <f t="shared" si="16"/>
        <v>46113</v>
      </c>
    </row>
    <row r="1087" spans="1:6" ht="20.25">
      <c r="A1087" s="49"/>
      <c r="B1087" s="47" t="s">
        <v>627</v>
      </c>
      <c r="C1087" s="47">
        <v>293</v>
      </c>
      <c r="D1087" s="47" t="s">
        <v>55</v>
      </c>
      <c r="E1087" s="12">
        <v>46123</v>
      </c>
      <c r="F1087" s="20">
        <f t="shared" si="16"/>
        <v>46113</v>
      </c>
    </row>
    <row r="1088" spans="1:6" ht="20.25">
      <c r="A1088" s="49"/>
      <c r="B1088" s="47" t="s">
        <v>947</v>
      </c>
      <c r="C1088" s="47">
        <v>78</v>
      </c>
      <c r="D1088" s="47" t="s">
        <v>55</v>
      </c>
      <c r="E1088" s="12">
        <v>46123</v>
      </c>
      <c r="F1088" s="20">
        <f t="shared" si="16"/>
        <v>46113</v>
      </c>
    </row>
    <row r="1089" spans="1:6" ht="20.25">
      <c r="A1089" s="49"/>
      <c r="B1089" s="47" t="s">
        <v>931</v>
      </c>
      <c r="C1089" s="47">
        <v>367</v>
      </c>
      <c r="D1089" s="47" t="s">
        <v>95</v>
      </c>
      <c r="E1089" s="12">
        <v>46123</v>
      </c>
      <c r="F1089" s="20">
        <f t="shared" si="16"/>
        <v>46113</v>
      </c>
    </row>
    <row r="1090" spans="1:6" ht="20.25">
      <c r="A1090" s="49"/>
      <c r="B1090" s="47" t="s">
        <v>930</v>
      </c>
      <c r="C1090" s="47">
        <v>128</v>
      </c>
      <c r="D1090" s="47" t="s">
        <v>95</v>
      </c>
      <c r="E1090" s="12">
        <v>46123</v>
      </c>
      <c r="F1090" s="20">
        <f t="shared" ref="F1090:F1153" si="17">EOMONTH(E1090,-1)+1</f>
        <v>46113</v>
      </c>
    </row>
    <row r="1091" spans="1:6" ht="20.25">
      <c r="A1091" s="49"/>
      <c r="B1091" s="47" t="s">
        <v>1000</v>
      </c>
      <c r="C1091" s="47">
        <v>54</v>
      </c>
      <c r="D1091" s="47" t="s">
        <v>95</v>
      </c>
      <c r="E1091" s="12">
        <v>46123</v>
      </c>
      <c r="F1091" s="20">
        <f t="shared" si="17"/>
        <v>46113</v>
      </c>
    </row>
    <row r="1092" spans="1:6" ht="20.25">
      <c r="A1092" s="49"/>
      <c r="B1092" s="47" t="s">
        <v>603</v>
      </c>
      <c r="C1092" s="47">
        <v>72</v>
      </c>
      <c r="D1092" s="47" t="s">
        <v>95</v>
      </c>
      <c r="E1092" s="12">
        <v>46123</v>
      </c>
      <c r="F1092" s="20">
        <f t="shared" si="17"/>
        <v>46113</v>
      </c>
    </row>
    <row r="1093" spans="1:6" ht="20.25">
      <c r="A1093" s="49"/>
      <c r="B1093" s="47" t="s">
        <v>603</v>
      </c>
      <c r="C1093" s="47">
        <v>828</v>
      </c>
      <c r="D1093" s="47" t="s">
        <v>95</v>
      </c>
      <c r="E1093" s="12">
        <v>46123</v>
      </c>
      <c r="F1093" s="20">
        <f t="shared" si="17"/>
        <v>46113</v>
      </c>
    </row>
    <row r="1094" spans="1:6" ht="20.25">
      <c r="A1094" s="49"/>
      <c r="B1094" s="47" t="s">
        <v>1595</v>
      </c>
      <c r="C1094" s="47">
        <v>233</v>
      </c>
      <c r="D1094" s="47" t="s">
        <v>95</v>
      </c>
      <c r="E1094" s="12">
        <v>46123</v>
      </c>
      <c r="F1094" s="20">
        <f t="shared" si="17"/>
        <v>46113</v>
      </c>
    </row>
    <row r="1095" spans="1:6" ht="20.25">
      <c r="A1095" s="49"/>
      <c r="B1095" s="47" t="s">
        <v>646</v>
      </c>
      <c r="C1095" s="47">
        <v>101</v>
      </c>
      <c r="D1095" s="47" t="s">
        <v>55</v>
      </c>
      <c r="E1095" s="12">
        <v>46123</v>
      </c>
      <c r="F1095" s="20">
        <f t="shared" si="17"/>
        <v>46113</v>
      </c>
    </row>
    <row r="1096" spans="1:6" ht="20.25">
      <c r="A1096" s="49"/>
      <c r="B1096" s="47" t="s">
        <v>1244</v>
      </c>
      <c r="C1096" s="47">
        <v>35</v>
      </c>
      <c r="D1096" s="47" t="s">
        <v>55</v>
      </c>
      <c r="E1096" s="12">
        <v>46123</v>
      </c>
      <c r="F1096" s="20">
        <f t="shared" si="17"/>
        <v>46113</v>
      </c>
    </row>
    <row r="1097" spans="1:6" ht="20.25">
      <c r="A1097" s="49"/>
      <c r="B1097" s="47" t="s">
        <v>636</v>
      </c>
      <c r="C1097" s="47">
        <v>62</v>
      </c>
      <c r="D1097" s="47" t="s">
        <v>55</v>
      </c>
      <c r="E1097" s="12">
        <v>46123</v>
      </c>
      <c r="F1097" s="20">
        <f t="shared" si="17"/>
        <v>46113</v>
      </c>
    </row>
    <row r="1098" spans="1:6" ht="20.25">
      <c r="A1098" s="49"/>
      <c r="B1098" s="47" t="s">
        <v>1436</v>
      </c>
      <c r="C1098" s="47">
        <v>85</v>
      </c>
      <c r="D1098" s="47" t="s">
        <v>95</v>
      </c>
      <c r="E1098" s="12">
        <v>46123</v>
      </c>
      <c r="F1098" s="20">
        <f t="shared" si="17"/>
        <v>46113</v>
      </c>
    </row>
    <row r="1099" spans="1:6" ht="20.25">
      <c r="A1099" s="49"/>
      <c r="B1099" s="47" t="s">
        <v>1101</v>
      </c>
      <c r="C1099" s="47">
        <v>57</v>
      </c>
      <c r="D1099" s="47" t="s">
        <v>62</v>
      </c>
      <c r="E1099" s="12">
        <v>46123</v>
      </c>
      <c r="F1099" s="20">
        <f t="shared" si="17"/>
        <v>46113</v>
      </c>
    </row>
    <row r="1100" spans="1:6" ht="20.25">
      <c r="A1100" s="49"/>
      <c r="B1100" s="47" t="s">
        <v>1101</v>
      </c>
      <c r="C1100" s="47">
        <v>68</v>
      </c>
      <c r="D1100" s="47" t="s">
        <v>62</v>
      </c>
      <c r="E1100" s="12">
        <v>46123</v>
      </c>
      <c r="F1100" s="20">
        <f t="shared" si="17"/>
        <v>46113</v>
      </c>
    </row>
    <row r="1101" spans="1:6" ht="20.25">
      <c r="A1101" s="49"/>
      <c r="B1101" s="47" t="s">
        <v>1101</v>
      </c>
      <c r="C1101" s="47">
        <v>68</v>
      </c>
      <c r="D1101" s="47" t="s">
        <v>62</v>
      </c>
      <c r="E1101" s="12">
        <v>46123</v>
      </c>
      <c r="F1101" s="20">
        <f t="shared" si="17"/>
        <v>46113</v>
      </c>
    </row>
    <row r="1102" spans="1:6" ht="20.25">
      <c r="A1102" s="49"/>
      <c r="B1102" s="47" t="s">
        <v>1101</v>
      </c>
      <c r="C1102" s="47">
        <v>56</v>
      </c>
      <c r="D1102" s="47" t="s">
        <v>62</v>
      </c>
      <c r="E1102" s="12">
        <v>46123</v>
      </c>
      <c r="F1102" s="20">
        <f t="shared" si="17"/>
        <v>46113</v>
      </c>
    </row>
    <row r="1103" spans="1:6" ht="20.25">
      <c r="A1103" s="49"/>
      <c r="B1103" s="47" t="s">
        <v>1071</v>
      </c>
      <c r="C1103" s="47">
        <v>108</v>
      </c>
      <c r="D1103" s="47" t="s">
        <v>62</v>
      </c>
      <c r="E1103" s="12">
        <v>46123</v>
      </c>
      <c r="F1103" s="20">
        <f t="shared" si="17"/>
        <v>46113</v>
      </c>
    </row>
    <row r="1104" spans="1:6" ht="20.25">
      <c r="A1104" s="49"/>
      <c r="B1104" s="47" t="s">
        <v>1264</v>
      </c>
      <c r="C1104" s="47">
        <v>56</v>
      </c>
      <c r="D1104" s="47" t="s">
        <v>62</v>
      </c>
      <c r="E1104" s="12">
        <v>46123</v>
      </c>
      <c r="F1104" s="20">
        <f t="shared" si="17"/>
        <v>46113</v>
      </c>
    </row>
    <row r="1105" spans="1:6" ht="20.25">
      <c r="A1105" s="49"/>
      <c r="B1105" s="47" t="s">
        <v>1073</v>
      </c>
      <c r="C1105" s="47">
        <v>28</v>
      </c>
      <c r="D1105" s="47" t="s">
        <v>62</v>
      </c>
      <c r="E1105" s="12">
        <v>46123</v>
      </c>
      <c r="F1105" s="20">
        <f t="shared" si="17"/>
        <v>46113</v>
      </c>
    </row>
    <row r="1106" spans="1:6" ht="20.25">
      <c r="A1106" s="49"/>
      <c r="B1106" s="47" t="s">
        <v>916</v>
      </c>
      <c r="C1106" s="47">
        <v>158</v>
      </c>
      <c r="D1106" s="47" t="s">
        <v>62</v>
      </c>
      <c r="E1106" s="12">
        <v>46123</v>
      </c>
      <c r="F1106" s="20">
        <f t="shared" si="17"/>
        <v>46113</v>
      </c>
    </row>
    <row r="1107" spans="1:6" ht="20.25">
      <c r="A1107" s="49"/>
      <c r="B1107" s="47" t="s">
        <v>650</v>
      </c>
      <c r="C1107" s="47">
        <v>112</v>
      </c>
      <c r="D1107" s="47" t="s">
        <v>62</v>
      </c>
      <c r="E1107" s="12">
        <v>46123</v>
      </c>
      <c r="F1107" s="20">
        <f t="shared" si="17"/>
        <v>46113</v>
      </c>
    </row>
    <row r="1108" spans="1:6" ht="20.25">
      <c r="A1108" s="49"/>
      <c r="B1108" s="47" t="s">
        <v>814</v>
      </c>
      <c r="C1108" s="47">
        <v>164</v>
      </c>
      <c r="D1108" s="47" t="s">
        <v>62</v>
      </c>
      <c r="E1108" s="12">
        <v>46123</v>
      </c>
      <c r="F1108" s="20">
        <f t="shared" si="17"/>
        <v>46113</v>
      </c>
    </row>
    <row r="1109" spans="1:6" ht="20.25">
      <c r="A1109" s="49"/>
      <c r="B1109" s="47" t="s">
        <v>814</v>
      </c>
      <c r="C1109" s="47">
        <v>56</v>
      </c>
      <c r="D1109" s="47" t="s">
        <v>62</v>
      </c>
      <c r="E1109" s="12">
        <v>46123</v>
      </c>
      <c r="F1109" s="20">
        <f t="shared" si="17"/>
        <v>46113</v>
      </c>
    </row>
    <row r="1110" spans="1:6" ht="20.25">
      <c r="A1110" s="49"/>
      <c r="B1110" s="47" t="s">
        <v>637</v>
      </c>
      <c r="C1110" s="47">
        <v>26</v>
      </c>
      <c r="D1110" s="47" t="s">
        <v>62</v>
      </c>
      <c r="E1110" s="12">
        <v>46123</v>
      </c>
      <c r="F1110" s="20">
        <f t="shared" si="17"/>
        <v>46113</v>
      </c>
    </row>
    <row r="1111" spans="1:6" ht="20.25">
      <c r="A1111" s="49"/>
      <c r="B1111" s="47" t="s">
        <v>1428</v>
      </c>
      <c r="C1111" s="47">
        <v>28</v>
      </c>
      <c r="D1111" s="47" t="s">
        <v>62</v>
      </c>
      <c r="E1111" s="12">
        <v>46123</v>
      </c>
      <c r="F1111" s="20">
        <f t="shared" si="17"/>
        <v>46113</v>
      </c>
    </row>
    <row r="1112" spans="1:6" ht="20.25">
      <c r="A1112" s="49"/>
      <c r="B1112" s="47" t="s">
        <v>1431</v>
      </c>
      <c r="C1112" s="47">
        <v>20</v>
      </c>
      <c r="D1112" s="47" t="s">
        <v>62</v>
      </c>
      <c r="E1112" s="12">
        <v>46123</v>
      </c>
      <c r="F1112" s="20">
        <f t="shared" si="17"/>
        <v>46113</v>
      </c>
    </row>
    <row r="1113" spans="1:6" ht="20.25">
      <c r="A1113" s="49"/>
      <c r="B1113" s="47" t="s">
        <v>799</v>
      </c>
      <c r="C1113" s="47">
        <v>31</v>
      </c>
      <c r="D1113" s="47" t="s">
        <v>62</v>
      </c>
      <c r="E1113" s="12">
        <v>46123</v>
      </c>
      <c r="F1113" s="20">
        <f t="shared" si="17"/>
        <v>46113</v>
      </c>
    </row>
    <row r="1114" spans="1:6" ht="20.25">
      <c r="A1114" s="49"/>
      <c r="B1114" s="47" t="s">
        <v>1083</v>
      </c>
      <c r="C1114" s="47">
        <v>159</v>
      </c>
      <c r="D1114" s="47" t="s">
        <v>62</v>
      </c>
      <c r="E1114" s="12">
        <v>46123</v>
      </c>
      <c r="F1114" s="20">
        <f t="shared" si="17"/>
        <v>46113</v>
      </c>
    </row>
    <row r="1115" spans="1:6" ht="20.25">
      <c r="A1115" s="49"/>
      <c r="B1115" s="47" t="s">
        <v>1024</v>
      </c>
      <c r="C1115" s="47">
        <v>237</v>
      </c>
      <c r="D1115" s="47" t="s">
        <v>62</v>
      </c>
      <c r="E1115" s="12">
        <v>46123</v>
      </c>
      <c r="F1115" s="20">
        <f t="shared" si="17"/>
        <v>46113</v>
      </c>
    </row>
    <row r="1116" spans="1:6" ht="20.25">
      <c r="A1116" s="49"/>
      <c r="B1116" s="47" t="s">
        <v>1598</v>
      </c>
      <c r="C1116" s="47">
        <v>42</v>
      </c>
      <c r="D1116" s="47" t="s">
        <v>62</v>
      </c>
      <c r="E1116" s="12">
        <v>46123</v>
      </c>
      <c r="F1116" s="20">
        <f t="shared" si="17"/>
        <v>46113</v>
      </c>
    </row>
    <row r="1117" spans="1:6" ht="20.25">
      <c r="A1117" s="49"/>
      <c r="B1117" s="47" t="s">
        <v>1598</v>
      </c>
      <c r="C1117" s="47">
        <v>200</v>
      </c>
      <c r="D1117" s="47" t="s">
        <v>62</v>
      </c>
      <c r="E1117" s="12">
        <v>46123</v>
      </c>
      <c r="F1117" s="20">
        <f t="shared" si="17"/>
        <v>46113</v>
      </c>
    </row>
    <row r="1118" spans="1:6" ht="20.25">
      <c r="A1118" s="49"/>
      <c r="B1118" s="47" t="s">
        <v>1435</v>
      </c>
      <c r="C1118" s="47">
        <v>238</v>
      </c>
      <c r="D1118" s="47" t="s">
        <v>62</v>
      </c>
      <c r="E1118" s="12">
        <v>46123</v>
      </c>
      <c r="F1118" s="20">
        <f t="shared" si="17"/>
        <v>46113</v>
      </c>
    </row>
    <row r="1119" spans="1:6" ht="20.25">
      <c r="A1119" s="49"/>
      <c r="B1119" s="47" t="s">
        <v>814</v>
      </c>
      <c r="C1119" s="47">
        <v>77</v>
      </c>
      <c r="D1119" s="47" t="s">
        <v>62</v>
      </c>
      <c r="E1119" s="12">
        <v>46123</v>
      </c>
      <c r="F1119" s="20">
        <f t="shared" si="17"/>
        <v>46113</v>
      </c>
    </row>
    <row r="1120" spans="1:6" ht="20.25">
      <c r="A1120" s="49"/>
      <c r="B1120" s="47" t="s">
        <v>946</v>
      </c>
      <c r="C1120" s="47">
        <v>10</v>
      </c>
      <c r="D1120" s="47" t="s">
        <v>95</v>
      </c>
      <c r="E1120" s="12">
        <v>46123</v>
      </c>
      <c r="F1120" s="20">
        <f t="shared" si="17"/>
        <v>46113</v>
      </c>
    </row>
    <row r="1121" spans="1:6" ht="20.25">
      <c r="A1121" s="49"/>
      <c r="B1121" s="47" t="s">
        <v>1087</v>
      </c>
      <c r="C1121" s="47">
        <v>304</v>
      </c>
      <c r="D1121" s="47" t="s">
        <v>114</v>
      </c>
      <c r="E1121" s="12">
        <v>46123</v>
      </c>
      <c r="F1121" s="20">
        <f t="shared" si="17"/>
        <v>46113</v>
      </c>
    </row>
    <row r="1122" spans="1:6" ht="20.25">
      <c r="A1122" s="49"/>
      <c r="B1122" s="47" t="s">
        <v>769</v>
      </c>
      <c r="C1122" s="47">
        <v>51</v>
      </c>
      <c r="D1122" s="47" t="s">
        <v>114</v>
      </c>
      <c r="E1122" s="12">
        <v>46123</v>
      </c>
      <c r="F1122" s="20">
        <f t="shared" si="17"/>
        <v>46113</v>
      </c>
    </row>
    <row r="1123" spans="1:6" ht="20.25">
      <c r="A1123" s="49"/>
      <c r="B1123" s="47" t="s">
        <v>1004</v>
      </c>
      <c r="C1123" s="47">
        <v>36</v>
      </c>
      <c r="D1123" s="47" t="s">
        <v>114</v>
      </c>
      <c r="E1123" s="12">
        <v>46123</v>
      </c>
      <c r="F1123" s="20">
        <f t="shared" si="17"/>
        <v>46113</v>
      </c>
    </row>
    <row r="1124" spans="1:6" ht="20.25">
      <c r="A1124" s="49"/>
      <c r="B1124" s="47" t="s">
        <v>1254</v>
      </c>
      <c r="C1124" s="47">
        <v>31</v>
      </c>
      <c r="D1124" s="47" t="s">
        <v>114</v>
      </c>
      <c r="E1124" s="12">
        <v>46123</v>
      </c>
      <c r="F1124" s="20">
        <f t="shared" si="17"/>
        <v>46113</v>
      </c>
    </row>
    <row r="1125" spans="1:6" ht="20.25">
      <c r="A1125" s="49"/>
      <c r="B1125" s="47" t="s">
        <v>740</v>
      </c>
      <c r="C1125" s="47">
        <v>117</v>
      </c>
      <c r="D1125" s="47" t="s">
        <v>114</v>
      </c>
      <c r="E1125" s="12">
        <v>46123</v>
      </c>
      <c r="F1125" s="20">
        <f t="shared" si="17"/>
        <v>46113</v>
      </c>
    </row>
    <row r="1126" spans="1:6" ht="20.25">
      <c r="A1126" s="49"/>
      <c r="B1126" s="47" t="s">
        <v>859</v>
      </c>
      <c r="C1126" s="47">
        <v>211</v>
      </c>
      <c r="D1126" s="47" t="s">
        <v>63</v>
      </c>
      <c r="E1126" s="12">
        <v>46123</v>
      </c>
      <c r="F1126" s="20">
        <f t="shared" si="17"/>
        <v>46113</v>
      </c>
    </row>
    <row r="1127" spans="1:6" ht="20.25">
      <c r="A1127" s="49"/>
      <c r="B1127" s="47" t="s">
        <v>866</v>
      </c>
      <c r="C1127" s="47">
        <v>67</v>
      </c>
      <c r="D1127" s="47" t="s">
        <v>63</v>
      </c>
      <c r="E1127" s="12">
        <v>46123</v>
      </c>
      <c r="F1127" s="20">
        <f t="shared" si="17"/>
        <v>46113</v>
      </c>
    </row>
    <row r="1128" spans="1:6" ht="20.25">
      <c r="A1128" s="49"/>
      <c r="B1128" s="47" t="s">
        <v>1546</v>
      </c>
      <c r="C1128" s="47">
        <v>12</v>
      </c>
      <c r="D1128" s="47" t="s">
        <v>63</v>
      </c>
      <c r="E1128" s="12">
        <v>46123</v>
      </c>
      <c r="F1128" s="20">
        <f t="shared" si="17"/>
        <v>46113</v>
      </c>
    </row>
    <row r="1129" spans="1:6" ht="20.25">
      <c r="A1129" s="49"/>
      <c r="B1129" s="47" t="s">
        <v>1090</v>
      </c>
      <c r="C1129" s="47">
        <v>5</v>
      </c>
      <c r="D1129" s="47" t="s">
        <v>63</v>
      </c>
      <c r="E1129" s="12">
        <v>46123</v>
      </c>
      <c r="F1129" s="20">
        <f t="shared" si="17"/>
        <v>46113</v>
      </c>
    </row>
    <row r="1130" spans="1:6" ht="20.25">
      <c r="A1130" s="49"/>
      <c r="B1130" s="47" t="s">
        <v>1113</v>
      </c>
      <c r="C1130" s="47">
        <v>42</v>
      </c>
      <c r="D1130" s="47" t="s">
        <v>63</v>
      </c>
      <c r="E1130" s="12">
        <v>46123</v>
      </c>
      <c r="F1130" s="20">
        <f t="shared" si="17"/>
        <v>46113</v>
      </c>
    </row>
    <row r="1131" spans="1:6" ht="20.25">
      <c r="A1131" s="49"/>
      <c r="B1131" s="47" t="s">
        <v>997</v>
      </c>
      <c r="C1131" s="47">
        <v>148</v>
      </c>
      <c r="D1131" s="47" t="s">
        <v>55</v>
      </c>
      <c r="E1131" s="12">
        <v>46123</v>
      </c>
      <c r="F1131" s="20">
        <f t="shared" si="17"/>
        <v>46113</v>
      </c>
    </row>
    <row r="1132" spans="1:6" ht="20.25">
      <c r="A1132" s="49"/>
      <c r="B1132" s="47" t="s">
        <v>879</v>
      </c>
      <c r="C1132" s="47">
        <v>1</v>
      </c>
      <c r="D1132" s="47" t="s">
        <v>46</v>
      </c>
      <c r="E1132" s="12">
        <v>46123</v>
      </c>
      <c r="F1132" s="20">
        <f t="shared" si="17"/>
        <v>46113</v>
      </c>
    </row>
    <row r="1133" spans="1:6" ht="20.25">
      <c r="A1133" s="49"/>
      <c r="B1133" s="47" t="s">
        <v>1089</v>
      </c>
      <c r="C1133" s="47">
        <v>150</v>
      </c>
      <c r="D1133" s="47" t="s">
        <v>46</v>
      </c>
      <c r="E1133" s="12">
        <v>46123</v>
      </c>
      <c r="F1133" s="20">
        <f t="shared" si="17"/>
        <v>46113</v>
      </c>
    </row>
    <row r="1134" spans="1:6" ht="20.25">
      <c r="A1134" s="49"/>
      <c r="B1134" s="47" t="s">
        <v>1056</v>
      </c>
      <c r="C1134" s="47">
        <v>91</v>
      </c>
      <c r="D1134" s="47" t="s">
        <v>46</v>
      </c>
      <c r="E1134" s="12">
        <v>46123</v>
      </c>
      <c r="F1134" s="20">
        <f t="shared" si="17"/>
        <v>46113</v>
      </c>
    </row>
    <row r="1135" spans="1:6" ht="20.25">
      <c r="A1135" s="49"/>
      <c r="B1135" s="47" t="s">
        <v>867</v>
      </c>
      <c r="C1135" s="47">
        <v>48</v>
      </c>
      <c r="D1135" s="47" t="s">
        <v>46</v>
      </c>
      <c r="E1135" s="12">
        <v>46123</v>
      </c>
      <c r="F1135" s="20">
        <f t="shared" si="17"/>
        <v>46113</v>
      </c>
    </row>
    <row r="1136" spans="1:6" ht="20.25">
      <c r="A1136" s="49"/>
      <c r="B1136" s="47" t="s">
        <v>750</v>
      </c>
      <c r="C1136" s="47">
        <v>47</v>
      </c>
      <c r="D1136" s="47" t="s">
        <v>46</v>
      </c>
      <c r="E1136" s="12">
        <v>46123</v>
      </c>
      <c r="F1136" s="20">
        <f t="shared" si="17"/>
        <v>46113</v>
      </c>
    </row>
    <row r="1137" spans="1:6" ht="20.25">
      <c r="A1137" s="49"/>
      <c r="B1137" s="47" t="s">
        <v>768</v>
      </c>
      <c r="C1137" s="47">
        <v>50</v>
      </c>
      <c r="D1137" s="47" t="s">
        <v>46</v>
      </c>
      <c r="E1137" s="12">
        <v>46123</v>
      </c>
      <c r="F1137" s="20">
        <f t="shared" si="17"/>
        <v>46113</v>
      </c>
    </row>
    <row r="1138" spans="1:6" ht="20.25">
      <c r="A1138" s="49"/>
      <c r="B1138" s="47" t="s">
        <v>1051</v>
      </c>
      <c r="C1138" s="47">
        <v>100</v>
      </c>
      <c r="D1138" s="47" t="s">
        <v>46</v>
      </c>
      <c r="E1138" s="12">
        <v>46123</v>
      </c>
      <c r="F1138" s="20">
        <f t="shared" si="17"/>
        <v>46113</v>
      </c>
    </row>
    <row r="1139" spans="1:6" ht="20.25">
      <c r="A1139" s="49"/>
      <c r="B1139" s="47" t="s">
        <v>1051</v>
      </c>
      <c r="C1139" s="47">
        <v>202</v>
      </c>
      <c r="D1139" s="47" t="s">
        <v>46</v>
      </c>
      <c r="E1139" s="12">
        <v>46123</v>
      </c>
      <c r="F1139" s="20">
        <f t="shared" si="17"/>
        <v>46113</v>
      </c>
    </row>
    <row r="1140" spans="1:6" ht="20.25">
      <c r="A1140" s="49"/>
      <c r="B1140" s="47" t="s">
        <v>1051</v>
      </c>
      <c r="C1140" s="47">
        <v>104</v>
      </c>
      <c r="D1140" s="47" t="s">
        <v>46</v>
      </c>
      <c r="E1140" s="12">
        <v>46123</v>
      </c>
      <c r="F1140" s="20">
        <f t="shared" si="17"/>
        <v>46113</v>
      </c>
    </row>
    <row r="1141" spans="1:6" ht="20.25">
      <c r="A1141" s="49"/>
      <c r="B1141" s="47" t="s">
        <v>1353</v>
      </c>
      <c r="C1141" s="47">
        <v>15</v>
      </c>
      <c r="D1141" s="47" t="s">
        <v>46</v>
      </c>
      <c r="E1141" s="12">
        <v>46123</v>
      </c>
      <c r="F1141" s="20">
        <f t="shared" si="17"/>
        <v>46113</v>
      </c>
    </row>
    <row r="1142" spans="1:6" ht="20.25">
      <c r="A1142" s="49"/>
      <c r="B1142" s="47" t="s">
        <v>951</v>
      </c>
      <c r="C1142" s="47">
        <v>280</v>
      </c>
      <c r="D1142" s="47" t="s">
        <v>46</v>
      </c>
      <c r="E1142" s="12">
        <v>46123</v>
      </c>
      <c r="F1142" s="20">
        <f t="shared" si="17"/>
        <v>46113</v>
      </c>
    </row>
    <row r="1143" spans="1:6" ht="20.25">
      <c r="A1143" s="49"/>
      <c r="B1143" s="47" t="s">
        <v>944</v>
      </c>
      <c r="C1143" s="47">
        <v>97</v>
      </c>
      <c r="D1143" s="47" t="s">
        <v>46</v>
      </c>
      <c r="E1143" s="12">
        <v>46123</v>
      </c>
      <c r="F1143" s="20">
        <f t="shared" si="17"/>
        <v>46113</v>
      </c>
    </row>
    <row r="1144" spans="1:6" ht="20.25">
      <c r="A1144" s="49"/>
      <c r="B1144" s="47" t="s">
        <v>944</v>
      </c>
      <c r="C1144" s="47">
        <v>211</v>
      </c>
      <c r="D1144" s="47" t="s">
        <v>46</v>
      </c>
      <c r="E1144" s="12">
        <v>46123</v>
      </c>
      <c r="F1144" s="20">
        <f t="shared" si="17"/>
        <v>46113</v>
      </c>
    </row>
    <row r="1145" spans="1:6" ht="20.25">
      <c r="A1145" s="49"/>
      <c r="B1145" s="47" t="s">
        <v>1171</v>
      </c>
      <c r="C1145" s="47">
        <v>20</v>
      </c>
      <c r="D1145" s="47" t="s">
        <v>46</v>
      </c>
      <c r="E1145" s="12">
        <v>46123</v>
      </c>
      <c r="F1145" s="20">
        <f t="shared" si="17"/>
        <v>46113</v>
      </c>
    </row>
    <row r="1146" spans="1:6" ht="20.25">
      <c r="A1146" s="49"/>
      <c r="B1146" s="47" t="s">
        <v>1547</v>
      </c>
      <c r="C1146" s="47">
        <v>82</v>
      </c>
      <c r="D1146" s="47" t="s">
        <v>46</v>
      </c>
      <c r="E1146" s="12">
        <v>46123</v>
      </c>
      <c r="F1146" s="20">
        <f t="shared" si="17"/>
        <v>46113</v>
      </c>
    </row>
    <row r="1147" spans="1:6" ht="20.25">
      <c r="A1147" s="49"/>
      <c r="B1147" s="47" t="s">
        <v>1547</v>
      </c>
      <c r="C1147" s="47">
        <v>158</v>
      </c>
      <c r="D1147" s="47" t="s">
        <v>46</v>
      </c>
      <c r="E1147" s="12">
        <v>46123</v>
      </c>
      <c r="F1147" s="20">
        <f t="shared" si="17"/>
        <v>46113</v>
      </c>
    </row>
    <row r="1148" spans="1:6" ht="20.25">
      <c r="A1148" s="49"/>
      <c r="B1148" s="47" t="s">
        <v>681</v>
      </c>
      <c r="C1148" s="47">
        <v>19</v>
      </c>
      <c r="D1148" s="47" t="s">
        <v>46</v>
      </c>
      <c r="E1148" s="12">
        <v>46123</v>
      </c>
      <c r="F1148" s="20">
        <f t="shared" si="17"/>
        <v>46113</v>
      </c>
    </row>
    <row r="1149" spans="1:6" ht="20.25">
      <c r="A1149" s="49"/>
      <c r="B1149" s="47" t="s">
        <v>681</v>
      </c>
      <c r="C1149" s="47">
        <v>291</v>
      </c>
      <c r="D1149" s="47" t="s">
        <v>46</v>
      </c>
      <c r="E1149" s="12">
        <v>46123</v>
      </c>
      <c r="F1149" s="20">
        <f t="shared" si="17"/>
        <v>46113</v>
      </c>
    </row>
    <row r="1150" spans="1:6" ht="20.25">
      <c r="A1150" s="49"/>
      <c r="B1150" s="47" t="s">
        <v>1160</v>
      </c>
      <c r="C1150" s="47">
        <v>48</v>
      </c>
      <c r="D1150" s="47" t="s">
        <v>46</v>
      </c>
      <c r="E1150" s="12">
        <v>46123</v>
      </c>
      <c r="F1150" s="20">
        <f t="shared" si="17"/>
        <v>46113</v>
      </c>
    </row>
    <row r="1151" spans="1:6" ht="20.25">
      <c r="A1151" s="49"/>
      <c r="B1151" s="47" t="s">
        <v>843</v>
      </c>
      <c r="C1151" s="47">
        <v>29</v>
      </c>
      <c r="D1151" s="47" t="s">
        <v>46</v>
      </c>
      <c r="E1151" s="12">
        <v>46123</v>
      </c>
      <c r="F1151" s="20">
        <f t="shared" si="17"/>
        <v>46113</v>
      </c>
    </row>
    <row r="1152" spans="1:6" ht="20.25">
      <c r="A1152" s="49"/>
      <c r="B1152" s="47" t="s">
        <v>1165</v>
      </c>
      <c r="C1152" s="47">
        <v>231</v>
      </c>
      <c r="D1152" s="47" t="s">
        <v>55</v>
      </c>
      <c r="E1152" s="12">
        <v>46123</v>
      </c>
      <c r="F1152" s="20">
        <f t="shared" si="17"/>
        <v>46113</v>
      </c>
    </row>
    <row r="1153" spans="1:6" ht="20.25">
      <c r="A1153" s="49"/>
      <c r="B1153" s="47" t="s">
        <v>854</v>
      </c>
      <c r="C1153" s="47">
        <v>96</v>
      </c>
      <c r="D1153" s="47" t="s">
        <v>46</v>
      </c>
      <c r="E1153" s="12">
        <v>46123</v>
      </c>
      <c r="F1153" s="20">
        <f t="shared" si="17"/>
        <v>46113</v>
      </c>
    </row>
    <row r="1154" spans="1:6" ht="20.25">
      <c r="A1154" s="49"/>
      <c r="B1154" s="47" t="s">
        <v>863</v>
      </c>
      <c r="C1154" s="47">
        <v>124</v>
      </c>
      <c r="D1154" s="47" t="s">
        <v>55</v>
      </c>
      <c r="E1154" s="12">
        <v>46123</v>
      </c>
      <c r="F1154" s="20">
        <f t="shared" ref="F1154:F1217" si="18">EOMONTH(E1154,-1)+1</f>
        <v>46113</v>
      </c>
    </row>
    <row r="1155" spans="1:6" ht="20.25">
      <c r="A1155" s="49"/>
      <c r="B1155" s="47" t="s">
        <v>863</v>
      </c>
      <c r="C1155" s="47">
        <v>65</v>
      </c>
      <c r="D1155" s="47" t="s">
        <v>55</v>
      </c>
      <c r="E1155" s="12">
        <v>46123</v>
      </c>
      <c r="F1155" s="20">
        <f t="shared" si="18"/>
        <v>46113</v>
      </c>
    </row>
    <row r="1156" spans="1:6" ht="20.25">
      <c r="A1156" s="49"/>
      <c r="B1156" s="47" t="s">
        <v>863</v>
      </c>
      <c r="C1156" s="47">
        <v>7</v>
      </c>
      <c r="D1156" s="47" t="s">
        <v>55</v>
      </c>
      <c r="E1156" s="12">
        <v>46123</v>
      </c>
      <c r="F1156" s="20">
        <f t="shared" si="18"/>
        <v>46113</v>
      </c>
    </row>
    <row r="1157" spans="1:6" ht="20.25">
      <c r="A1157" s="49"/>
      <c r="B1157" s="47" t="s">
        <v>675</v>
      </c>
      <c r="C1157" s="47">
        <v>160</v>
      </c>
      <c r="D1157" s="47" t="s">
        <v>55</v>
      </c>
      <c r="E1157" s="12">
        <v>46123</v>
      </c>
      <c r="F1157" s="20">
        <f t="shared" si="18"/>
        <v>46113</v>
      </c>
    </row>
    <row r="1158" spans="1:6" ht="20.25">
      <c r="A1158" s="49"/>
      <c r="B1158" s="47" t="s">
        <v>675</v>
      </c>
      <c r="C1158" s="47">
        <v>65</v>
      </c>
      <c r="D1158" s="47" t="s">
        <v>55</v>
      </c>
      <c r="E1158" s="12">
        <v>46123</v>
      </c>
      <c r="F1158" s="20">
        <f t="shared" si="18"/>
        <v>46113</v>
      </c>
    </row>
    <row r="1159" spans="1:6" ht="20.25">
      <c r="A1159" s="49"/>
      <c r="B1159" s="47" t="s">
        <v>1361</v>
      </c>
      <c r="C1159" s="47">
        <v>117</v>
      </c>
      <c r="D1159" s="47" t="s">
        <v>114</v>
      </c>
      <c r="E1159" s="12">
        <v>46123</v>
      </c>
      <c r="F1159" s="20">
        <f t="shared" si="18"/>
        <v>46113</v>
      </c>
    </row>
    <row r="1160" spans="1:6" ht="20.25">
      <c r="A1160" s="49"/>
      <c r="B1160" s="47" t="s">
        <v>1519</v>
      </c>
      <c r="C1160" s="47">
        <v>212</v>
      </c>
      <c r="D1160" s="47" t="s">
        <v>82</v>
      </c>
      <c r="E1160" s="12">
        <v>46123</v>
      </c>
      <c r="F1160" s="20">
        <f t="shared" si="18"/>
        <v>46113</v>
      </c>
    </row>
    <row r="1161" spans="1:6" ht="20.25">
      <c r="A1161" s="49"/>
      <c r="B1161" s="47" t="s">
        <v>1100</v>
      </c>
      <c r="C1161" s="47">
        <v>104</v>
      </c>
      <c r="D1161" s="47" t="s">
        <v>82</v>
      </c>
      <c r="E1161" s="12">
        <v>46123</v>
      </c>
      <c r="F1161" s="20">
        <f t="shared" si="18"/>
        <v>46113</v>
      </c>
    </row>
    <row r="1162" spans="1:6" ht="20.25">
      <c r="A1162" s="49"/>
      <c r="B1162" s="47" t="s">
        <v>634</v>
      </c>
      <c r="C1162" s="47">
        <v>39</v>
      </c>
      <c r="D1162" s="47" t="s">
        <v>82</v>
      </c>
      <c r="E1162" s="12">
        <v>46123</v>
      </c>
      <c r="F1162" s="20">
        <f t="shared" si="18"/>
        <v>46113</v>
      </c>
    </row>
    <row r="1163" spans="1:6" ht="20.25">
      <c r="A1163" s="49"/>
      <c r="B1163" s="47" t="s">
        <v>1235</v>
      </c>
      <c r="C1163" s="47">
        <v>23</v>
      </c>
      <c r="D1163" s="47" t="s">
        <v>82</v>
      </c>
      <c r="E1163" s="12">
        <v>46123</v>
      </c>
      <c r="F1163" s="20">
        <f t="shared" si="18"/>
        <v>46113</v>
      </c>
    </row>
    <row r="1164" spans="1:6" ht="20.25">
      <c r="A1164" s="49"/>
      <c r="B1164" s="47" t="s">
        <v>695</v>
      </c>
      <c r="C1164" s="47">
        <v>19</v>
      </c>
      <c r="D1164" s="47" t="s">
        <v>82</v>
      </c>
      <c r="E1164" s="12">
        <v>46123</v>
      </c>
      <c r="F1164" s="20">
        <f t="shared" si="18"/>
        <v>46113</v>
      </c>
    </row>
    <row r="1165" spans="1:6" ht="20.25">
      <c r="A1165" s="49"/>
      <c r="B1165" s="47" t="s">
        <v>1438</v>
      </c>
      <c r="C1165" s="47">
        <v>160</v>
      </c>
      <c r="D1165" s="47" t="s">
        <v>82</v>
      </c>
      <c r="E1165" s="12">
        <v>46123</v>
      </c>
      <c r="F1165" s="20">
        <f t="shared" si="18"/>
        <v>46113</v>
      </c>
    </row>
    <row r="1166" spans="1:6" ht="20.25">
      <c r="A1166" s="49"/>
      <c r="B1166" s="47" t="s">
        <v>749</v>
      </c>
      <c r="C1166" s="47">
        <v>58</v>
      </c>
      <c r="D1166" s="47" t="s">
        <v>82</v>
      </c>
      <c r="E1166" s="12">
        <v>46123</v>
      </c>
      <c r="F1166" s="20">
        <f t="shared" si="18"/>
        <v>46113</v>
      </c>
    </row>
    <row r="1167" spans="1:6" ht="20.25">
      <c r="A1167" s="49"/>
      <c r="B1167" s="47" t="s">
        <v>956</v>
      </c>
      <c r="C1167" s="47">
        <v>47</v>
      </c>
      <c r="D1167" s="47" t="s">
        <v>82</v>
      </c>
      <c r="E1167" s="12">
        <v>46123</v>
      </c>
      <c r="F1167" s="20">
        <f t="shared" si="18"/>
        <v>46113</v>
      </c>
    </row>
    <row r="1168" spans="1:6" ht="20.25">
      <c r="A1168" s="49"/>
      <c r="B1168" s="47" t="s">
        <v>746</v>
      </c>
      <c r="C1168" s="47">
        <v>270</v>
      </c>
      <c r="D1168" s="47" t="s">
        <v>82</v>
      </c>
      <c r="E1168" s="12">
        <v>46123</v>
      </c>
      <c r="F1168" s="20">
        <f t="shared" si="18"/>
        <v>46113</v>
      </c>
    </row>
    <row r="1169" spans="1:6" ht="20.25">
      <c r="A1169" s="49"/>
      <c r="B1169" s="47" t="s">
        <v>1122</v>
      </c>
      <c r="C1169" s="47">
        <v>99</v>
      </c>
      <c r="D1169" s="47" t="s">
        <v>82</v>
      </c>
      <c r="E1169" s="12">
        <v>46123</v>
      </c>
      <c r="F1169" s="20">
        <f t="shared" si="18"/>
        <v>46113</v>
      </c>
    </row>
    <row r="1170" spans="1:6" ht="20.25">
      <c r="A1170" s="49"/>
      <c r="B1170" s="47" t="s">
        <v>773</v>
      </c>
      <c r="C1170" s="47">
        <v>80</v>
      </c>
      <c r="D1170" s="47" t="s">
        <v>82</v>
      </c>
      <c r="E1170" s="12">
        <v>46123</v>
      </c>
      <c r="F1170" s="20">
        <f t="shared" si="18"/>
        <v>46113</v>
      </c>
    </row>
    <row r="1171" spans="1:6" ht="20.25">
      <c r="A1171" s="49"/>
      <c r="B1171" s="47" t="s">
        <v>1069</v>
      </c>
      <c r="C1171" s="47">
        <v>102</v>
      </c>
      <c r="D1171" s="47" t="s">
        <v>82</v>
      </c>
      <c r="E1171" s="12">
        <v>46123</v>
      </c>
      <c r="F1171" s="20">
        <f t="shared" si="18"/>
        <v>46113</v>
      </c>
    </row>
    <row r="1172" spans="1:6" ht="20.25">
      <c r="A1172" s="49"/>
      <c r="B1172" s="47" t="s">
        <v>1069</v>
      </c>
      <c r="C1172" s="47">
        <v>363</v>
      </c>
      <c r="D1172" s="47" t="s">
        <v>82</v>
      </c>
      <c r="E1172" s="12">
        <v>46123</v>
      </c>
      <c r="F1172" s="20">
        <f t="shared" si="18"/>
        <v>46113</v>
      </c>
    </row>
    <row r="1173" spans="1:6" ht="20.25">
      <c r="A1173" s="49"/>
      <c r="B1173" s="47" t="s">
        <v>1530</v>
      </c>
      <c r="C1173" s="47">
        <v>62</v>
      </c>
      <c r="D1173" s="47" t="s">
        <v>114</v>
      </c>
      <c r="E1173" s="12">
        <v>46123</v>
      </c>
      <c r="F1173" s="20">
        <f t="shared" si="18"/>
        <v>46113</v>
      </c>
    </row>
    <row r="1174" spans="1:6" ht="20.25">
      <c r="A1174" s="49"/>
      <c r="B1174" s="47" t="s">
        <v>718</v>
      </c>
      <c r="C1174" s="47">
        <v>830</v>
      </c>
      <c r="D1174" s="47" t="s">
        <v>63</v>
      </c>
      <c r="E1174" s="12">
        <v>46123</v>
      </c>
      <c r="F1174" s="20">
        <f t="shared" si="18"/>
        <v>46113</v>
      </c>
    </row>
    <row r="1175" spans="1:6" ht="20.25">
      <c r="A1175" s="49"/>
      <c r="B1175" s="47" t="s">
        <v>845</v>
      </c>
      <c r="C1175" s="47">
        <v>313</v>
      </c>
      <c r="D1175" s="47" t="s">
        <v>63</v>
      </c>
      <c r="E1175" s="12">
        <v>46123</v>
      </c>
      <c r="F1175" s="20">
        <f t="shared" si="18"/>
        <v>46113</v>
      </c>
    </row>
    <row r="1176" spans="1:6" ht="20.25">
      <c r="A1176" s="49"/>
      <c r="B1176" s="47" t="s">
        <v>604</v>
      </c>
      <c r="C1176" s="47">
        <v>339</v>
      </c>
      <c r="D1176" s="47" t="s">
        <v>160</v>
      </c>
      <c r="E1176" s="12">
        <v>46123</v>
      </c>
      <c r="F1176" s="20">
        <f t="shared" si="18"/>
        <v>46113</v>
      </c>
    </row>
    <row r="1177" spans="1:6" ht="20.25">
      <c r="A1177" s="49"/>
      <c r="B1177" s="47" t="s">
        <v>1099</v>
      </c>
      <c r="C1177" s="47">
        <v>45</v>
      </c>
      <c r="D1177" s="47" t="s">
        <v>66</v>
      </c>
      <c r="E1177" s="12">
        <v>46123</v>
      </c>
      <c r="F1177" s="20">
        <f t="shared" si="18"/>
        <v>46113</v>
      </c>
    </row>
    <row r="1178" spans="1:6" ht="20.25">
      <c r="A1178" s="49"/>
      <c r="B1178" s="47" t="s">
        <v>664</v>
      </c>
      <c r="C1178" s="47">
        <v>129</v>
      </c>
      <c r="D1178" s="47" t="s">
        <v>97</v>
      </c>
      <c r="E1178" s="12">
        <v>46123</v>
      </c>
      <c r="F1178" s="20">
        <f t="shared" si="18"/>
        <v>46113</v>
      </c>
    </row>
    <row r="1179" spans="1:6" ht="20.25">
      <c r="A1179" s="49"/>
      <c r="B1179" s="47" t="s">
        <v>664</v>
      </c>
      <c r="C1179" s="47">
        <v>46</v>
      </c>
      <c r="D1179" s="47" t="s">
        <v>97</v>
      </c>
      <c r="E1179" s="12">
        <v>46123</v>
      </c>
      <c r="F1179" s="20">
        <f t="shared" si="18"/>
        <v>46113</v>
      </c>
    </row>
    <row r="1180" spans="1:6" ht="20.25">
      <c r="A1180" s="49"/>
      <c r="B1180" s="47" t="s">
        <v>1347</v>
      </c>
      <c r="C1180" s="47">
        <v>130</v>
      </c>
      <c r="D1180" s="47" t="s">
        <v>97</v>
      </c>
      <c r="E1180" s="12">
        <v>46123</v>
      </c>
      <c r="F1180" s="20">
        <f t="shared" si="18"/>
        <v>46113</v>
      </c>
    </row>
    <row r="1181" spans="1:6" ht="20.25">
      <c r="A1181" s="49"/>
      <c r="B1181" s="47" t="s">
        <v>1347</v>
      </c>
      <c r="C1181" s="47">
        <v>13</v>
      </c>
      <c r="D1181" s="47" t="s">
        <v>97</v>
      </c>
      <c r="E1181" s="12">
        <v>46123</v>
      </c>
      <c r="F1181" s="20">
        <f t="shared" si="18"/>
        <v>46113</v>
      </c>
    </row>
    <row r="1182" spans="1:6" ht="20.25">
      <c r="A1182" s="49"/>
      <c r="B1182" s="47" t="s">
        <v>1359</v>
      </c>
      <c r="C1182" s="47">
        <v>87</v>
      </c>
      <c r="D1182" s="47" t="s">
        <v>97</v>
      </c>
      <c r="E1182" s="12">
        <v>46123</v>
      </c>
      <c r="F1182" s="20">
        <f t="shared" si="18"/>
        <v>46113</v>
      </c>
    </row>
    <row r="1183" spans="1:6" ht="20.25">
      <c r="A1183" s="49"/>
      <c r="B1183" s="47" t="s">
        <v>1347</v>
      </c>
      <c r="C1183" s="47">
        <v>122</v>
      </c>
      <c r="D1183" s="47" t="s">
        <v>97</v>
      </c>
      <c r="E1183" s="12">
        <v>46123</v>
      </c>
      <c r="F1183" s="20">
        <f t="shared" si="18"/>
        <v>46113</v>
      </c>
    </row>
    <row r="1184" spans="1:6" ht="20.25">
      <c r="A1184" s="49"/>
      <c r="B1184" s="47" t="s">
        <v>620</v>
      </c>
      <c r="C1184" s="47">
        <v>320</v>
      </c>
      <c r="D1184" s="47" t="s">
        <v>72</v>
      </c>
      <c r="E1184" s="12">
        <v>46123</v>
      </c>
      <c r="F1184" s="20">
        <f t="shared" si="18"/>
        <v>46113</v>
      </c>
    </row>
    <row r="1185" spans="1:6" ht="20.25">
      <c r="A1185" s="49"/>
      <c r="B1185" s="47" t="s">
        <v>717</v>
      </c>
      <c r="C1185" s="47">
        <v>299</v>
      </c>
      <c r="D1185" s="47" t="s">
        <v>72</v>
      </c>
      <c r="E1185" s="12">
        <v>46123</v>
      </c>
      <c r="F1185" s="20">
        <f t="shared" si="18"/>
        <v>46113</v>
      </c>
    </row>
    <row r="1186" spans="1:6" ht="20.25">
      <c r="A1186" s="49"/>
      <c r="B1186" s="47" t="s">
        <v>717</v>
      </c>
      <c r="C1186" s="47">
        <v>713</v>
      </c>
      <c r="D1186" s="47" t="s">
        <v>72</v>
      </c>
      <c r="E1186" s="12">
        <v>46123</v>
      </c>
      <c r="F1186" s="20">
        <f t="shared" si="18"/>
        <v>46113</v>
      </c>
    </row>
    <row r="1187" spans="1:6" ht="20.25">
      <c r="A1187" s="49"/>
      <c r="B1187" s="47" t="s">
        <v>868</v>
      </c>
      <c r="C1187" s="47">
        <v>200</v>
      </c>
      <c r="D1187" s="47" t="s">
        <v>72</v>
      </c>
      <c r="E1187" s="12">
        <v>46123</v>
      </c>
      <c r="F1187" s="20">
        <f t="shared" si="18"/>
        <v>46113</v>
      </c>
    </row>
    <row r="1188" spans="1:6" ht="20.25">
      <c r="A1188" s="49"/>
      <c r="B1188" s="47" t="s">
        <v>917</v>
      </c>
      <c r="C1188" s="47">
        <v>219</v>
      </c>
      <c r="D1188" s="47" t="s">
        <v>72</v>
      </c>
      <c r="E1188" s="12">
        <v>46123</v>
      </c>
      <c r="F1188" s="20">
        <f t="shared" si="18"/>
        <v>46113</v>
      </c>
    </row>
    <row r="1189" spans="1:6" ht="20.25">
      <c r="A1189" s="49"/>
      <c r="B1189" s="47" t="s">
        <v>1232</v>
      </c>
      <c r="C1189" s="47">
        <v>80</v>
      </c>
      <c r="D1189" s="47" t="s">
        <v>82</v>
      </c>
      <c r="E1189" s="12">
        <v>46123</v>
      </c>
      <c r="F1189" s="20">
        <f t="shared" si="18"/>
        <v>46113</v>
      </c>
    </row>
    <row r="1190" spans="1:6" ht="20.25">
      <c r="A1190" s="49"/>
      <c r="B1190" s="47" t="s">
        <v>815</v>
      </c>
      <c r="C1190" s="47">
        <v>141</v>
      </c>
      <c r="D1190" s="47" t="s">
        <v>55</v>
      </c>
      <c r="E1190" s="12">
        <v>46123</v>
      </c>
      <c r="F1190" s="20">
        <f t="shared" si="18"/>
        <v>46113</v>
      </c>
    </row>
    <row r="1191" spans="1:6" ht="20.25">
      <c r="A1191" s="49"/>
      <c r="B1191" s="47" t="s">
        <v>815</v>
      </c>
      <c r="C1191" s="47">
        <v>26</v>
      </c>
      <c r="D1191" s="47" t="s">
        <v>55</v>
      </c>
      <c r="E1191" s="12">
        <v>46123</v>
      </c>
      <c r="F1191" s="20">
        <f t="shared" si="18"/>
        <v>46113</v>
      </c>
    </row>
    <row r="1192" spans="1:6" ht="20.25">
      <c r="A1192" s="49"/>
      <c r="B1192" s="47" t="s">
        <v>791</v>
      </c>
      <c r="C1192" s="47">
        <v>21</v>
      </c>
      <c r="D1192" s="47" t="s">
        <v>97</v>
      </c>
      <c r="E1192" s="12">
        <v>46123</v>
      </c>
      <c r="F1192" s="20">
        <f t="shared" si="18"/>
        <v>46113</v>
      </c>
    </row>
    <row r="1193" spans="1:6" ht="20.25">
      <c r="A1193" s="49"/>
      <c r="B1193" s="47" t="s">
        <v>1050</v>
      </c>
      <c r="C1193" s="47">
        <v>2</v>
      </c>
      <c r="D1193" s="47" t="s">
        <v>97</v>
      </c>
      <c r="E1193" s="12">
        <v>46123</v>
      </c>
      <c r="F1193" s="20">
        <f t="shared" si="18"/>
        <v>46113</v>
      </c>
    </row>
    <row r="1194" spans="1:6" ht="20.25">
      <c r="A1194" s="49"/>
      <c r="B1194" s="47" t="s">
        <v>1549</v>
      </c>
      <c r="C1194" s="47">
        <v>1</v>
      </c>
      <c r="D1194" s="47" t="s">
        <v>97</v>
      </c>
      <c r="E1194" s="12">
        <v>46123</v>
      </c>
      <c r="F1194" s="20">
        <f t="shared" si="18"/>
        <v>46113</v>
      </c>
    </row>
    <row r="1195" spans="1:6" ht="20.25">
      <c r="A1195" s="49"/>
      <c r="B1195" s="47" t="s">
        <v>744</v>
      </c>
      <c r="C1195" s="47">
        <v>109</v>
      </c>
      <c r="D1195" s="47" t="s">
        <v>66</v>
      </c>
      <c r="E1195" s="12">
        <v>46123</v>
      </c>
      <c r="F1195" s="20">
        <f t="shared" si="18"/>
        <v>46113</v>
      </c>
    </row>
    <row r="1196" spans="1:6" ht="20.25">
      <c r="A1196" s="49"/>
      <c r="B1196" s="47" t="s">
        <v>650</v>
      </c>
      <c r="C1196" s="47">
        <v>78</v>
      </c>
      <c r="D1196" s="47" t="s">
        <v>66</v>
      </c>
      <c r="E1196" s="12">
        <v>46123</v>
      </c>
      <c r="F1196" s="20">
        <f t="shared" si="18"/>
        <v>46113</v>
      </c>
    </row>
    <row r="1197" spans="1:6" ht="20.25">
      <c r="A1197" s="49"/>
      <c r="B1197" s="47" t="s">
        <v>1520</v>
      </c>
      <c r="C1197" s="47">
        <v>81</v>
      </c>
      <c r="D1197" s="47" t="s">
        <v>97</v>
      </c>
      <c r="E1197" s="12">
        <v>46123</v>
      </c>
      <c r="F1197" s="20">
        <f t="shared" si="18"/>
        <v>46113</v>
      </c>
    </row>
    <row r="1198" spans="1:6" ht="20.25">
      <c r="A1198" s="49"/>
      <c r="B1198" s="47" t="s">
        <v>725</v>
      </c>
      <c r="C1198" s="47">
        <v>52</v>
      </c>
      <c r="D1198" s="47" t="s">
        <v>97</v>
      </c>
      <c r="E1198" s="12">
        <v>46123</v>
      </c>
      <c r="F1198" s="20">
        <f t="shared" si="18"/>
        <v>46113</v>
      </c>
    </row>
    <row r="1199" spans="1:6" ht="20.25">
      <c r="A1199" s="49"/>
      <c r="B1199" s="47" t="s">
        <v>1079</v>
      </c>
      <c r="C1199" s="47">
        <v>109</v>
      </c>
      <c r="D1199" s="47" t="s">
        <v>97</v>
      </c>
      <c r="E1199" s="12">
        <v>46123</v>
      </c>
      <c r="F1199" s="20">
        <f t="shared" si="18"/>
        <v>46113</v>
      </c>
    </row>
    <row r="1200" spans="1:6" ht="20.25">
      <c r="A1200" s="49"/>
      <c r="B1200" s="47" t="s">
        <v>731</v>
      </c>
      <c r="C1200" s="47">
        <v>94</v>
      </c>
      <c r="D1200" s="47" t="s">
        <v>97</v>
      </c>
      <c r="E1200" s="12">
        <v>46123</v>
      </c>
      <c r="F1200" s="20">
        <f t="shared" si="18"/>
        <v>46113</v>
      </c>
    </row>
    <row r="1201" spans="1:6" ht="20.25">
      <c r="A1201" s="49"/>
      <c r="B1201" s="47" t="s">
        <v>791</v>
      </c>
      <c r="C1201" s="47">
        <v>74</v>
      </c>
      <c r="D1201" s="47" t="s">
        <v>97</v>
      </c>
      <c r="E1201" s="12">
        <v>46123</v>
      </c>
      <c r="F1201" s="20">
        <f t="shared" si="18"/>
        <v>46113</v>
      </c>
    </row>
    <row r="1202" spans="1:6" ht="20.25">
      <c r="A1202" s="49"/>
      <c r="B1202" s="47" t="s">
        <v>630</v>
      </c>
      <c r="C1202" s="47">
        <v>386</v>
      </c>
      <c r="D1202" s="47" t="s">
        <v>55</v>
      </c>
      <c r="E1202" s="12">
        <v>46123</v>
      </c>
      <c r="F1202" s="20">
        <f t="shared" si="18"/>
        <v>46113</v>
      </c>
    </row>
    <row r="1203" spans="1:6" ht="20.25">
      <c r="A1203" s="49"/>
      <c r="B1203" s="47" t="s">
        <v>1523</v>
      </c>
      <c r="C1203" s="47">
        <v>104</v>
      </c>
      <c r="D1203" s="47" t="s">
        <v>133</v>
      </c>
      <c r="E1203" s="12">
        <v>46123</v>
      </c>
      <c r="F1203" s="20">
        <f t="shared" si="18"/>
        <v>46113</v>
      </c>
    </row>
    <row r="1204" spans="1:6" ht="20.25">
      <c r="A1204" s="49"/>
      <c r="B1204" s="47" t="s">
        <v>609</v>
      </c>
      <c r="C1204" s="47">
        <v>1</v>
      </c>
      <c r="D1204" s="47" t="s">
        <v>1484</v>
      </c>
      <c r="E1204" s="12">
        <v>46123</v>
      </c>
      <c r="F1204" s="20">
        <f t="shared" si="18"/>
        <v>46113</v>
      </c>
    </row>
    <row r="1205" spans="1:6" ht="20.25">
      <c r="A1205" s="49"/>
      <c r="B1205" s="47" t="s">
        <v>1549</v>
      </c>
      <c r="C1205" s="47">
        <v>1</v>
      </c>
      <c r="D1205" s="47" t="s">
        <v>1484</v>
      </c>
      <c r="E1205" s="12">
        <v>46123</v>
      </c>
      <c r="F1205" s="20">
        <f t="shared" si="18"/>
        <v>46113</v>
      </c>
    </row>
    <row r="1206" spans="1:6" ht="20.25">
      <c r="A1206" s="49"/>
      <c r="B1206" s="47" t="s">
        <v>1592</v>
      </c>
      <c r="C1206" s="47">
        <v>29</v>
      </c>
      <c r="D1206" s="47" t="s">
        <v>133</v>
      </c>
      <c r="E1206" s="12">
        <v>46123</v>
      </c>
      <c r="F1206" s="20">
        <f t="shared" si="18"/>
        <v>46113</v>
      </c>
    </row>
    <row r="1207" spans="1:6" ht="20.25">
      <c r="A1207" s="49"/>
      <c r="B1207" s="47" t="s">
        <v>680</v>
      </c>
      <c r="C1207" s="47">
        <v>17</v>
      </c>
      <c r="D1207" s="47" t="s">
        <v>133</v>
      </c>
      <c r="E1207" s="12">
        <v>46123</v>
      </c>
      <c r="F1207" s="20">
        <f t="shared" si="18"/>
        <v>46113</v>
      </c>
    </row>
    <row r="1208" spans="1:6" ht="20.25">
      <c r="A1208" s="49"/>
      <c r="B1208" s="47" t="s">
        <v>680</v>
      </c>
      <c r="C1208" s="47">
        <v>48</v>
      </c>
      <c r="D1208" s="47" t="s">
        <v>133</v>
      </c>
      <c r="E1208" s="12">
        <v>46123</v>
      </c>
      <c r="F1208" s="20">
        <f t="shared" si="18"/>
        <v>46113</v>
      </c>
    </row>
    <row r="1209" spans="1:6" ht="20.25">
      <c r="A1209" s="49"/>
      <c r="B1209" s="47" t="s">
        <v>913</v>
      </c>
      <c r="C1209" s="47">
        <v>152</v>
      </c>
      <c r="D1209" s="47" t="s">
        <v>1484</v>
      </c>
      <c r="E1209" s="12">
        <v>46123</v>
      </c>
      <c r="F1209" s="20">
        <f t="shared" si="18"/>
        <v>46113</v>
      </c>
    </row>
    <row r="1210" spans="1:6" ht="20.25">
      <c r="A1210" s="49"/>
      <c r="B1210" s="47" t="s">
        <v>905</v>
      </c>
      <c r="C1210" s="47">
        <v>41</v>
      </c>
      <c r="D1210" s="47" t="s">
        <v>133</v>
      </c>
      <c r="E1210" s="12">
        <v>46123</v>
      </c>
      <c r="F1210" s="20">
        <f t="shared" si="18"/>
        <v>46113</v>
      </c>
    </row>
    <row r="1211" spans="1:6" ht="20.25">
      <c r="A1211" s="49"/>
      <c r="B1211" s="47" t="s">
        <v>1603</v>
      </c>
      <c r="C1211" s="47">
        <v>96</v>
      </c>
      <c r="D1211" s="47" t="s">
        <v>133</v>
      </c>
      <c r="E1211" s="12">
        <v>46123</v>
      </c>
      <c r="F1211" s="20">
        <f t="shared" si="18"/>
        <v>46113</v>
      </c>
    </row>
    <row r="1212" spans="1:6" ht="20.25">
      <c r="A1212" s="49"/>
      <c r="B1212" s="47" t="s">
        <v>1603</v>
      </c>
      <c r="C1212" s="47">
        <v>53</v>
      </c>
      <c r="D1212" s="47" t="s">
        <v>133</v>
      </c>
      <c r="E1212" s="12">
        <v>46123</v>
      </c>
      <c r="F1212" s="20">
        <f t="shared" si="18"/>
        <v>46113</v>
      </c>
    </row>
    <row r="1213" spans="1:6" ht="20.25">
      <c r="A1213" s="49"/>
      <c r="B1213" s="47" t="s">
        <v>1434</v>
      </c>
      <c r="C1213" s="47">
        <v>102</v>
      </c>
      <c r="D1213" s="47" t="s">
        <v>62</v>
      </c>
      <c r="E1213" s="12">
        <v>46123</v>
      </c>
      <c r="F1213" s="20">
        <f t="shared" si="18"/>
        <v>46113</v>
      </c>
    </row>
    <row r="1214" spans="1:6" ht="20.25">
      <c r="A1214" s="49"/>
      <c r="B1214" s="47" t="s">
        <v>637</v>
      </c>
      <c r="C1214" s="47">
        <v>96</v>
      </c>
      <c r="D1214" s="47" t="s">
        <v>62</v>
      </c>
      <c r="E1214" s="12">
        <v>46123</v>
      </c>
      <c r="F1214" s="20">
        <f t="shared" si="18"/>
        <v>46113</v>
      </c>
    </row>
    <row r="1215" spans="1:6" ht="20.25">
      <c r="A1215" s="49"/>
      <c r="B1215" s="47" t="s">
        <v>1594</v>
      </c>
      <c r="C1215" s="47">
        <v>375</v>
      </c>
      <c r="D1215" s="47" t="s">
        <v>62</v>
      </c>
      <c r="E1215" s="12">
        <v>46123</v>
      </c>
      <c r="F1215" s="20">
        <f t="shared" si="18"/>
        <v>46113</v>
      </c>
    </row>
    <row r="1216" spans="1:6" ht="20.25">
      <c r="A1216" s="49"/>
      <c r="B1216" s="47" t="s">
        <v>1284</v>
      </c>
      <c r="C1216" s="47">
        <v>156</v>
      </c>
      <c r="D1216" s="47" t="s">
        <v>66</v>
      </c>
      <c r="E1216" s="12">
        <v>46123</v>
      </c>
      <c r="F1216" s="20">
        <f t="shared" si="18"/>
        <v>46113</v>
      </c>
    </row>
    <row r="1217" spans="1:6" ht="20.25">
      <c r="A1217" s="49"/>
      <c r="B1217" s="47" t="s">
        <v>1065</v>
      </c>
      <c r="C1217" s="47">
        <v>42</v>
      </c>
      <c r="D1217" s="47" t="s">
        <v>97</v>
      </c>
      <c r="E1217" s="12">
        <v>46123</v>
      </c>
      <c r="F1217" s="20">
        <f t="shared" si="18"/>
        <v>46113</v>
      </c>
    </row>
    <row r="1218" spans="1:6" ht="20.25">
      <c r="A1218" s="49"/>
      <c r="B1218" s="47" t="s">
        <v>720</v>
      </c>
      <c r="C1218" s="47">
        <v>140</v>
      </c>
      <c r="D1218" s="47" t="s">
        <v>97</v>
      </c>
      <c r="E1218" s="12">
        <v>46123</v>
      </c>
      <c r="F1218" s="20">
        <f t="shared" ref="F1218:F1281" si="19">EOMONTH(E1218,-1)+1</f>
        <v>46113</v>
      </c>
    </row>
    <row r="1219" spans="1:6" ht="20.25">
      <c r="A1219" s="49"/>
      <c r="B1219" s="47" t="s">
        <v>1102</v>
      </c>
      <c r="C1219" s="47">
        <v>291</v>
      </c>
      <c r="D1219" s="47" t="s">
        <v>97</v>
      </c>
      <c r="E1219" s="12">
        <v>46123</v>
      </c>
      <c r="F1219" s="20">
        <f t="shared" si="19"/>
        <v>46113</v>
      </c>
    </row>
    <row r="1220" spans="1:6" ht="20.25">
      <c r="A1220" s="49"/>
      <c r="B1220" s="47" t="s">
        <v>827</v>
      </c>
      <c r="C1220" s="47">
        <v>127</v>
      </c>
      <c r="D1220" s="47" t="s">
        <v>97</v>
      </c>
      <c r="E1220" s="12">
        <v>46123</v>
      </c>
      <c r="F1220" s="20">
        <f t="shared" si="19"/>
        <v>46113</v>
      </c>
    </row>
    <row r="1221" spans="1:6" ht="20.25">
      <c r="A1221" s="49"/>
      <c r="B1221" s="47" t="s">
        <v>742</v>
      </c>
      <c r="C1221" s="47">
        <v>204</v>
      </c>
      <c r="D1221" s="47" t="s">
        <v>62</v>
      </c>
      <c r="E1221" s="12">
        <v>46123</v>
      </c>
      <c r="F1221" s="20">
        <f t="shared" si="19"/>
        <v>46113</v>
      </c>
    </row>
    <row r="1222" spans="1:6" ht="20.25">
      <c r="A1222" s="49"/>
      <c r="B1222" s="47" t="s">
        <v>742</v>
      </c>
      <c r="C1222" s="47">
        <v>310</v>
      </c>
      <c r="D1222" s="47" t="s">
        <v>62</v>
      </c>
      <c r="E1222" s="12">
        <v>46123</v>
      </c>
      <c r="F1222" s="20">
        <f t="shared" si="19"/>
        <v>46113</v>
      </c>
    </row>
    <row r="1223" spans="1:6" ht="20.25">
      <c r="A1223" s="49"/>
      <c r="B1223" s="47" t="s">
        <v>742</v>
      </c>
      <c r="C1223" s="47">
        <v>78</v>
      </c>
      <c r="D1223" s="47" t="s">
        <v>62</v>
      </c>
      <c r="E1223" s="12">
        <v>46123</v>
      </c>
      <c r="F1223" s="20">
        <f t="shared" si="19"/>
        <v>46113</v>
      </c>
    </row>
    <row r="1224" spans="1:6" ht="20.25">
      <c r="A1224" s="49"/>
      <c r="B1224" s="47" t="s">
        <v>1167</v>
      </c>
      <c r="C1224" s="47">
        <v>131</v>
      </c>
      <c r="D1224" s="47" t="s">
        <v>55</v>
      </c>
      <c r="E1224" s="12">
        <v>46123</v>
      </c>
      <c r="F1224" s="20">
        <f t="shared" si="19"/>
        <v>46113</v>
      </c>
    </row>
    <row r="1225" spans="1:6" ht="20.25">
      <c r="A1225" s="49"/>
      <c r="B1225" s="47" t="s">
        <v>1267</v>
      </c>
      <c r="C1225" s="47">
        <v>60</v>
      </c>
      <c r="D1225" s="47" t="s">
        <v>55</v>
      </c>
      <c r="E1225" s="12">
        <v>46123</v>
      </c>
      <c r="F1225" s="20">
        <f t="shared" si="19"/>
        <v>46113</v>
      </c>
    </row>
    <row r="1226" spans="1:6" ht="20.25">
      <c r="A1226" s="49"/>
      <c r="B1226" s="47" t="s">
        <v>777</v>
      </c>
      <c r="C1226" s="47">
        <v>59</v>
      </c>
      <c r="D1226" s="47" t="s">
        <v>160</v>
      </c>
      <c r="E1226" s="12">
        <v>46123</v>
      </c>
      <c r="F1226" s="20">
        <f t="shared" si="19"/>
        <v>46113</v>
      </c>
    </row>
    <row r="1227" spans="1:6" ht="20.25">
      <c r="A1227" s="49"/>
      <c r="B1227" s="47" t="s">
        <v>1501</v>
      </c>
      <c r="C1227" s="47">
        <v>276</v>
      </c>
      <c r="D1227" s="47" t="s">
        <v>133</v>
      </c>
      <c r="E1227" s="12">
        <v>46123</v>
      </c>
      <c r="F1227" s="20">
        <f t="shared" si="19"/>
        <v>46113</v>
      </c>
    </row>
    <row r="1228" spans="1:6" ht="20.25">
      <c r="A1228" s="49"/>
      <c r="B1228" s="47" t="s">
        <v>1499</v>
      </c>
      <c r="C1228" s="47">
        <v>73</v>
      </c>
      <c r="D1228" s="47" t="s">
        <v>133</v>
      </c>
      <c r="E1228" s="12">
        <v>46123</v>
      </c>
      <c r="F1228" s="20">
        <f t="shared" si="19"/>
        <v>46113</v>
      </c>
    </row>
    <row r="1229" spans="1:6" ht="20.25">
      <c r="A1229" s="49"/>
      <c r="B1229" s="47" t="s">
        <v>1454</v>
      </c>
      <c r="C1229" s="47">
        <v>77</v>
      </c>
      <c r="D1229" s="47" t="s">
        <v>114</v>
      </c>
      <c r="E1229" s="12">
        <v>46123</v>
      </c>
      <c r="F1229" s="20">
        <f t="shared" si="19"/>
        <v>46113</v>
      </c>
    </row>
    <row r="1230" spans="1:6" ht="20.25">
      <c r="A1230" s="49"/>
      <c r="B1230" s="47" t="s">
        <v>1454</v>
      </c>
      <c r="C1230" s="47">
        <v>153</v>
      </c>
      <c r="D1230" s="47" t="s">
        <v>114</v>
      </c>
      <c r="E1230" s="12">
        <v>46123</v>
      </c>
      <c r="F1230" s="20">
        <f t="shared" si="19"/>
        <v>46113</v>
      </c>
    </row>
    <row r="1231" spans="1:6" ht="20.25">
      <c r="A1231" s="49"/>
      <c r="B1231" s="47" t="s">
        <v>1105</v>
      </c>
      <c r="C1231" s="47">
        <v>44</v>
      </c>
      <c r="D1231" s="47" t="s">
        <v>97</v>
      </c>
      <c r="E1231" s="12">
        <v>46123</v>
      </c>
      <c r="F1231" s="20">
        <f t="shared" si="19"/>
        <v>46113</v>
      </c>
    </row>
    <row r="1232" spans="1:6" ht="20.25">
      <c r="A1232" s="49"/>
      <c r="B1232" s="47" t="s">
        <v>1348</v>
      </c>
      <c r="C1232" s="47">
        <v>460</v>
      </c>
      <c r="D1232" s="47" t="s">
        <v>97</v>
      </c>
      <c r="E1232" s="12">
        <v>46123</v>
      </c>
      <c r="F1232" s="20">
        <f t="shared" si="19"/>
        <v>46113</v>
      </c>
    </row>
    <row r="1233" spans="1:6" ht="20.25">
      <c r="A1233" s="49"/>
      <c r="B1233" s="47" t="s">
        <v>953</v>
      </c>
      <c r="C1233" s="47">
        <v>130</v>
      </c>
      <c r="D1233" s="47" t="s">
        <v>55</v>
      </c>
      <c r="E1233" s="12">
        <v>46123</v>
      </c>
      <c r="F1233" s="20">
        <f t="shared" si="19"/>
        <v>46113</v>
      </c>
    </row>
    <row r="1234" spans="1:6" ht="20.25">
      <c r="A1234" s="49"/>
      <c r="B1234" s="47" t="s">
        <v>706</v>
      </c>
      <c r="C1234" s="47">
        <v>96</v>
      </c>
      <c r="D1234" s="47" t="s">
        <v>82</v>
      </c>
      <c r="E1234" s="12">
        <v>46123</v>
      </c>
      <c r="F1234" s="20">
        <f t="shared" si="19"/>
        <v>46113</v>
      </c>
    </row>
    <row r="1235" spans="1:6" ht="20.25">
      <c r="A1235" s="49"/>
      <c r="B1235" s="47" t="s">
        <v>1330</v>
      </c>
      <c r="C1235" s="47">
        <v>31</v>
      </c>
      <c r="D1235" s="47" t="s">
        <v>114</v>
      </c>
      <c r="E1235" s="12">
        <v>46123</v>
      </c>
      <c r="F1235" s="20">
        <f t="shared" si="19"/>
        <v>46113</v>
      </c>
    </row>
    <row r="1236" spans="1:6" ht="20.25">
      <c r="A1236" s="49"/>
      <c r="B1236" s="47" t="s">
        <v>1348</v>
      </c>
      <c r="C1236" s="47">
        <v>8</v>
      </c>
      <c r="D1236" s="47" t="s">
        <v>97</v>
      </c>
      <c r="E1236" s="12">
        <v>46123</v>
      </c>
      <c r="F1236" s="20">
        <f t="shared" si="19"/>
        <v>46113</v>
      </c>
    </row>
    <row r="1237" spans="1:6" ht="20.25">
      <c r="A1237" s="49"/>
      <c r="B1237" s="47" t="s">
        <v>889</v>
      </c>
      <c r="C1237" s="47">
        <v>1</v>
      </c>
      <c r="D1237" s="47" t="s">
        <v>46</v>
      </c>
      <c r="E1237" s="12">
        <v>46123</v>
      </c>
      <c r="F1237" s="20">
        <f t="shared" si="19"/>
        <v>46113</v>
      </c>
    </row>
    <row r="1238" spans="1:6" ht="20.25">
      <c r="A1238" s="49"/>
      <c r="B1238" s="47" t="s">
        <v>1373</v>
      </c>
      <c r="C1238" s="47">
        <v>119</v>
      </c>
      <c r="D1238" s="47" t="s">
        <v>55</v>
      </c>
      <c r="E1238" s="12">
        <v>46123</v>
      </c>
      <c r="F1238" s="20">
        <f t="shared" si="19"/>
        <v>46113</v>
      </c>
    </row>
    <row r="1239" spans="1:6" ht="20.25">
      <c r="A1239" s="49"/>
      <c r="B1239" s="47" t="s">
        <v>718</v>
      </c>
      <c r="C1239" s="47">
        <v>80</v>
      </c>
      <c r="D1239" s="47" t="s">
        <v>63</v>
      </c>
      <c r="E1239" s="12">
        <v>46124</v>
      </c>
      <c r="F1239" s="20">
        <f t="shared" si="19"/>
        <v>46113</v>
      </c>
    </row>
    <row r="1240" spans="1:6" ht="20.25">
      <c r="A1240" s="49"/>
      <c r="B1240" s="47" t="s">
        <v>910</v>
      </c>
      <c r="C1240" s="47">
        <v>517</v>
      </c>
      <c r="D1240" s="47" t="s">
        <v>63</v>
      </c>
      <c r="E1240" s="12">
        <v>46124</v>
      </c>
      <c r="F1240" s="20">
        <f t="shared" si="19"/>
        <v>46113</v>
      </c>
    </row>
    <row r="1241" spans="1:6" ht="20.25">
      <c r="A1241" s="49"/>
      <c r="B1241" s="47" t="s">
        <v>718</v>
      </c>
      <c r="C1241" s="47">
        <v>990</v>
      </c>
      <c r="D1241" s="47" t="s">
        <v>63</v>
      </c>
      <c r="E1241" s="12">
        <v>46124</v>
      </c>
      <c r="F1241" s="20">
        <f t="shared" si="19"/>
        <v>46113</v>
      </c>
    </row>
    <row r="1242" spans="1:6" ht="20.25">
      <c r="A1242" s="49"/>
      <c r="B1242" s="47" t="s">
        <v>1057</v>
      </c>
      <c r="C1242" s="47">
        <v>5</v>
      </c>
      <c r="D1242" s="47" t="s">
        <v>66</v>
      </c>
      <c r="E1242" s="12">
        <v>46124</v>
      </c>
      <c r="F1242" s="20">
        <f t="shared" si="19"/>
        <v>46113</v>
      </c>
    </row>
    <row r="1243" spans="1:6" ht="20.25">
      <c r="A1243" s="49"/>
      <c r="B1243" s="47" t="s">
        <v>1284</v>
      </c>
      <c r="C1243" s="47">
        <v>32</v>
      </c>
      <c r="D1243" s="47" t="s">
        <v>66</v>
      </c>
      <c r="E1243" s="12">
        <v>46124</v>
      </c>
      <c r="F1243" s="20">
        <f t="shared" si="19"/>
        <v>46113</v>
      </c>
    </row>
    <row r="1244" spans="1:6" ht="20.25">
      <c r="A1244" s="49"/>
      <c r="B1244" s="47" t="s">
        <v>1072</v>
      </c>
      <c r="C1244" s="47">
        <v>35</v>
      </c>
      <c r="D1244" s="47" t="s">
        <v>66</v>
      </c>
      <c r="E1244" s="12">
        <v>46124</v>
      </c>
      <c r="F1244" s="20">
        <f t="shared" si="19"/>
        <v>46113</v>
      </c>
    </row>
    <row r="1245" spans="1:6" ht="20.25">
      <c r="A1245" s="49"/>
      <c r="B1245" s="47" t="s">
        <v>694</v>
      </c>
      <c r="C1245" s="47">
        <v>87</v>
      </c>
      <c r="D1245" s="47" t="s">
        <v>66</v>
      </c>
      <c r="E1245" s="12">
        <v>46124</v>
      </c>
      <c r="F1245" s="20">
        <f t="shared" si="19"/>
        <v>46113</v>
      </c>
    </row>
    <row r="1246" spans="1:6" ht="20.25">
      <c r="A1246" s="49"/>
      <c r="B1246" s="47" t="s">
        <v>1328</v>
      </c>
      <c r="C1246" s="47">
        <v>70</v>
      </c>
      <c r="D1246" s="47" t="s">
        <v>66</v>
      </c>
      <c r="E1246" s="12">
        <v>46124</v>
      </c>
      <c r="F1246" s="20">
        <f t="shared" si="19"/>
        <v>46113</v>
      </c>
    </row>
    <row r="1247" spans="1:6" ht="20.25">
      <c r="A1247" s="49"/>
      <c r="B1247" s="47" t="s">
        <v>955</v>
      </c>
      <c r="C1247" s="47">
        <v>31</v>
      </c>
      <c r="D1247" s="47" t="s">
        <v>66</v>
      </c>
      <c r="E1247" s="12">
        <v>46124</v>
      </c>
      <c r="F1247" s="20">
        <f t="shared" si="19"/>
        <v>46113</v>
      </c>
    </row>
    <row r="1248" spans="1:6" ht="20.25">
      <c r="A1248" s="49"/>
      <c r="B1248" s="47" t="s">
        <v>955</v>
      </c>
      <c r="C1248" s="47">
        <v>68</v>
      </c>
      <c r="D1248" s="47" t="s">
        <v>66</v>
      </c>
      <c r="E1248" s="12">
        <v>46124</v>
      </c>
      <c r="F1248" s="20">
        <f t="shared" si="19"/>
        <v>46113</v>
      </c>
    </row>
    <row r="1249" spans="1:6" ht="20.25">
      <c r="A1249" s="49"/>
      <c r="B1249" s="47" t="s">
        <v>1158</v>
      </c>
      <c r="C1249" s="47">
        <v>102</v>
      </c>
      <c r="D1249" s="47" t="s">
        <v>66</v>
      </c>
      <c r="E1249" s="12">
        <v>46124</v>
      </c>
      <c r="F1249" s="20">
        <f t="shared" si="19"/>
        <v>46113</v>
      </c>
    </row>
    <row r="1250" spans="1:6" ht="20.25">
      <c r="A1250" s="49"/>
      <c r="B1250" s="47" t="s">
        <v>650</v>
      </c>
      <c r="C1250" s="47">
        <v>20</v>
      </c>
      <c r="D1250" s="47" t="s">
        <v>66</v>
      </c>
      <c r="E1250" s="12">
        <v>46124</v>
      </c>
      <c r="F1250" s="20">
        <f t="shared" si="19"/>
        <v>46113</v>
      </c>
    </row>
    <row r="1251" spans="1:6" ht="20.25">
      <c r="A1251" s="49"/>
      <c r="B1251" s="47" t="s">
        <v>744</v>
      </c>
      <c r="C1251" s="47">
        <v>20</v>
      </c>
      <c r="D1251" s="47" t="s">
        <v>66</v>
      </c>
      <c r="E1251" s="12">
        <v>46124</v>
      </c>
      <c r="F1251" s="20">
        <f t="shared" si="19"/>
        <v>46113</v>
      </c>
    </row>
    <row r="1252" spans="1:6" ht="20.25">
      <c r="A1252" s="49"/>
      <c r="B1252" s="47" t="s">
        <v>1424</v>
      </c>
      <c r="C1252" s="47">
        <v>164</v>
      </c>
      <c r="D1252" s="47" t="s">
        <v>66</v>
      </c>
      <c r="E1252" s="12">
        <v>46124</v>
      </c>
      <c r="F1252" s="20">
        <f t="shared" si="19"/>
        <v>46113</v>
      </c>
    </row>
    <row r="1253" spans="1:6" ht="20.25">
      <c r="A1253" s="49"/>
      <c r="B1253" s="47" t="s">
        <v>674</v>
      </c>
      <c r="C1253" s="47">
        <v>46</v>
      </c>
      <c r="D1253" s="47" t="s">
        <v>66</v>
      </c>
      <c r="E1253" s="12">
        <v>46124</v>
      </c>
      <c r="F1253" s="20">
        <f t="shared" si="19"/>
        <v>46113</v>
      </c>
    </row>
    <row r="1254" spans="1:6" ht="20.25">
      <c r="A1254" s="49"/>
      <c r="B1254" s="47" t="s">
        <v>620</v>
      </c>
      <c r="C1254" s="47">
        <v>486</v>
      </c>
      <c r="D1254" s="47" t="s">
        <v>66</v>
      </c>
      <c r="E1254" s="12">
        <v>46124</v>
      </c>
      <c r="F1254" s="20">
        <f t="shared" si="19"/>
        <v>46113</v>
      </c>
    </row>
    <row r="1255" spans="1:6" ht="20.25">
      <c r="A1255" s="49"/>
      <c r="B1255" s="47" t="s">
        <v>603</v>
      </c>
      <c r="C1255" s="47">
        <v>669</v>
      </c>
      <c r="D1255" s="47" t="s">
        <v>95</v>
      </c>
      <c r="E1255" s="12">
        <v>46124</v>
      </c>
      <c r="F1255" s="20">
        <f t="shared" si="19"/>
        <v>46113</v>
      </c>
    </row>
    <row r="1256" spans="1:6" ht="20.25">
      <c r="A1256" s="49"/>
      <c r="B1256" s="47" t="s">
        <v>1038</v>
      </c>
      <c r="C1256" s="47">
        <v>25</v>
      </c>
      <c r="D1256" s="47" t="s">
        <v>95</v>
      </c>
      <c r="E1256" s="12">
        <v>46124</v>
      </c>
      <c r="F1256" s="20">
        <f t="shared" si="19"/>
        <v>46113</v>
      </c>
    </row>
    <row r="1257" spans="1:6" ht="20.25">
      <c r="A1257" s="49"/>
      <c r="B1257" s="47" t="s">
        <v>1038</v>
      </c>
      <c r="C1257" s="47">
        <v>115</v>
      </c>
      <c r="D1257" s="47" t="s">
        <v>95</v>
      </c>
      <c r="E1257" s="12">
        <v>46124</v>
      </c>
      <c r="F1257" s="20">
        <f t="shared" si="19"/>
        <v>46113</v>
      </c>
    </row>
    <row r="1258" spans="1:6" ht="20.25">
      <c r="A1258" s="49"/>
      <c r="B1258" s="47" t="s">
        <v>1370</v>
      </c>
      <c r="C1258" s="47">
        <v>42</v>
      </c>
      <c r="D1258" s="47" t="s">
        <v>63</v>
      </c>
      <c r="E1258" s="12">
        <v>46124</v>
      </c>
      <c r="F1258" s="20">
        <f t="shared" si="19"/>
        <v>46113</v>
      </c>
    </row>
    <row r="1259" spans="1:6" ht="20.25">
      <c r="A1259" s="49"/>
      <c r="B1259" s="47" t="s">
        <v>648</v>
      </c>
      <c r="C1259" s="47">
        <v>215</v>
      </c>
      <c r="D1259" s="47" t="s">
        <v>160</v>
      </c>
      <c r="E1259" s="12">
        <v>46124</v>
      </c>
      <c r="F1259" s="20">
        <f t="shared" si="19"/>
        <v>46113</v>
      </c>
    </row>
    <row r="1260" spans="1:6" ht="20.25">
      <c r="A1260" s="49"/>
      <c r="B1260" s="47" t="s">
        <v>777</v>
      </c>
      <c r="C1260" s="47">
        <v>188</v>
      </c>
      <c r="D1260" s="47" t="s">
        <v>160</v>
      </c>
      <c r="E1260" s="12">
        <v>46124</v>
      </c>
      <c r="F1260" s="20">
        <f t="shared" si="19"/>
        <v>46113</v>
      </c>
    </row>
    <row r="1261" spans="1:6" ht="20.25">
      <c r="A1261" s="49"/>
      <c r="B1261" s="47" t="s">
        <v>986</v>
      </c>
      <c r="C1261" s="47">
        <v>50</v>
      </c>
      <c r="D1261" s="47" t="s">
        <v>160</v>
      </c>
      <c r="E1261" s="12">
        <v>46124</v>
      </c>
      <c r="F1261" s="20">
        <f t="shared" si="19"/>
        <v>46113</v>
      </c>
    </row>
    <row r="1262" spans="1:6" ht="20.25">
      <c r="A1262" s="49"/>
      <c r="B1262" s="47" t="s">
        <v>959</v>
      </c>
      <c r="C1262" s="47">
        <v>430</v>
      </c>
      <c r="D1262" s="47" t="s">
        <v>55</v>
      </c>
      <c r="E1262" s="12">
        <v>46124</v>
      </c>
      <c r="F1262" s="20">
        <f t="shared" si="19"/>
        <v>46113</v>
      </c>
    </row>
    <row r="1263" spans="1:6" ht="20.25">
      <c r="A1263" s="49"/>
      <c r="B1263" s="47" t="s">
        <v>1118</v>
      </c>
      <c r="C1263" s="47">
        <v>277</v>
      </c>
      <c r="D1263" s="47" t="s">
        <v>55</v>
      </c>
      <c r="E1263" s="12">
        <v>46124</v>
      </c>
      <c r="F1263" s="20">
        <f t="shared" si="19"/>
        <v>46113</v>
      </c>
    </row>
    <row r="1264" spans="1:6" ht="20.25">
      <c r="A1264" s="49"/>
      <c r="B1264" s="47" t="s">
        <v>812</v>
      </c>
      <c r="C1264" s="47">
        <v>41</v>
      </c>
      <c r="D1264" s="47" t="s">
        <v>55</v>
      </c>
      <c r="E1264" s="12">
        <v>46124</v>
      </c>
      <c r="F1264" s="20">
        <f t="shared" si="19"/>
        <v>46113</v>
      </c>
    </row>
    <row r="1265" spans="1:6" ht="20.25">
      <c r="A1265" s="49"/>
      <c r="B1265" s="47" t="s">
        <v>928</v>
      </c>
      <c r="C1265" s="47">
        <v>92</v>
      </c>
      <c r="D1265" s="47" t="s">
        <v>55</v>
      </c>
      <c r="E1265" s="12">
        <v>46124</v>
      </c>
      <c r="F1265" s="20">
        <f t="shared" si="19"/>
        <v>46113</v>
      </c>
    </row>
    <row r="1266" spans="1:6" ht="20.25">
      <c r="A1266" s="49"/>
      <c r="B1266" s="47" t="s">
        <v>875</v>
      </c>
      <c r="C1266" s="47">
        <v>72</v>
      </c>
      <c r="D1266" s="47" t="s">
        <v>55</v>
      </c>
      <c r="E1266" s="12">
        <v>46124</v>
      </c>
      <c r="F1266" s="20">
        <f t="shared" si="19"/>
        <v>46113</v>
      </c>
    </row>
    <row r="1267" spans="1:6" ht="20.25">
      <c r="A1267" s="49"/>
      <c r="B1267" s="47" t="s">
        <v>1167</v>
      </c>
      <c r="C1267" s="47">
        <v>50</v>
      </c>
      <c r="D1267" s="47" t="s">
        <v>55</v>
      </c>
      <c r="E1267" s="12">
        <v>46124</v>
      </c>
      <c r="F1267" s="20">
        <f t="shared" si="19"/>
        <v>46113</v>
      </c>
    </row>
    <row r="1268" spans="1:6" ht="20.25">
      <c r="A1268" s="49"/>
      <c r="B1268" s="47" t="s">
        <v>1373</v>
      </c>
      <c r="C1268" s="47">
        <v>20</v>
      </c>
      <c r="D1268" s="47" t="s">
        <v>55</v>
      </c>
      <c r="E1268" s="12">
        <v>46124</v>
      </c>
      <c r="F1268" s="20">
        <f t="shared" si="19"/>
        <v>46113</v>
      </c>
    </row>
    <row r="1269" spans="1:6" ht="20.25">
      <c r="A1269" s="49"/>
      <c r="B1269" s="47" t="s">
        <v>998</v>
      </c>
      <c r="C1269" s="47">
        <v>48</v>
      </c>
      <c r="D1269" s="47" t="s">
        <v>95</v>
      </c>
      <c r="E1269" s="12">
        <v>46124</v>
      </c>
      <c r="F1269" s="20">
        <f t="shared" si="19"/>
        <v>46113</v>
      </c>
    </row>
    <row r="1270" spans="1:6" ht="20.25">
      <c r="A1270" s="49"/>
      <c r="B1270" s="47" t="s">
        <v>998</v>
      </c>
      <c r="C1270" s="47">
        <v>321</v>
      </c>
      <c r="D1270" s="47" t="s">
        <v>95</v>
      </c>
      <c r="E1270" s="12">
        <v>46124</v>
      </c>
      <c r="F1270" s="20">
        <f t="shared" si="19"/>
        <v>46113</v>
      </c>
    </row>
    <row r="1271" spans="1:6" ht="20.25">
      <c r="A1271" s="49"/>
      <c r="B1271" s="47" t="s">
        <v>629</v>
      </c>
      <c r="C1271" s="47">
        <v>79</v>
      </c>
      <c r="D1271" s="47" t="s">
        <v>62</v>
      </c>
      <c r="E1271" s="12">
        <v>46124</v>
      </c>
      <c r="F1271" s="20">
        <f t="shared" si="19"/>
        <v>46113</v>
      </c>
    </row>
    <row r="1272" spans="1:6" ht="20.25">
      <c r="A1272" s="49"/>
      <c r="B1272" s="47" t="s">
        <v>629</v>
      </c>
      <c r="C1272" s="47">
        <v>30</v>
      </c>
      <c r="D1272" s="47" t="s">
        <v>62</v>
      </c>
      <c r="E1272" s="12">
        <v>46124</v>
      </c>
      <c r="F1272" s="20">
        <f t="shared" si="19"/>
        <v>46113</v>
      </c>
    </row>
    <row r="1273" spans="1:6" ht="20.25">
      <c r="A1273" s="49"/>
      <c r="B1273" s="47" t="s">
        <v>1130</v>
      </c>
      <c r="C1273" s="47">
        <v>54</v>
      </c>
      <c r="D1273" s="47" t="s">
        <v>62</v>
      </c>
      <c r="E1273" s="12">
        <v>46124</v>
      </c>
      <c r="F1273" s="20">
        <f t="shared" si="19"/>
        <v>46113</v>
      </c>
    </row>
    <row r="1274" spans="1:6" ht="20.25">
      <c r="A1274" s="49"/>
      <c r="B1274" s="47" t="s">
        <v>1130</v>
      </c>
      <c r="C1274" s="47">
        <v>56</v>
      </c>
      <c r="D1274" s="47" t="s">
        <v>62</v>
      </c>
      <c r="E1274" s="12">
        <v>46124</v>
      </c>
      <c r="F1274" s="20">
        <f t="shared" si="19"/>
        <v>46113</v>
      </c>
    </row>
    <row r="1275" spans="1:6" ht="20.25">
      <c r="A1275" s="49"/>
      <c r="B1275" s="47" t="s">
        <v>1162</v>
      </c>
      <c r="C1275" s="47">
        <v>59</v>
      </c>
      <c r="D1275" s="47" t="s">
        <v>62</v>
      </c>
      <c r="E1275" s="12">
        <v>46124</v>
      </c>
      <c r="F1275" s="20">
        <f t="shared" si="19"/>
        <v>46113</v>
      </c>
    </row>
    <row r="1276" spans="1:6" ht="20.25">
      <c r="A1276" s="49"/>
      <c r="B1276" s="47" t="s">
        <v>1162</v>
      </c>
      <c r="C1276" s="47">
        <v>79</v>
      </c>
      <c r="D1276" s="47" t="s">
        <v>62</v>
      </c>
      <c r="E1276" s="12">
        <v>46124</v>
      </c>
      <c r="F1276" s="20">
        <f t="shared" si="19"/>
        <v>46113</v>
      </c>
    </row>
    <row r="1277" spans="1:6" ht="20.25">
      <c r="A1277" s="49"/>
      <c r="B1277" s="47" t="s">
        <v>1119</v>
      </c>
      <c r="C1277" s="47">
        <v>73</v>
      </c>
      <c r="D1277" s="47" t="s">
        <v>62</v>
      </c>
      <c r="E1277" s="12">
        <v>46124</v>
      </c>
      <c r="F1277" s="20">
        <f t="shared" si="19"/>
        <v>46113</v>
      </c>
    </row>
    <row r="1278" spans="1:6" ht="20.25">
      <c r="A1278" s="49"/>
      <c r="B1278" s="47" t="s">
        <v>747</v>
      </c>
      <c r="C1278" s="47">
        <v>163</v>
      </c>
      <c r="D1278" s="47" t="s">
        <v>62</v>
      </c>
      <c r="E1278" s="12">
        <v>46124</v>
      </c>
      <c r="F1278" s="20">
        <f t="shared" si="19"/>
        <v>46113</v>
      </c>
    </row>
    <row r="1279" spans="1:6" ht="20.25">
      <c r="A1279" s="49"/>
      <c r="B1279" s="47" t="s">
        <v>1085</v>
      </c>
      <c r="C1279" s="47">
        <v>70</v>
      </c>
      <c r="D1279" s="47" t="s">
        <v>62</v>
      </c>
      <c r="E1279" s="12">
        <v>46124</v>
      </c>
      <c r="F1279" s="20">
        <f t="shared" si="19"/>
        <v>46113</v>
      </c>
    </row>
    <row r="1280" spans="1:6" ht="20.25">
      <c r="A1280" s="49"/>
      <c r="B1280" s="47" t="s">
        <v>1531</v>
      </c>
      <c r="C1280" s="47">
        <v>418</v>
      </c>
      <c r="D1280" s="47" t="s">
        <v>62</v>
      </c>
      <c r="E1280" s="12">
        <v>46124</v>
      </c>
      <c r="F1280" s="20">
        <f t="shared" si="19"/>
        <v>46113</v>
      </c>
    </row>
    <row r="1281" spans="1:6" ht="20.25">
      <c r="A1281" s="49"/>
      <c r="B1281" s="47" t="s">
        <v>1133</v>
      </c>
      <c r="C1281" s="47">
        <v>55</v>
      </c>
      <c r="D1281" s="47" t="s">
        <v>62</v>
      </c>
      <c r="E1281" s="12">
        <v>46124</v>
      </c>
      <c r="F1281" s="20">
        <f t="shared" si="19"/>
        <v>46113</v>
      </c>
    </row>
    <row r="1282" spans="1:6" ht="20.25">
      <c r="A1282" s="49"/>
      <c r="B1282" s="47" t="s">
        <v>1362</v>
      </c>
      <c r="C1282" s="47">
        <v>35</v>
      </c>
      <c r="D1282" s="47" t="s">
        <v>62</v>
      </c>
      <c r="E1282" s="12">
        <v>46124</v>
      </c>
      <c r="F1282" s="20">
        <f t="shared" ref="F1282:F1345" si="20">EOMONTH(E1282,-1)+1</f>
        <v>46113</v>
      </c>
    </row>
    <row r="1283" spans="1:6" ht="20.25">
      <c r="A1283" s="49"/>
      <c r="B1283" s="47" t="s">
        <v>650</v>
      </c>
      <c r="C1283" s="47">
        <v>246</v>
      </c>
      <c r="D1283" s="47" t="s">
        <v>62</v>
      </c>
      <c r="E1283" s="12">
        <v>46124</v>
      </c>
      <c r="F1283" s="20">
        <f t="shared" si="20"/>
        <v>46113</v>
      </c>
    </row>
    <row r="1284" spans="1:6" ht="20.25">
      <c r="A1284" s="49"/>
      <c r="B1284" s="47" t="s">
        <v>650</v>
      </c>
      <c r="C1284" s="47">
        <v>114</v>
      </c>
      <c r="D1284" s="47" t="s">
        <v>62</v>
      </c>
      <c r="E1284" s="12">
        <v>46124</v>
      </c>
      <c r="F1284" s="20">
        <f t="shared" si="20"/>
        <v>46113</v>
      </c>
    </row>
    <row r="1285" spans="1:6" ht="20.25">
      <c r="A1285" s="49"/>
      <c r="B1285" s="47" t="s">
        <v>1233</v>
      </c>
      <c r="C1285" s="47">
        <v>130</v>
      </c>
      <c r="D1285" s="47" t="s">
        <v>62</v>
      </c>
      <c r="E1285" s="12">
        <v>46124</v>
      </c>
      <c r="F1285" s="20">
        <f t="shared" si="20"/>
        <v>46113</v>
      </c>
    </row>
    <row r="1286" spans="1:6" ht="20.25">
      <c r="A1286" s="49"/>
      <c r="B1286" s="47" t="s">
        <v>1233</v>
      </c>
      <c r="C1286" s="47">
        <v>105</v>
      </c>
      <c r="D1286" s="47" t="s">
        <v>62</v>
      </c>
      <c r="E1286" s="12">
        <v>46124</v>
      </c>
      <c r="F1286" s="20">
        <f t="shared" si="20"/>
        <v>46113</v>
      </c>
    </row>
    <row r="1287" spans="1:6" ht="20.25">
      <c r="A1287" s="49"/>
      <c r="B1287" s="47" t="s">
        <v>1238</v>
      </c>
      <c r="C1287" s="47">
        <v>38</v>
      </c>
      <c r="D1287" s="47" t="s">
        <v>62</v>
      </c>
      <c r="E1287" s="12">
        <v>46124</v>
      </c>
      <c r="F1287" s="20">
        <f t="shared" si="20"/>
        <v>46113</v>
      </c>
    </row>
    <row r="1288" spans="1:6" ht="20.25">
      <c r="A1288" s="49"/>
      <c r="B1288" s="47" t="s">
        <v>799</v>
      </c>
      <c r="C1288" s="47">
        <v>68</v>
      </c>
      <c r="D1288" s="47" t="s">
        <v>62</v>
      </c>
      <c r="E1288" s="12">
        <v>46124</v>
      </c>
      <c r="F1288" s="20">
        <f t="shared" si="20"/>
        <v>46113</v>
      </c>
    </row>
    <row r="1289" spans="1:6" ht="20.25">
      <c r="A1289" s="49"/>
      <c r="B1289" s="47" t="s">
        <v>742</v>
      </c>
      <c r="C1289" s="47">
        <v>80</v>
      </c>
      <c r="D1289" s="47" t="s">
        <v>62</v>
      </c>
      <c r="E1289" s="12">
        <v>46124</v>
      </c>
      <c r="F1289" s="20">
        <f t="shared" si="20"/>
        <v>46113</v>
      </c>
    </row>
    <row r="1290" spans="1:6" ht="20.25">
      <c r="A1290" s="49"/>
      <c r="B1290" s="47" t="s">
        <v>1594</v>
      </c>
      <c r="C1290" s="47">
        <v>49</v>
      </c>
      <c r="D1290" s="47" t="s">
        <v>62</v>
      </c>
      <c r="E1290" s="12">
        <v>46124</v>
      </c>
      <c r="F1290" s="20">
        <f t="shared" si="20"/>
        <v>46113</v>
      </c>
    </row>
    <row r="1291" spans="1:6" ht="20.25">
      <c r="A1291" s="49"/>
      <c r="B1291" s="47" t="s">
        <v>1434</v>
      </c>
      <c r="C1291" s="47">
        <v>20</v>
      </c>
      <c r="D1291" s="47" t="s">
        <v>62</v>
      </c>
      <c r="E1291" s="12">
        <v>46124</v>
      </c>
      <c r="F1291" s="20">
        <f t="shared" si="20"/>
        <v>46113</v>
      </c>
    </row>
    <row r="1292" spans="1:6" ht="20.25">
      <c r="A1292" s="49"/>
      <c r="B1292" s="47" t="s">
        <v>1435</v>
      </c>
      <c r="C1292" s="47">
        <v>32</v>
      </c>
      <c r="D1292" s="47" t="s">
        <v>62</v>
      </c>
      <c r="E1292" s="12">
        <v>46124</v>
      </c>
      <c r="F1292" s="20">
        <f t="shared" si="20"/>
        <v>46113</v>
      </c>
    </row>
    <row r="1293" spans="1:6" ht="20.25">
      <c r="A1293" s="49"/>
      <c r="B1293" s="47" t="s">
        <v>1083</v>
      </c>
      <c r="C1293" s="47">
        <v>29</v>
      </c>
      <c r="D1293" s="47" t="s">
        <v>62</v>
      </c>
      <c r="E1293" s="12">
        <v>46124</v>
      </c>
      <c r="F1293" s="20">
        <f t="shared" si="20"/>
        <v>46113</v>
      </c>
    </row>
    <row r="1294" spans="1:6" ht="20.25">
      <c r="A1294" s="49"/>
      <c r="B1294" s="47" t="s">
        <v>637</v>
      </c>
      <c r="C1294" s="47">
        <v>20</v>
      </c>
      <c r="D1294" s="47" t="s">
        <v>62</v>
      </c>
      <c r="E1294" s="12">
        <v>46124</v>
      </c>
      <c r="F1294" s="20">
        <f t="shared" si="20"/>
        <v>46113</v>
      </c>
    </row>
    <row r="1295" spans="1:6" ht="20.25">
      <c r="A1295" s="49"/>
      <c r="B1295" s="47" t="s">
        <v>610</v>
      </c>
      <c r="C1295" s="47">
        <v>140</v>
      </c>
      <c r="D1295" s="47" t="s">
        <v>55</v>
      </c>
      <c r="E1295" s="12">
        <v>46124</v>
      </c>
      <c r="F1295" s="20">
        <f t="shared" si="20"/>
        <v>46113</v>
      </c>
    </row>
    <row r="1296" spans="1:6" ht="20.25">
      <c r="A1296" s="49"/>
      <c r="B1296" s="47" t="s">
        <v>865</v>
      </c>
      <c r="C1296" s="47">
        <v>95</v>
      </c>
      <c r="D1296" s="47" t="s">
        <v>55</v>
      </c>
      <c r="E1296" s="12">
        <v>46124</v>
      </c>
      <c r="F1296" s="20">
        <f t="shared" si="20"/>
        <v>46113</v>
      </c>
    </row>
    <row r="1297" spans="1:6" ht="20.25">
      <c r="A1297" s="49"/>
      <c r="B1297" s="47" t="s">
        <v>815</v>
      </c>
      <c r="C1297" s="47">
        <v>80</v>
      </c>
      <c r="D1297" s="47" t="s">
        <v>55</v>
      </c>
      <c r="E1297" s="12">
        <v>46124</v>
      </c>
      <c r="F1297" s="20">
        <f t="shared" si="20"/>
        <v>46113</v>
      </c>
    </row>
    <row r="1298" spans="1:6" ht="20.25">
      <c r="A1298" s="49"/>
      <c r="B1298" s="47" t="s">
        <v>863</v>
      </c>
      <c r="C1298" s="47">
        <v>22</v>
      </c>
      <c r="D1298" s="47" t="s">
        <v>55</v>
      </c>
      <c r="E1298" s="12">
        <v>46124</v>
      </c>
      <c r="F1298" s="20">
        <f t="shared" si="20"/>
        <v>46113</v>
      </c>
    </row>
    <row r="1299" spans="1:6" ht="20.25">
      <c r="A1299" s="49"/>
      <c r="B1299" s="47" t="s">
        <v>1262</v>
      </c>
      <c r="C1299" s="47">
        <v>33</v>
      </c>
      <c r="D1299" s="47" t="s">
        <v>46</v>
      </c>
      <c r="E1299" s="12">
        <v>46124</v>
      </c>
      <c r="F1299" s="20">
        <f t="shared" si="20"/>
        <v>46113</v>
      </c>
    </row>
    <row r="1300" spans="1:6" ht="20.25">
      <c r="A1300" s="49"/>
      <c r="B1300" s="47" t="s">
        <v>1277</v>
      </c>
      <c r="C1300" s="47">
        <v>61</v>
      </c>
      <c r="D1300" s="47" t="s">
        <v>46</v>
      </c>
      <c r="E1300" s="12">
        <v>46124</v>
      </c>
      <c r="F1300" s="20">
        <f t="shared" si="20"/>
        <v>46113</v>
      </c>
    </row>
    <row r="1301" spans="1:6" ht="20.25">
      <c r="A1301" s="49"/>
      <c r="B1301" s="47" t="s">
        <v>1015</v>
      </c>
      <c r="C1301" s="47">
        <v>119</v>
      </c>
      <c r="D1301" s="47" t="s">
        <v>46</v>
      </c>
      <c r="E1301" s="12">
        <v>46124</v>
      </c>
      <c r="F1301" s="20">
        <f t="shared" si="20"/>
        <v>46113</v>
      </c>
    </row>
    <row r="1302" spans="1:6" ht="20.25">
      <c r="A1302" s="49"/>
      <c r="B1302" s="47" t="s">
        <v>1282</v>
      </c>
      <c r="C1302" s="47">
        <v>43</v>
      </c>
      <c r="D1302" s="47" t="s">
        <v>46</v>
      </c>
      <c r="E1302" s="12">
        <v>46124</v>
      </c>
      <c r="F1302" s="20">
        <f t="shared" si="20"/>
        <v>46113</v>
      </c>
    </row>
    <row r="1303" spans="1:6" ht="20.25">
      <c r="A1303" s="49"/>
      <c r="B1303" s="47" t="s">
        <v>1110</v>
      </c>
      <c r="C1303" s="47">
        <v>430</v>
      </c>
      <c r="D1303" s="47" t="s">
        <v>46</v>
      </c>
      <c r="E1303" s="12">
        <v>46124</v>
      </c>
      <c r="F1303" s="20">
        <f t="shared" si="20"/>
        <v>46113</v>
      </c>
    </row>
    <row r="1304" spans="1:6" ht="20.25">
      <c r="A1304" s="49"/>
      <c r="B1304" s="47" t="s">
        <v>921</v>
      </c>
      <c r="C1304" s="47">
        <v>46</v>
      </c>
      <c r="D1304" s="47" t="s">
        <v>46</v>
      </c>
      <c r="E1304" s="12">
        <v>46124</v>
      </c>
      <c r="F1304" s="20">
        <f t="shared" si="20"/>
        <v>46113</v>
      </c>
    </row>
    <row r="1305" spans="1:6" ht="20.25">
      <c r="A1305" s="49"/>
      <c r="B1305" s="47" t="s">
        <v>609</v>
      </c>
      <c r="C1305" s="47">
        <v>35</v>
      </c>
      <c r="D1305" s="47" t="s">
        <v>46</v>
      </c>
      <c r="E1305" s="12">
        <v>46124</v>
      </c>
      <c r="F1305" s="20">
        <f t="shared" si="20"/>
        <v>46113</v>
      </c>
    </row>
    <row r="1306" spans="1:6" ht="20.25">
      <c r="A1306" s="49"/>
      <c r="B1306" s="47" t="s">
        <v>1379</v>
      </c>
      <c r="C1306" s="47">
        <v>31</v>
      </c>
      <c r="D1306" s="47" t="s">
        <v>46</v>
      </c>
      <c r="E1306" s="12">
        <v>46124</v>
      </c>
      <c r="F1306" s="20">
        <f t="shared" si="20"/>
        <v>46113</v>
      </c>
    </row>
    <row r="1307" spans="1:6" ht="20.25">
      <c r="A1307" s="49"/>
      <c r="B1307" s="47" t="s">
        <v>1027</v>
      </c>
      <c r="C1307" s="47">
        <v>44</v>
      </c>
      <c r="D1307" s="47" t="s">
        <v>46</v>
      </c>
      <c r="E1307" s="12">
        <v>46124</v>
      </c>
      <c r="F1307" s="20">
        <f t="shared" si="20"/>
        <v>46113</v>
      </c>
    </row>
    <row r="1308" spans="1:6" ht="20.25">
      <c r="A1308" s="49"/>
      <c r="B1308" s="47" t="s">
        <v>867</v>
      </c>
      <c r="C1308" s="47">
        <v>1</v>
      </c>
      <c r="D1308" s="47" t="s">
        <v>46</v>
      </c>
      <c r="E1308" s="12">
        <v>46124</v>
      </c>
      <c r="F1308" s="20">
        <f t="shared" si="20"/>
        <v>46113</v>
      </c>
    </row>
    <row r="1309" spans="1:6" ht="20.25">
      <c r="A1309" s="49"/>
      <c r="B1309" s="47" t="s">
        <v>1598</v>
      </c>
      <c r="C1309" s="47">
        <v>7</v>
      </c>
      <c r="D1309" s="47" t="s">
        <v>133</v>
      </c>
      <c r="E1309" s="12">
        <v>46124</v>
      </c>
      <c r="F1309" s="20">
        <f t="shared" si="20"/>
        <v>46113</v>
      </c>
    </row>
    <row r="1310" spans="1:6" ht="20.25">
      <c r="A1310" s="49"/>
      <c r="B1310" s="47" t="s">
        <v>905</v>
      </c>
      <c r="C1310" s="47">
        <v>88</v>
      </c>
      <c r="D1310" s="47" t="s">
        <v>133</v>
      </c>
      <c r="E1310" s="12">
        <v>46124</v>
      </c>
      <c r="F1310" s="20">
        <f t="shared" si="20"/>
        <v>46113</v>
      </c>
    </row>
    <row r="1311" spans="1:6" ht="20.25">
      <c r="A1311" s="49"/>
      <c r="B1311" s="47" t="s">
        <v>1257</v>
      </c>
      <c r="C1311" s="47">
        <v>25</v>
      </c>
      <c r="D1311" s="47" t="s">
        <v>133</v>
      </c>
      <c r="E1311" s="12">
        <v>46124</v>
      </c>
      <c r="F1311" s="20">
        <f t="shared" si="20"/>
        <v>46113</v>
      </c>
    </row>
    <row r="1312" spans="1:6" ht="20.25">
      <c r="A1312" s="49"/>
      <c r="B1312" s="47" t="s">
        <v>1499</v>
      </c>
      <c r="C1312" s="47">
        <v>64</v>
      </c>
      <c r="D1312" s="47" t="s">
        <v>133</v>
      </c>
      <c r="E1312" s="12">
        <v>46124</v>
      </c>
      <c r="F1312" s="20">
        <f t="shared" si="20"/>
        <v>46113</v>
      </c>
    </row>
    <row r="1313" spans="1:6" ht="20.25">
      <c r="A1313" s="49"/>
      <c r="B1313" s="47" t="s">
        <v>1127</v>
      </c>
      <c r="C1313" s="47">
        <v>60</v>
      </c>
      <c r="D1313" s="47" t="s">
        <v>133</v>
      </c>
      <c r="E1313" s="12">
        <v>46124</v>
      </c>
      <c r="F1313" s="20">
        <f t="shared" si="20"/>
        <v>46113</v>
      </c>
    </row>
    <row r="1314" spans="1:6" ht="20.25">
      <c r="A1314" s="49"/>
      <c r="B1314" s="47" t="s">
        <v>746</v>
      </c>
      <c r="C1314" s="47">
        <v>71</v>
      </c>
      <c r="D1314" s="47" t="s">
        <v>72</v>
      </c>
      <c r="E1314" s="12">
        <v>46124</v>
      </c>
      <c r="F1314" s="20">
        <f t="shared" si="20"/>
        <v>46113</v>
      </c>
    </row>
    <row r="1315" spans="1:6" ht="20.25">
      <c r="A1315" s="49"/>
      <c r="B1315" s="47" t="s">
        <v>1333</v>
      </c>
      <c r="C1315" s="47">
        <v>40</v>
      </c>
      <c r="D1315" s="47" t="s">
        <v>72</v>
      </c>
      <c r="E1315" s="12">
        <v>46124</v>
      </c>
      <c r="F1315" s="20">
        <f t="shared" si="20"/>
        <v>46113</v>
      </c>
    </row>
    <row r="1316" spans="1:6" ht="20.25">
      <c r="A1316" s="49"/>
      <c r="B1316" s="47" t="s">
        <v>992</v>
      </c>
      <c r="C1316" s="47">
        <v>98</v>
      </c>
      <c r="D1316" s="47" t="s">
        <v>72</v>
      </c>
      <c r="E1316" s="12">
        <v>46124</v>
      </c>
      <c r="F1316" s="20">
        <f t="shared" si="20"/>
        <v>46113</v>
      </c>
    </row>
    <row r="1317" spans="1:6" ht="20.25">
      <c r="A1317" s="49"/>
      <c r="B1317" s="47" t="s">
        <v>709</v>
      </c>
      <c r="C1317" s="47">
        <v>59</v>
      </c>
      <c r="D1317" s="47" t="s">
        <v>72</v>
      </c>
      <c r="E1317" s="12">
        <v>46124</v>
      </c>
      <c r="F1317" s="20">
        <f t="shared" si="20"/>
        <v>46113</v>
      </c>
    </row>
    <row r="1318" spans="1:6" ht="20.25">
      <c r="A1318" s="49"/>
      <c r="B1318" s="47" t="s">
        <v>1143</v>
      </c>
      <c r="C1318" s="47">
        <v>224</v>
      </c>
      <c r="D1318" s="47" t="s">
        <v>72</v>
      </c>
      <c r="E1318" s="12">
        <v>46124</v>
      </c>
      <c r="F1318" s="20">
        <f t="shared" si="20"/>
        <v>46113</v>
      </c>
    </row>
    <row r="1319" spans="1:6" ht="20.25">
      <c r="A1319" s="49"/>
      <c r="B1319" s="47" t="s">
        <v>875</v>
      </c>
      <c r="C1319" s="47">
        <v>48</v>
      </c>
      <c r="D1319" s="47" t="s">
        <v>72</v>
      </c>
      <c r="E1319" s="12">
        <v>46124</v>
      </c>
      <c r="F1319" s="20">
        <f t="shared" si="20"/>
        <v>46113</v>
      </c>
    </row>
    <row r="1320" spans="1:6" ht="20.25">
      <c r="A1320" s="49"/>
      <c r="B1320" s="47" t="s">
        <v>717</v>
      </c>
      <c r="C1320" s="47">
        <v>187</v>
      </c>
      <c r="D1320" s="47" t="s">
        <v>72</v>
      </c>
      <c r="E1320" s="12">
        <v>46124</v>
      </c>
      <c r="F1320" s="20">
        <f t="shared" si="20"/>
        <v>46113</v>
      </c>
    </row>
    <row r="1321" spans="1:6" ht="20.25">
      <c r="A1321" s="49"/>
      <c r="B1321" s="47" t="s">
        <v>1269</v>
      </c>
      <c r="C1321" s="47">
        <v>50</v>
      </c>
      <c r="D1321" s="47" t="s">
        <v>72</v>
      </c>
      <c r="E1321" s="12">
        <v>46124</v>
      </c>
      <c r="F1321" s="20">
        <f t="shared" si="20"/>
        <v>46113</v>
      </c>
    </row>
    <row r="1322" spans="1:6" ht="20.25">
      <c r="A1322" s="49"/>
      <c r="B1322" s="47" t="s">
        <v>1269</v>
      </c>
      <c r="C1322" s="47">
        <v>160</v>
      </c>
      <c r="D1322" s="47" t="s">
        <v>72</v>
      </c>
      <c r="E1322" s="12">
        <v>46124</v>
      </c>
      <c r="F1322" s="20">
        <f t="shared" si="20"/>
        <v>46113</v>
      </c>
    </row>
    <row r="1323" spans="1:6" ht="20.25">
      <c r="A1323" s="49"/>
      <c r="B1323" s="47" t="s">
        <v>639</v>
      </c>
      <c r="C1323" s="47">
        <v>298</v>
      </c>
      <c r="D1323" s="47" t="s">
        <v>72</v>
      </c>
      <c r="E1323" s="12">
        <v>46124</v>
      </c>
      <c r="F1323" s="20">
        <f t="shared" si="20"/>
        <v>46113</v>
      </c>
    </row>
    <row r="1324" spans="1:6" ht="20.25">
      <c r="A1324" s="49"/>
      <c r="B1324" s="47" t="s">
        <v>728</v>
      </c>
      <c r="C1324" s="47">
        <v>57</v>
      </c>
      <c r="D1324" s="47" t="s">
        <v>72</v>
      </c>
      <c r="E1324" s="12">
        <v>46124</v>
      </c>
      <c r="F1324" s="20">
        <f t="shared" si="20"/>
        <v>46113</v>
      </c>
    </row>
    <row r="1325" spans="1:6" ht="20.25">
      <c r="A1325" s="49"/>
      <c r="B1325" s="47" t="s">
        <v>841</v>
      </c>
      <c r="C1325" s="47">
        <v>34</v>
      </c>
      <c r="D1325" s="47" t="s">
        <v>72</v>
      </c>
      <c r="E1325" s="12">
        <v>46124</v>
      </c>
      <c r="F1325" s="20">
        <f t="shared" si="20"/>
        <v>46113</v>
      </c>
    </row>
    <row r="1326" spans="1:6" ht="20.25">
      <c r="A1326" s="49"/>
      <c r="B1326" s="47" t="s">
        <v>841</v>
      </c>
      <c r="C1326" s="47">
        <v>95</v>
      </c>
      <c r="D1326" s="47" t="s">
        <v>72</v>
      </c>
      <c r="E1326" s="12">
        <v>46124</v>
      </c>
      <c r="F1326" s="20">
        <f t="shared" si="20"/>
        <v>46113</v>
      </c>
    </row>
    <row r="1327" spans="1:6" ht="20.25">
      <c r="A1327" s="49"/>
      <c r="B1327" s="47" t="s">
        <v>1526</v>
      </c>
      <c r="C1327" s="47">
        <v>50</v>
      </c>
      <c r="D1327" s="47" t="s">
        <v>72</v>
      </c>
      <c r="E1327" s="12">
        <v>46124</v>
      </c>
      <c r="F1327" s="20">
        <f t="shared" si="20"/>
        <v>46113</v>
      </c>
    </row>
    <row r="1328" spans="1:6" ht="20.25">
      <c r="A1328" s="49"/>
      <c r="B1328" s="47" t="s">
        <v>1464</v>
      </c>
      <c r="C1328" s="47">
        <v>46</v>
      </c>
      <c r="D1328" s="47" t="s">
        <v>72</v>
      </c>
      <c r="E1328" s="12">
        <v>46124</v>
      </c>
      <c r="F1328" s="20">
        <f t="shared" si="20"/>
        <v>46113</v>
      </c>
    </row>
    <row r="1329" spans="1:6" ht="20.25">
      <c r="A1329" s="49"/>
      <c r="B1329" s="47" t="s">
        <v>911</v>
      </c>
      <c r="C1329" s="47">
        <v>47</v>
      </c>
      <c r="D1329" s="47" t="s">
        <v>72</v>
      </c>
      <c r="E1329" s="12">
        <v>46124</v>
      </c>
      <c r="F1329" s="20">
        <f t="shared" si="20"/>
        <v>46113</v>
      </c>
    </row>
    <row r="1330" spans="1:6" ht="20.25">
      <c r="A1330" s="49"/>
      <c r="B1330" s="47" t="s">
        <v>913</v>
      </c>
      <c r="C1330" s="47">
        <v>72</v>
      </c>
      <c r="D1330" s="47" t="s">
        <v>72</v>
      </c>
      <c r="E1330" s="12">
        <v>46124</v>
      </c>
      <c r="F1330" s="20">
        <f t="shared" si="20"/>
        <v>46113</v>
      </c>
    </row>
    <row r="1331" spans="1:6" ht="20.25">
      <c r="A1331" s="49"/>
      <c r="B1331" s="47" t="s">
        <v>991</v>
      </c>
      <c r="C1331" s="47">
        <v>51</v>
      </c>
      <c r="D1331" s="47" t="s">
        <v>72</v>
      </c>
      <c r="E1331" s="12">
        <v>46124</v>
      </c>
      <c r="F1331" s="20">
        <f t="shared" si="20"/>
        <v>46113</v>
      </c>
    </row>
    <row r="1332" spans="1:6" ht="20.25">
      <c r="A1332" s="49"/>
      <c r="B1332" s="47" t="s">
        <v>669</v>
      </c>
      <c r="C1332" s="47">
        <v>311</v>
      </c>
      <c r="D1332" s="47" t="s">
        <v>72</v>
      </c>
      <c r="E1332" s="12">
        <v>46124</v>
      </c>
      <c r="F1332" s="20">
        <f t="shared" si="20"/>
        <v>46113</v>
      </c>
    </row>
    <row r="1333" spans="1:6" ht="20.25">
      <c r="A1333" s="49"/>
      <c r="B1333" s="47" t="s">
        <v>697</v>
      </c>
      <c r="C1333" s="47">
        <v>62</v>
      </c>
      <c r="D1333" s="47" t="s">
        <v>72</v>
      </c>
      <c r="E1333" s="12">
        <v>46124</v>
      </c>
      <c r="F1333" s="20">
        <f t="shared" si="20"/>
        <v>46113</v>
      </c>
    </row>
    <row r="1334" spans="1:6" ht="20.25">
      <c r="A1334" s="49"/>
      <c r="B1334" s="47" t="s">
        <v>1115</v>
      </c>
      <c r="C1334" s="47">
        <v>75</v>
      </c>
      <c r="D1334" s="47" t="s">
        <v>72</v>
      </c>
      <c r="E1334" s="12">
        <v>46124</v>
      </c>
      <c r="F1334" s="20">
        <f t="shared" si="20"/>
        <v>46113</v>
      </c>
    </row>
    <row r="1335" spans="1:6" ht="20.25">
      <c r="A1335" s="49"/>
      <c r="B1335" s="47" t="s">
        <v>863</v>
      </c>
      <c r="C1335" s="47">
        <v>65</v>
      </c>
      <c r="D1335" s="47" t="s">
        <v>72</v>
      </c>
      <c r="E1335" s="12">
        <v>46124</v>
      </c>
      <c r="F1335" s="20">
        <f t="shared" si="20"/>
        <v>46113</v>
      </c>
    </row>
    <row r="1336" spans="1:6" ht="20.25">
      <c r="A1336" s="49"/>
      <c r="B1336" s="47" t="s">
        <v>624</v>
      </c>
      <c r="C1336" s="47">
        <v>77</v>
      </c>
      <c r="D1336" s="47" t="s">
        <v>72</v>
      </c>
      <c r="E1336" s="12">
        <v>46124</v>
      </c>
      <c r="F1336" s="20">
        <f t="shared" si="20"/>
        <v>46113</v>
      </c>
    </row>
    <row r="1337" spans="1:6" ht="20.25">
      <c r="A1337" s="49"/>
      <c r="B1337" s="47" t="s">
        <v>688</v>
      </c>
      <c r="C1337" s="47">
        <v>4</v>
      </c>
      <c r="D1337" s="47" t="s">
        <v>62</v>
      </c>
      <c r="E1337" s="12">
        <v>46124</v>
      </c>
      <c r="F1337" s="20">
        <f t="shared" si="20"/>
        <v>46113</v>
      </c>
    </row>
    <row r="1338" spans="1:6" ht="20.25">
      <c r="A1338" s="49"/>
      <c r="B1338" s="47" t="s">
        <v>799</v>
      </c>
      <c r="C1338" s="47">
        <v>591</v>
      </c>
      <c r="D1338" s="47" t="s">
        <v>95</v>
      </c>
      <c r="E1338" s="12">
        <v>46124</v>
      </c>
      <c r="F1338" s="20">
        <f t="shared" si="20"/>
        <v>46113</v>
      </c>
    </row>
    <row r="1339" spans="1:6" ht="20.25">
      <c r="A1339" s="49"/>
      <c r="B1339" s="47" t="s">
        <v>1039</v>
      </c>
      <c r="C1339" s="47">
        <v>77</v>
      </c>
      <c r="D1339" s="47" t="s">
        <v>95</v>
      </c>
      <c r="E1339" s="12">
        <v>46124</v>
      </c>
      <c r="F1339" s="20">
        <f t="shared" si="20"/>
        <v>46113</v>
      </c>
    </row>
    <row r="1340" spans="1:6" ht="20.25">
      <c r="A1340" s="49"/>
      <c r="B1340" s="47" t="s">
        <v>678</v>
      </c>
      <c r="C1340" s="47">
        <v>23</v>
      </c>
      <c r="D1340" s="47" t="s">
        <v>82</v>
      </c>
      <c r="E1340" s="12">
        <v>46124</v>
      </c>
      <c r="F1340" s="20">
        <f t="shared" si="20"/>
        <v>46113</v>
      </c>
    </row>
    <row r="1341" spans="1:6" ht="20.25">
      <c r="A1341" s="49"/>
      <c r="B1341" s="47" t="s">
        <v>1069</v>
      </c>
      <c r="C1341" s="47">
        <v>144</v>
      </c>
      <c r="D1341" s="47" t="s">
        <v>82</v>
      </c>
      <c r="E1341" s="12">
        <v>46124</v>
      </c>
      <c r="F1341" s="20">
        <f t="shared" si="20"/>
        <v>46113</v>
      </c>
    </row>
    <row r="1342" spans="1:6" ht="20.25">
      <c r="A1342" s="49"/>
      <c r="B1342" s="47" t="s">
        <v>738</v>
      </c>
      <c r="C1342" s="47">
        <v>52</v>
      </c>
      <c r="D1342" s="47" t="s">
        <v>82</v>
      </c>
      <c r="E1342" s="12">
        <v>46124</v>
      </c>
      <c r="F1342" s="20">
        <f t="shared" si="20"/>
        <v>46113</v>
      </c>
    </row>
    <row r="1343" spans="1:6" ht="20.25">
      <c r="A1343" s="49"/>
      <c r="B1343" s="47" t="s">
        <v>1047</v>
      </c>
      <c r="C1343" s="47">
        <v>54</v>
      </c>
      <c r="D1343" s="47" t="s">
        <v>82</v>
      </c>
      <c r="E1343" s="12">
        <v>46124</v>
      </c>
      <c r="F1343" s="20">
        <f t="shared" si="20"/>
        <v>46113</v>
      </c>
    </row>
    <row r="1344" spans="1:6" ht="20.25">
      <c r="A1344" s="49"/>
      <c r="B1344" s="47" t="s">
        <v>706</v>
      </c>
      <c r="C1344" s="47">
        <v>373</v>
      </c>
      <c r="D1344" s="47" t="s">
        <v>82</v>
      </c>
      <c r="E1344" s="12">
        <v>46124</v>
      </c>
      <c r="F1344" s="20">
        <f t="shared" si="20"/>
        <v>46113</v>
      </c>
    </row>
    <row r="1345" spans="1:6" ht="20.25">
      <c r="A1345" s="49"/>
      <c r="B1345" s="47" t="s">
        <v>1121</v>
      </c>
      <c r="C1345" s="47">
        <v>30</v>
      </c>
      <c r="D1345" s="47" t="s">
        <v>82</v>
      </c>
      <c r="E1345" s="12">
        <v>46124</v>
      </c>
      <c r="F1345" s="20">
        <f t="shared" si="20"/>
        <v>46113</v>
      </c>
    </row>
    <row r="1346" spans="1:6" ht="20.25">
      <c r="A1346" s="49"/>
      <c r="B1346" s="47" t="s">
        <v>1146</v>
      </c>
      <c r="C1346" s="47">
        <v>57</v>
      </c>
      <c r="D1346" s="47" t="s">
        <v>82</v>
      </c>
      <c r="E1346" s="12">
        <v>46124</v>
      </c>
      <c r="F1346" s="20">
        <f t="shared" ref="F1346:F1409" si="21">EOMONTH(E1346,-1)+1</f>
        <v>46113</v>
      </c>
    </row>
    <row r="1347" spans="1:6" ht="20.25">
      <c r="A1347" s="49"/>
      <c r="B1347" s="47" t="s">
        <v>1075</v>
      </c>
      <c r="C1347" s="47">
        <v>85</v>
      </c>
      <c r="D1347" s="47" t="s">
        <v>82</v>
      </c>
      <c r="E1347" s="12">
        <v>46124</v>
      </c>
      <c r="F1347" s="20">
        <f t="shared" si="21"/>
        <v>46113</v>
      </c>
    </row>
    <row r="1348" spans="1:6" ht="20.25">
      <c r="A1348" s="49"/>
      <c r="B1348" s="47" t="s">
        <v>745</v>
      </c>
      <c r="C1348" s="47">
        <v>119</v>
      </c>
      <c r="D1348" s="47" t="s">
        <v>82</v>
      </c>
      <c r="E1348" s="12">
        <v>46124</v>
      </c>
      <c r="F1348" s="20">
        <f t="shared" si="21"/>
        <v>46113</v>
      </c>
    </row>
    <row r="1349" spans="1:6" ht="20.25">
      <c r="A1349" s="49"/>
      <c r="B1349" s="47" t="s">
        <v>785</v>
      </c>
      <c r="C1349" s="47">
        <v>500</v>
      </c>
      <c r="D1349" s="47" t="s">
        <v>82</v>
      </c>
      <c r="E1349" s="12">
        <v>46124</v>
      </c>
      <c r="F1349" s="20">
        <f t="shared" si="21"/>
        <v>46113</v>
      </c>
    </row>
    <row r="1350" spans="1:6" ht="20.25">
      <c r="A1350" s="49"/>
      <c r="B1350" s="47" t="s">
        <v>1441</v>
      </c>
      <c r="C1350" s="47">
        <v>215</v>
      </c>
      <c r="D1350" s="47" t="s">
        <v>55</v>
      </c>
      <c r="E1350" s="12">
        <v>46124</v>
      </c>
      <c r="F1350" s="20">
        <f t="shared" si="21"/>
        <v>46113</v>
      </c>
    </row>
    <row r="1351" spans="1:6" ht="20.25">
      <c r="A1351" s="49"/>
      <c r="B1351" s="47" t="s">
        <v>1338</v>
      </c>
      <c r="C1351" s="47">
        <v>158</v>
      </c>
      <c r="D1351" s="47" t="s">
        <v>1484</v>
      </c>
      <c r="E1351" s="12">
        <v>46124</v>
      </c>
      <c r="F1351" s="20">
        <f t="shared" si="21"/>
        <v>46113</v>
      </c>
    </row>
    <row r="1352" spans="1:6" ht="20.25">
      <c r="A1352" s="49"/>
      <c r="B1352" s="47" t="s">
        <v>987</v>
      </c>
      <c r="C1352" s="47">
        <v>44</v>
      </c>
      <c r="D1352" s="47" t="s">
        <v>160</v>
      </c>
      <c r="E1352" s="12">
        <v>46124</v>
      </c>
      <c r="F1352" s="20">
        <f t="shared" si="21"/>
        <v>46113</v>
      </c>
    </row>
    <row r="1353" spans="1:6" ht="20.25">
      <c r="A1353" s="49"/>
      <c r="B1353" s="47" t="s">
        <v>803</v>
      </c>
      <c r="C1353" s="47">
        <v>208</v>
      </c>
      <c r="D1353" s="47" t="s">
        <v>95</v>
      </c>
      <c r="E1353" s="12">
        <v>46124</v>
      </c>
      <c r="F1353" s="20">
        <f t="shared" si="21"/>
        <v>46113</v>
      </c>
    </row>
    <row r="1354" spans="1:6" ht="20.25">
      <c r="A1354" s="49"/>
      <c r="B1354" s="47" t="s">
        <v>966</v>
      </c>
      <c r="C1354" s="47">
        <v>40</v>
      </c>
      <c r="D1354" s="47" t="s">
        <v>95</v>
      </c>
      <c r="E1354" s="12">
        <v>46124</v>
      </c>
      <c r="F1354" s="20">
        <f t="shared" si="21"/>
        <v>46113</v>
      </c>
    </row>
    <row r="1355" spans="1:6" ht="20.25">
      <c r="A1355" s="49"/>
      <c r="B1355" s="47" t="s">
        <v>1095</v>
      </c>
      <c r="C1355" s="47">
        <v>39</v>
      </c>
      <c r="D1355" s="47" t="s">
        <v>95</v>
      </c>
      <c r="E1355" s="12">
        <v>46124</v>
      </c>
      <c r="F1355" s="20">
        <f t="shared" si="21"/>
        <v>46113</v>
      </c>
    </row>
    <row r="1356" spans="1:6" ht="20.25">
      <c r="A1356" s="49"/>
      <c r="B1356" s="47" t="s">
        <v>1112</v>
      </c>
      <c r="C1356" s="47">
        <v>62</v>
      </c>
      <c r="D1356" s="47" t="s">
        <v>62</v>
      </c>
      <c r="E1356" s="12">
        <v>46124</v>
      </c>
      <c r="F1356" s="20">
        <f t="shared" si="21"/>
        <v>46113</v>
      </c>
    </row>
    <row r="1357" spans="1:6" ht="20.25">
      <c r="A1357" s="49"/>
      <c r="B1357" s="47" t="s">
        <v>1268</v>
      </c>
      <c r="C1357" s="47">
        <v>52</v>
      </c>
      <c r="D1357" s="47" t="s">
        <v>62</v>
      </c>
      <c r="E1357" s="12">
        <v>46124</v>
      </c>
      <c r="F1357" s="20">
        <f t="shared" si="21"/>
        <v>46113</v>
      </c>
    </row>
    <row r="1358" spans="1:6" ht="20.25">
      <c r="A1358" s="49"/>
      <c r="B1358" s="47" t="s">
        <v>689</v>
      </c>
      <c r="C1358" s="47">
        <v>50</v>
      </c>
      <c r="D1358" s="47" t="s">
        <v>62</v>
      </c>
      <c r="E1358" s="12">
        <v>46124</v>
      </c>
      <c r="F1358" s="20">
        <f t="shared" si="21"/>
        <v>46113</v>
      </c>
    </row>
    <row r="1359" spans="1:6" ht="20.25">
      <c r="A1359" s="49"/>
      <c r="B1359" s="47" t="s">
        <v>953</v>
      </c>
      <c r="C1359" s="47">
        <v>1</v>
      </c>
      <c r="D1359" s="47" t="s">
        <v>55</v>
      </c>
      <c r="E1359" s="12">
        <v>46124</v>
      </c>
      <c r="F1359" s="20">
        <f t="shared" si="21"/>
        <v>46113</v>
      </c>
    </row>
    <row r="1360" spans="1:6" ht="20.25">
      <c r="A1360" s="49"/>
      <c r="B1360" s="47" t="s">
        <v>720</v>
      </c>
      <c r="C1360" s="47">
        <v>90</v>
      </c>
      <c r="D1360" s="47" t="s">
        <v>160</v>
      </c>
      <c r="E1360" s="12">
        <v>46124</v>
      </c>
      <c r="F1360" s="20">
        <f t="shared" si="21"/>
        <v>46113</v>
      </c>
    </row>
    <row r="1361" spans="1:6" ht="20.25">
      <c r="A1361" s="49"/>
      <c r="B1361" s="47" t="s">
        <v>1278</v>
      </c>
      <c r="C1361" s="47">
        <v>39</v>
      </c>
      <c r="D1361" s="47" t="s">
        <v>160</v>
      </c>
      <c r="E1361" s="12">
        <v>46124</v>
      </c>
      <c r="F1361" s="20">
        <f t="shared" si="21"/>
        <v>46113</v>
      </c>
    </row>
    <row r="1362" spans="1:6" ht="20.25">
      <c r="A1362" s="49"/>
      <c r="B1362" s="47" t="s">
        <v>603</v>
      </c>
      <c r="C1362" s="47">
        <v>208</v>
      </c>
      <c r="D1362" s="47" t="s">
        <v>95</v>
      </c>
      <c r="E1362" s="12">
        <v>46124</v>
      </c>
      <c r="F1362" s="20">
        <f t="shared" si="21"/>
        <v>46113</v>
      </c>
    </row>
    <row r="1363" spans="1:6" ht="20.25">
      <c r="A1363" s="49"/>
      <c r="B1363" s="47" t="s">
        <v>845</v>
      </c>
      <c r="C1363" s="47">
        <v>249</v>
      </c>
      <c r="D1363" s="47" t="s">
        <v>95</v>
      </c>
      <c r="E1363" s="12">
        <v>46124</v>
      </c>
      <c r="F1363" s="20">
        <f t="shared" si="21"/>
        <v>46113</v>
      </c>
    </row>
    <row r="1364" spans="1:6" ht="20.25">
      <c r="A1364" s="49"/>
      <c r="B1364" s="47" t="s">
        <v>836</v>
      </c>
      <c r="C1364" s="47">
        <v>20</v>
      </c>
      <c r="D1364" s="47" t="s">
        <v>160</v>
      </c>
      <c r="E1364" s="12">
        <v>46124</v>
      </c>
      <c r="F1364" s="20">
        <f t="shared" si="21"/>
        <v>46113</v>
      </c>
    </row>
    <row r="1365" spans="1:6" ht="20.25">
      <c r="A1365" s="49"/>
      <c r="B1365" s="47" t="s">
        <v>843</v>
      </c>
      <c r="C1365" s="47">
        <v>146</v>
      </c>
      <c r="D1365" s="47" t="s">
        <v>46</v>
      </c>
      <c r="E1365" s="12">
        <v>46124</v>
      </c>
      <c r="F1365" s="20">
        <f t="shared" si="21"/>
        <v>46113</v>
      </c>
    </row>
    <row r="1366" spans="1:6" ht="20.25">
      <c r="A1366" s="49"/>
      <c r="B1366" s="47" t="s">
        <v>1443</v>
      </c>
      <c r="C1366" s="47">
        <v>77</v>
      </c>
      <c r="D1366" s="47" t="s">
        <v>46</v>
      </c>
      <c r="E1366" s="12">
        <v>46124</v>
      </c>
      <c r="F1366" s="20">
        <f t="shared" si="21"/>
        <v>46113</v>
      </c>
    </row>
    <row r="1367" spans="1:6" ht="20.25">
      <c r="A1367" s="49"/>
      <c r="B1367" s="47" t="s">
        <v>903</v>
      </c>
      <c r="C1367" s="47">
        <v>84</v>
      </c>
      <c r="D1367" s="47" t="s">
        <v>46</v>
      </c>
      <c r="E1367" s="12">
        <v>46124</v>
      </c>
      <c r="F1367" s="20">
        <f t="shared" si="21"/>
        <v>46113</v>
      </c>
    </row>
    <row r="1368" spans="1:6" ht="20.25">
      <c r="A1368" s="49"/>
      <c r="B1368" s="47" t="s">
        <v>971</v>
      </c>
      <c r="C1368" s="47">
        <v>115</v>
      </c>
      <c r="D1368" s="47" t="s">
        <v>46</v>
      </c>
      <c r="E1368" s="12">
        <v>46124</v>
      </c>
      <c r="F1368" s="20">
        <f t="shared" si="21"/>
        <v>46113</v>
      </c>
    </row>
    <row r="1369" spans="1:6" ht="20.25">
      <c r="A1369" s="49"/>
      <c r="B1369" s="47" t="s">
        <v>1247</v>
      </c>
      <c r="C1369" s="47">
        <v>205</v>
      </c>
      <c r="D1369" s="47" t="s">
        <v>62</v>
      </c>
      <c r="E1369" s="12">
        <v>46124</v>
      </c>
      <c r="F1369" s="20">
        <f t="shared" si="21"/>
        <v>46113</v>
      </c>
    </row>
    <row r="1370" spans="1:6" ht="20.25">
      <c r="A1370" s="49"/>
      <c r="B1370" s="47" t="s">
        <v>1237</v>
      </c>
      <c r="C1370" s="47">
        <v>134</v>
      </c>
      <c r="D1370" s="47" t="s">
        <v>82</v>
      </c>
      <c r="E1370" s="12">
        <v>46124</v>
      </c>
      <c r="F1370" s="20">
        <f t="shared" si="21"/>
        <v>46113</v>
      </c>
    </row>
    <row r="1371" spans="1:6" ht="20.25">
      <c r="A1371" s="49"/>
      <c r="B1371" s="47" t="s">
        <v>1348</v>
      </c>
      <c r="C1371" s="47">
        <v>86</v>
      </c>
      <c r="D1371" s="47" t="s">
        <v>97</v>
      </c>
      <c r="E1371" s="12">
        <v>46124</v>
      </c>
      <c r="F1371" s="20">
        <f t="shared" si="21"/>
        <v>46113</v>
      </c>
    </row>
    <row r="1372" spans="1:6" ht="20.25">
      <c r="A1372" s="49"/>
      <c r="B1372" s="47" t="s">
        <v>1088</v>
      </c>
      <c r="C1372" s="47">
        <v>49</v>
      </c>
      <c r="D1372" s="47" t="s">
        <v>97</v>
      </c>
      <c r="E1372" s="12">
        <v>46124</v>
      </c>
      <c r="F1372" s="20">
        <f t="shared" si="21"/>
        <v>46113</v>
      </c>
    </row>
    <row r="1373" spans="1:6" ht="20.25">
      <c r="A1373" s="49"/>
      <c r="B1373" s="47" t="s">
        <v>1455</v>
      </c>
      <c r="C1373" s="47">
        <v>160</v>
      </c>
      <c r="D1373" s="47" t="s">
        <v>97</v>
      </c>
      <c r="E1373" s="12">
        <v>46124</v>
      </c>
      <c r="F1373" s="20">
        <f t="shared" si="21"/>
        <v>46113</v>
      </c>
    </row>
    <row r="1374" spans="1:6" ht="20.25">
      <c r="A1374" s="49"/>
      <c r="B1374" s="47" t="s">
        <v>1455</v>
      </c>
      <c r="C1374" s="47">
        <v>47</v>
      </c>
      <c r="D1374" s="47" t="s">
        <v>97</v>
      </c>
      <c r="E1374" s="12">
        <v>46124</v>
      </c>
      <c r="F1374" s="20">
        <f t="shared" si="21"/>
        <v>46113</v>
      </c>
    </row>
    <row r="1375" spans="1:6" ht="20.25">
      <c r="A1375" s="49"/>
      <c r="B1375" s="47" t="s">
        <v>1045</v>
      </c>
      <c r="C1375" s="47">
        <v>267</v>
      </c>
      <c r="D1375" s="47" t="s">
        <v>97</v>
      </c>
      <c r="E1375" s="12">
        <v>46124</v>
      </c>
      <c r="F1375" s="20">
        <f t="shared" si="21"/>
        <v>46113</v>
      </c>
    </row>
    <row r="1376" spans="1:6" ht="20.25">
      <c r="A1376" s="49"/>
      <c r="B1376" s="47" t="s">
        <v>1357</v>
      </c>
      <c r="C1376" s="47">
        <v>92</v>
      </c>
      <c r="D1376" s="47" t="s">
        <v>97</v>
      </c>
      <c r="E1376" s="12">
        <v>46124</v>
      </c>
      <c r="F1376" s="20">
        <f t="shared" si="21"/>
        <v>46113</v>
      </c>
    </row>
    <row r="1377" spans="1:6" ht="20.25">
      <c r="A1377" s="49"/>
      <c r="B1377" s="47" t="s">
        <v>1065</v>
      </c>
      <c r="C1377" s="47">
        <v>37</v>
      </c>
      <c r="D1377" s="47" t="s">
        <v>97</v>
      </c>
      <c r="E1377" s="12">
        <v>46124</v>
      </c>
      <c r="F1377" s="20">
        <f t="shared" si="21"/>
        <v>46113</v>
      </c>
    </row>
    <row r="1378" spans="1:6" ht="20.25">
      <c r="A1378" s="49"/>
      <c r="B1378" s="47" t="s">
        <v>1520</v>
      </c>
      <c r="C1378" s="47">
        <v>43</v>
      </c>
      <c r="D1378" s="47" t="s">
        <v>97</v>
      </c>
      <c r="E1378" s="12">
        <v>46124</v>
      </c>
      <c r="F1378" s="20">
        <f t="shared" si="21"/>
        <v>46113</v>
      </c>
    </row>
    <row r="1379" spans="1:6" ht="20.25">
      <c r="A1379" s="49"/>
      <c r="B1379" s="47" t="s">
        <v>791</v>
      </c>
      <c r="C1379" s="47">
        <v>55</v>
      </c>
      <c r="D1379" s="47" t="s">
        <v>97</v>
      </c>
      <c r="E1379" s="12">
        <v>46124</v>
      </c>
      <c r="F1379" s="20">
        <f t="shared" si="21"/>
        <v>46113</v>
      </c>
    </row>
    <row r="1380" spans="1:6" ht="20.25">
      <c r="A1380" s="49"/>
      <c r="B1380" s="47" t="s">
        <v>809</v>
      </c>
      <c r="C1380" s="47">
        <v>23</v>
      </c>
      <c r="D1380" s="47" t="s">
        <v>97</v>
      </c>
      <c r="E1380" s="12">
        <v>46124</v>
      </c>
      <c r="F1380" s="20">
        <f t="shared" si="21"/>
        <v>46113</v>
      </c>
    </row>
    <row r="1381" spans="1:6" ht="20.25">
      <c r="A1381" s="49"/>
      <c r="B1381" s="47" t="s">
        <v>1023</v>
      </c>
      <c r="C1381" s="47">
        <v>2</v>
      </c>
      <c r="D1381" s="47" t="s">
        <v>97</v>
      </c>
      <c r="E1381" s="12">
        <v>46124</v>
      </c>
      <c r="F1381" s="20">
        <f t="shared" si="21"/>
        <v>46113</v>
      </c>
    </row>
    <row r="1382" spans="1:6" ht="20.25">
      <c r="A1382" s="49"/>
      <c r="B1382" s="47" t="s">
        <v>1105</v>
      </c>
      <c r="C1382" s="47">
        <v>0</v>
      </c>
      <c r="D1382" s="47" t="s">
        <v>97</v>
      </c>
      <c r="E1382" s="12">
        <v>46124</v>
      </c>
      <c r="F1382" s="20">
        <f t="shared" si="21"/>
        <v>46113</v>
      </c>
    </row>
    <row r="1383" spans="1:6" ht="20.25">
      <c r="A1383" s="49"/>
      <c r="B1383" s="47" t="s">
        <v>1348</v>
      </c>
      <c r="C1383" s="47">
        <v>8</v>
      </c>
      <c r="D1383" s="47" t="s">
        <v>97</v>
      </c>
      <c r="E1383" s="12">
        <v>46124</v>
      </c>
      <c r="F1383" s="20">
        <f t="shared" si="21"/>
        <v>46113</v>
      </c>
    </row>
    <row r="1384" spans="1:6" ht="20.25">
      <c r="A1384" s="49"/>
      <c r="B1384" s="47" t="s">
        <v>1547</v>
      </c>
      <c r="C1384" s="47">
        <v>360</v>
      </c>
      <c r="D1384" s="47" t="s">
        <v>46</v>
      </c>
      <c r="E1384" s="12">
        <v>46124</v>
      </c>
      <c r="F1384" s="20">
        <f t="shared" si="21"/>
        <v>46113</v>
      </c>
    </row>
    <row r="1385" spans="1:6" ht="20.25">
      <c r="A1385" s="49"/>
      <c r="B1385" s="47" t="s">
        <v>734</v>
      </c>
      <c r="C1385" s="47">
        <v>64</v>
      </c>
      <c r="D1385" s="47" t="s">
        <v>95</v>
      </c>
      <c r="E1385" s="12">
        <v>46124</v>
      </c>
      <c r="F1385" s="20">
        <f t="shared" si="21"/>
        <v>46113</v>
      </c>
    </row>
    <row r="1386" spans="1:6" ht="20.25">
      <c r="A1386" s="49"/>
      <c r="B1386" s="47" t="s">
        <v>734</v>
      </c>
      <c r="C1386" s="47">
        <v>54</v>
      </c>
      <c r="D1386" s="47" t="s">
        <v>95</v>
      </c>
      <c r="E1386" s="12">
        <v>46124</v>
      </c>
      <c r="F1386" s="20">
        <f t="shared" si="21"/>
        <v>46113</v>
      </c>
    </row>
    <row r="1387" spans="1:6" ht="20.25">
      <c r="A1387" s="49"/>
      <c r="B1387" s="47" t="s">
        <v>1601</v>
      </c>
      <c r="C1387" s="47">
        <v>73</v>
      </c>
      <c r="D1387" s="47" t="s">
        <v>160</v>
      </c>
      <c r="E1387" s="12">
        <v>46124</v>
      </c>
      <c r="F1387" s="20">
        <f t="shared" si="21"/>
        <v>46113</v>
      </c>
    </row>
    <row r="1388" spans="1:6" ht="20.25">
      <c r="A1388" s="49"/>
      <c r="B1388" s="47" t="s">
        <v>989</v>
      </c>
      <c r="C1388" s="47">
        <v>27</v>
      </c>
      <c r="D1388" s="47" t="s">
        <v>160</v>
      </c>
      <c r="E1388" s="12">
        <v>46124</v>
      </c>
      <c r="F1388" s="20">
        <f t="shared" si="21"/>
        <v>46113</v>
      </c>
    </row>
    <row r="1389" spans="1:6" ht="20.25">
      <c r="A1389" s="49"/>
      <c r="B1389" s="47" t="s">
        <v>1002</v>
      </c>
      <c r="C1389" s="47">
        <v>430</v>
      </c>
      <c r="D1389" s="47" t="s">
        <v>114</v>
      </c>
      <c r="E1389" s="12">
        <v>46124</v>
      </c>
      <c r="F1389" s="20">
        <f t="shared" si="21"/>
        <v>46113</v>
      </c>
    </row>
    <row r="1390" spans="1:6" ht="20.25">
      <c r="A1390" s="49"/>
      <c r="B1390" s="47" t="s">
        <v>1087</v>
      </c>
      <c r="C1390" s="47">
        <v>126</v>
      </c>
      <c r="D1390" s="47" t="s">
        <v>114</v>
      </c>
      <c r="E1390" s="12">
        <v>46124</v>
      </c>
      <c r="F1390" s="20">
        <f t="shared" si="21"/>
        <v>46113</v>
      </c>
    </row>
    <row r="1391" spans="1:6" ht="20.25">
      <c r="A1391" s="49"/>
      <c r="B1391" s="47" t="s">
        <v>1087</v>
      </c>
      <c r="C1391" s="47">
        <v>107</v>
      </c>
      <c r="D1391" s="47" t="s">
        <v>114</v>
      </c>
      <c r="E1391" s="12">
        <v>46124</v>
      </c>
      <c r="F1391" s="20">
        <f t="shared" si="21"/>
        <v>46113</v>
      </c>
    </row>
    <row r="1392" spans="1:6" ht="20.25">
      <c r="A1392" s="49"/>
      <c r="B1392" s="47" t="s">
        <v>1003</v>
      </c>
      <c r="C1392" s="47">
        <v>56</v>
      </c>
      <c r="D1392" s="47" t="s">
        <v>114</v>
      </c>
      <c r="E1392" s="12">
        <v>46124</v>
      </c>
      <c r="F1392" s="20">
        <f t="shared" si="21"/>
        <v>46113</v>
      </c>
    </row>
    <row r="1393" spans="1:6" ht="20.25">
      <c r="A1393" s="49"/>
      <c r="B1393" s="47" t="s">
        <v>1439</v>
      </c>
      <c r="C1393" s="47">
        <v>271</v>
      </c>
      <c r="D1393" s="47" t="s">
        <v>114</v>
      </c>
      <c r="E1393" s="12">
        <v>46124</v>
      </c>
      <c r="F1393" s="20">
        <f t="shared" si="21"/>
        <v>46113</v>
      </c>
    </row>
    <row r="1394" spans="1:6" ht="20.25">
      <c r="A1394" s="49"/>
      <c r="B1394" s="47" t="s">
        <v>1439</v>
      </c>
      <c r="C1394" s="47">
        <v>114</v>
      </c>
      <c r="D1394" s="47" t="s">
        <v>114</v>
      </c>
      <c r="E1394" s="12">
        <v>46124</v>
      </c>
      <c r="F1394" s="20">
        <f t="shared" si="21"/>
        <v>46113</v>
      </c>
    </row>
    <row r="1395" spans="1:6" ht="20.25">
      <c r="A1395" s="49"/>
      <c r="B1395" s="47" t="s">
        <v>1055</v>
      </c>
      <c r="C1395" s="47">
        <v>68</v>
      </c>
      <c r="D1395" s="47" t="s">
        <v>46</v>
      </c>
      <c r="E1395" s="12">
        <v>46124</v>
      </c>
      <c r="F1395" s="20">
        <f t="shared" si="21"/>
        <v>46113</v>
      </c>
    </row>
    <row r="1396" spans="1:6" ht="20.25">
      <c r="A1396" s="49"/>
      <c r="B1396" s="47" t="s">
        <v>1273</v>
      </c>
      <c r="C1396" s="47">
        <v>24</v>
      </c>
      <c r="D1396" s="47" t="s">
        <v>114</v>
      </c>
      <c r="E1396" s="12">
        <v>46124</v>
      </c>
      <c r="F1396" s="20">
        <f t="shared" si="21"/>
        <v>46113</v>
      </c>
    </row>
    <row r="1397" spans="1:6" ht="20.25">
      <c r="A1397" s="49"/>
      <c r="B1397" s="47" t="s">
        <v>738</v>
      </c>
      <c r="C1397" s="47">
        <v>72</v>
      </c>
      <c r="D1397" s="47" t="s">
        <v>66</v>
      </c>
      <c r="E1397" s="12">
        <v>46124</v>
      </c>
      <c r="F1397" s="20">
        <f t="shared" si="21"/>
        <v>46113</v>
      </c>
    </row>
    <row r="1398" spans="1:6" ht="20.25">
      <c r="A1398" s="49"/>
      <c r="B1398" s="47" t="s">
        <v>714</v>
      </c>
      <c r="C1398" s="47">
        <v>163</v>
      </c>
      <c r="D1398" s="47" t="s">
        <v>66</v>
      </c>
      <c r="E1398" s="12">
        <v>46124</v>
      </c>
      <c r="F1398" s="20">
        <f t="shared" si="21"/>
        <v>46113</v>
      </c>
    </row>
    <row r="1399" spans="1:6" ht="20.25">
      <c r="A1399" s="49"/>
      <c r="B1399" s="47" t="s">
        <v>1099</v>
      </c>
      <c r="C1399" s="47">
        <v>138</v>
      </c>
      <c r="D1399" s="47" t="s">
        <v>66</v>
      </c>
      <c r="E1399" s="12">
        <v>46124</v>
      </c>
      <c r="F1399" s="20">
        <f t="shared" si="21"/>
        <v>46113</v>
      </c>
    </row>
    <row r="1400" spans="1:6" ht="20.25">
      <c r="A1400" s="49"/>
      <c r="B1400" s="47" t="s">
        <v>964</v>
      </c>
      <c r="C1400" s="47">
        <v>92</v>
      </c>
      <c r="D1400" s="47" t="s">
        <v>62</v>
      </c>
      <c r="E1400" s="12">
        <v>46124</v>
      </c>
      <c r="F1400" s="20">
        <f t="shared" si="21"/>
        <v>46113</v>
      </c>
    </row>
    <row r="1401" spans="1:6" ht="20.25">
      <c r="A1401" s="49"/>
      <c r="B1401" s="47" t="s">
        <v>964</v>
      </c>
      <c r="C1401" s="47">
        <v>54</v>
      </c>
      <c r="D1401" s="47" t="s">
        <v>62</v>
      </c>
      <c r="E1401" s="12">
        <v>46124</v>
      </c>
      <c r="F1401" s="20">
        <f t="shared" si="21"/>
        <v>46113</v>
      </c>
    </row>
    <row r="1402" spans="1:6" ht="20.25">
      <c r="A1402" s="49"/>
      <c r="B1402" s="47" t="s">
        <v>651</v>
      </c>
      <c r="C1402" s="47">
        <v>99</v>
      </c>
      <c r="D1402" s="47" t="s">
        <v>62</v>
      </c>
      <c r="E1402" s="12">
        <v>46124</v>
      </c>
      <c r="F1402" s="20">
        <f t="shared" si="21"/>
        <v>46113</v>
      </c>
    </row>
    <row r="1403" spans="1:6" ht="20.25">
      <c r="A1403" s="49"/>
      <c r="B1403" s="47" t="s">
        <v>651</v>
      </c>
      <c r="C1403" s="47">
        <v>58</v>
      </c>
      <c r="D1403" s="47" t="s">
        <v>62</v>
      </c>
      <c r="E1403" s="12">
        <v>46124</v>
      </c>
      <c r="F1403" s="20">
        <f t="shared" si="21"/>
        <v>46113</v>
      </c>
    </row>
    <row r="1404" spans="1:6" ht="20.25">
      <c r="A1404" s="49"/>
      <c r="B1404" s="47" t="s">
        <v>651</v>
      </c>
      <c r="C1404" s="47">
        <v>51</v>
      </c>
      <c r="D1404" s="47" t="s">
        <v>62</v>
      </c>
      <c r="E1404" s="12">
        <v>46124</v>
      </c>
      <c r="F1404" s="20">
        <f t="shared" si="21"/>
        <v>46113</v>
      </c>
    </row>
    <row r="1405" spans="1:6" ht="20.25">
      <c r="A1405" s="49"/>
      <c r="B1405" s="47" t="s">
        <v>842</v>
      </c>
      <c r="C1405" s="47">
        <v>99</v>
      </c>
      <c r="D1405" s="47" t="s">
        <v>62</v>
      </c>
      <c r="E1405" s="12">
        <v>46124</v>
      </c>
      <c r="F1405" s="20">
        <f t="shared" si="21"/>
        <v>46113</v>
      </c>
    </row>
    <row r="1406" spans="1:6" ht="20.25">
      <c r="A1406" s="49"/>
      <c r="B1406" s="47" t="s">
        <v>842</v>
      </c>
      <c r="C1406" s="47">
        <v>31</v>
      </c>
      <c r="D1406" s="47" t="s">
        <v>62</v>
      </c>
      <c r="E1406" s="12">
        <v>46124</v>
      </c>
      <c r="F1406" s="20">
        <f t="shared" si="21"/>
        <v>46113</v>
      </c>
    </row>
    <row r="1407" spans="1:6" ht="20.25">
      <c r="A1407" s="49"/>
      <c r="B1407" s="47" t="s">
        <v>916</v>
      </c>
      <c r="C1407" s="47">
        <v>162</v>
      </c>
      <c r="D1407" s="47" t="s">
        <v>62</v>
      </c>
      <c r="E1407" s="12">
        <v>46124</v>
      </c>
      <c r="F1407" s="20">
        <f t="shared" si="21"/>
        <v>46113</v>
      </c>
    </row>
    <row r="1408" spans="1:6" ht="20.25">
      <c r="A1408" s="49"/>
      <c r="B1408" s="47" t="s">
        <v>1349</v>
      </c>
      <c r="C1408" s="47">
        <v>25</v>
      </c>
      <c r="D1408" s="47" t="s">
        <v>160</v>
      </c>
      <c r="E1408" s="12">
        <v>46124</v>
      </c>
      <c r="F1408" s="20">
        <f t="shared" si="21"/>
        <v>46113</v>
      </c>
    </row>
    <row r="1409" spans="1:6" ht="20.25">
      <c r="A1409" s="49"/>
      <c r="B1409" s="47" t="s">
        <v>1349</v>
      </c>
      <c r="C1409" s="47">
        <v>57</v>
      </c>
      <c r="D1409" s="47" t="s">
        <v>160</v>
      </c>
      <c r="E1409" s="12">
        <v>46124</v>
      </c>
      <c r="F1409" s="20">
        <f t="shared" si="21"/>
        <v>46113</v>
      </c>
    </row>
    <row r="1410" spans="1:6" ht="20.25">
      <c r="A1410" s="49"/>
      <c r="B1410" s="47" t="s">
        <v>760</v>
      </c>
      <c r="C1410" s="47">
        <v>47</v>
      </c>
      <c r="D1410" s="47" t="s">
        <v>114</v>
      </c>
      <c r="E1410" s="12">
        <v>46124</v>
      </c>
      <c r="F1410" s="20">
        <f t="shared" ref="F1410:F1473" si="22">EOMONTH(E1410,-1)+1</f>
        <v>46113</v>
      </c>
    </row>
    <row r="1411" spans="1:6" ht="20.25">
      <c r="A1411" s="49"/>
      <c r="B1411" s="47" t="s">
        <v>716</v>
      </c>
      <c r="C1411" s="47">
        <v>118</v>
      </c>
      <c r="D1411" s="47" t="s">
        <v>55</v>
      </c>
      <c r="E1411" s="12">
        <v>46124</v>
      </c>
      <c r="F1411" s="20">
        <f t="shared" si="22"/>
        <v>46113</v>
      </c>
    </row>
    <row r="1412" spans="1:6" ht="20.25">
      <c r="A1412" s="49"/>
      <c r="B1412" s="47" t="s">
        <v>682</v>
      </c>
      <c r="C1412" s="47">
        <v>66</v>
      </c>
      <c r="D1412" s="47" t="s">
        <v>133</v>
      </c>
      <c r="E1412" s="12">
        <v>46124</v>
      </c>
      <c r="F1412" s="20">
        <f t="shared" si="22"/>
        <v>46113</v>
      </c>
    </row>
    <row r="1413" spans="1:6" ht="20.25">
      <c r="A1413" s="49"/>
      <c r="B1413" s="47" t="s">
        <v>682</v>
      </c>
      <c r="C1413" s="47">
        <v>106</v>
      </c>
      <c r="D1413" s="47" t="s">
        <v>133</v>
      </c>
      <c r="E1413" s="12">
        <v>46124</v>
      </c>
      <c r="F1413" s="20">
        <f t="shared" si="22"/>
        <v>46113</v>
      </c>
    </row>
    <row r="1414" spans="1:6" ht="20.25">
      <c r="A1414" s="49"/>
      <c r="B1414" s="47" t="s">
        <v>682</v>
      </c>
      <c r="C1414" s="47">
        <v>300</v>
      </c>
      <c r="D1414" s="47" t="s">
        <v>133</v>
      </c>
      <c r="E1414" s="12">
        <v>46124</v>
      </c>
      <c r="F1414" s="20">
        <f t="shared" si="22"/>
        <v>46113</v>
      </c>
    </row>
    <row r="1415" spans="1:6" ht="20.25">
      <c r="A1415" s="49"/>
      <c r="B1415" s="47" t="s">
        <v>876</v>
      </c>
      <c r="C1415" s="47">
        <v>35</v>
      </c>
      <c r="D1415" s="47" t="s">
        <v>66</v>
      </c>
      <c r="E1415" s="12">
        <v>46124</v>
      </c>
      <c r="F1415" s="20">
        <f t="shared" si="22"/>
        <v>46113</v>
      </c>
    </row>
    <row r="1416" spans="1:6" ht="20.25">
      <c r="A1416" s="49"/>
      <c r="B1416" s="47" t="s">
        <v>1057</v>
      </c>
      <c r="C1416" s="47">
        <v>40</v>
      </c>
      <c r="D1416" s="47" t="s">
        <v>66</v>
      </c>
      <c r="E1416" s="12">
        <v>46124</v>
      </c>
      <c r="F1416" s="20">
        <f t="shared" si="22"/>
        <v>46113</v>
      </c>
    </row>
    <row r="1417" spans="1:6" ht="20.25">
      <c r="A1417" s="49"/>
      <c r="B1417" s="47" t="s">
        <v>1064</v>
      </c>
      <c r="C1417" s="47">
        <v>52</v>
      </c>
      <c r="D1417" s="47" t="s">
        <v>114</v>
      </c>
      <c r="E1417" s="12">
        <v>46124</v>
      </c>
      <c r="F1417" s="20">
        <f t="shared" si="22"/>
        <v>46113</v>
      </c>
    </row>
    <row r="1418" spans="1:6" ht="20.25">
      <c r="A1418" s="49"/>
      <c r="B1418" s="47" t="s">
        <v>723</v>
      </c>
      <c r="C1418" s="47">
        <v>87</v>
      </c>
      <c r="D1418" s="47" t="s">
        <v>97</v>
      </c>
      <c r="E1418" s="12">
        <v>46124</v>
      </c>
      <c r="F1418" s="20">
        <f t="shared" si="22"/>
        <v>46113</v>
      </c>
    </row>
    <row r="1419" spans="1:6" ht="20.25">
      <c r="A1419" s="49"/>
      <c r="B1419" s="47" t="s">
        <v>846</v>
      </c>
      <c r="C1419" s="47">
        <v>183</v>
      </c>
      <c r="D1419" s="47" t="s">
        <v>97</v>
      </c>
      <c r="E1419" s="12">
        <v>46124</v>
      </c>
      <c r="F1419" s="20">
        <f t="shared" si="22"/>
        <v>46113</v>
      </c>
    </row>
    <row r="1420" spans="1:6" ht="20.25">
      <c r="A1420" s="49"/>
      <c r="B1420" s="47" t="s">
        <v>846</v>
      </c>
      <c r="C1420" s="47">
        <v>43</v>
      </c>
      <c r="D1420" s="47" t="s">
        <v>97</v>
      </c>
      <c r="E1420" s="12">
        <v>46124</v>
      </c>
      <c r="F1420" s="20">
        <f t="shared" si="22"/>
        <v>46113</v>
      </c>
    </row>
    <row r="1421" spans="1:6" ht="20.25">
      <c r="A1421" s="49"/>
      <c r="B1421" s="47" t="s">
        <v>1257</v>
      </c>
      <c r="C1421" s="47">
        <v>219</v>
      </c>
      <c r="D1421" s="47" t="s">
        <v>97</v>
      </c>
      <c r="E1421" s="12">
        <v>46124</v>
      </c>
      <c r="F1421" s="20">
        <f t="shared" si="22"/>
        <v>46113</v>
      </c>
    </row>
    <row r="1422" spans="1:6" ht="20.25">
      <c r="A1422" s="49"/>
      <c r="B1422" s="47" t="s">
        <v>1064</v>
      </c>
      <c r="C1422" s="47">
        <v>166</v>
      </c>
      <c r="D1422" s="47" t="s">
        <v>97</v>
      </c>
      <c r="E1422" s="12">
        <v>46124</v>
      </c>
      <c r="F1422" s="20">
        <f t="shared" si="22"/>
        <v>46113</v>
      </c>
    </row>
    <row r="1423" spans="1:6" ht="20.25">
      <c r="A1423" s="49"/>
      <c r="B1423" s="47" t="s">
        <v>1604</v>
      </c>
      <c r="C1423" s="47">
        <v>188</v>
      </c>
      <c r="D1423" s="47" t="s">
        <v>133</v>
      </c>
      <c r="E1423" s="12">
        <v>46124</v>
      </c>
      <c r="F1423" s="20">
        <f t="shared" si="22"/>
        <v>46113</v>
      </c>
    </row>
    <row r="1424" spans="1:6" ht="20.25">
      <c r="A1424" s="49"/>
      <c r="B1424" s="47" t="s">
        <v>900</v>
      </c>
      <c r="C1424" s="47">
        <v>53</v>
      </c>
      <c r="D1424" s="47" t="s">
        <v>114</v>
      </c>
      <c r="E1424" s="12">
        <v>46124</v>
      </c>
      <c r="F1424" s="20">
        <f t="shared" si="22"/>
        <v>46113</v>
      </c>
    </row>
    <row r="1425" spans="1:6" ht="20.25">
      <c r="A1425" s="49"/>
      <c r="B1425" s="47" t="s">
        <v>900</v>
      </c>
      <c r="C1425" s="47">
        <v>70</v>
      </c>
      <c r="D1425" s="47" t="s">
        <v>114</v>
      </c>
      <c r="E1425" s="12">
        <v>46124</v>
      </c>
      <c r="F1425" s="20">
        <f t="shared" si="22"/>
        <v>46113</v>
      </c>
    </row>
    <row r="1426" spans="1:6" ht="20.25">
      <c r="A1426" s="49"/>
      <c r="B1426" s="47" t="s">
        <v>1006</v>
      </c>
      <c r="C1426" s="47">
        <v>2</v>
      </c>
      <c r="D1426" s="47" t="s">
        <v>97</v>
      </c>
      <c r="E1426" s="12">
        <v>46124</v>
      </c>
      <c r="F1426" s="20">
        <f t="shared" si="22"/>
        <v>46113</v>
      </c>
    </row>
    <row r="1427" spans="1:6" ht="20.25">
      <c r="A1427" s="49"/>
      <c r="B1427" s="47" t="s">
        <v>713</v>
      </c>
      <c r="C1427" s="47">
        <v>28</v>
      </c>
      <c r="D1427" s="47" t="s">
        <v>66</v>
      </c>
      <c r="E1427" s="12">
        <v>46124</v>
      </c>
      <c r="F1427" s="20">
        <f t="shared" si="22"/>
        <v>46113</v>
      </c>
    </row>
    <row r="1428" spans="1:6" ht="20.25">
      <c r="A1428" s="49"/>
      <c r="B1428" s="47" t="s">
        <v>1109</v>
      </c>
      <c r="C1428" s="47">
        <v>126</v>
      </c>
      <c r="D1428" s="47" t="s">
        <v>97</v>
      </c>
      <c r="E1428" s="12">
        <v>46124</v>
      </c>
      <c r="F1428" s="20">
        <f t="shared" si="22"/>
        <v>46113</v>
      </c>
    </row>
    <row r="1429" spans="1:6" ht="20.25">
      <c r="A1429" s="49"/>
      <c r="B1429" s="47" t="s">
        <v>664</v>
      </c>
      <c r="C1429" s="47">
        <v>47</v>
      </c>
      <c r="D1429" s="47" t="s">
        <v>97</v>
      </c>
      <c r="E1429" s="12">
        <v>46124</v>
      </c>
      <c r="F1429" s="20">
        <f t="shared" si="22"/>
        <v>46113</v>
      </c>
    </row>
    <row r="1430" spans="1:6" ht="20.25">
      <c r="A1430" s="49"/>
      <c r="B1430" s="47" t="s">
        <v>664</v>
      </c>
      <c r="C1430" s="47">
        <v>78</v>
      </c>
      <c r="D1430" s="47" t="s">
        <v>97</v>
      </c>
      <c r="E1430" s="12">
        <v>46124</v>
      </c>
      <c r="F1430" s="20">
        <f t="shared" si="22"/>
        <v>46113</v>
      </c>
    </row>
    <row r="1431" spans="1:6" ht="20.25">
      <c r="A1431" s="49"/>
      <c r="B1431" s="47" t="s">
        <v>664</v>
      </c>
      <c r="C1431" s="47">
        <v>5</v>
      </c>
      <c r="D1431" s="47" t="s">
        <v>97</v>
      </c>
      <c r="E1431" s="12">
        <v>46124</v>
      </c>
      <c r="F1431" s="20">
        <f t="shared" si="22"/>
        <v>46113</v>
      </c>
    </row>
    <row r="1432" spans="1:6" ht="20.25">
      <c r="A1432" s="49"/>
      <c r="B1432" s="47" t="s">
        <v>665</v>
      </c>
      <c r="C1432" s="47">
        <v>89</v>
      </c>
      <c r="D1432" s="47" t="s">
        <v>97</v>
      </c>
      <c r="E1432" s="12">
        <v>46124</v>
      </c>
      <c r="F1432" s="20">
        <f t="shared" si="22"/>
        <v>46113</v>
      </c>
    </row>
    <row r="1433" spans="1:6" ht="20.25">
      <c r="A1433" s="49"/>
      <c r="B1433" s="47" t="s">
        <v>665</v>
      </c>
      <c r="C1433" s="47">
        <v>38</v>
      </c>
      <c r="D1433" s="47" t="s">
        <v>97</v>
      </c>
      <c r="E1433" s="12">
        <v>46124</v>
      </c>
      <c r="F1433" s="20">
        <f t="shared" si="22"/>
        <v>46113</v>
      </c>
    </row>
    <row r="1434" spans="1:6" ht="20.25">
      <c r="A1434" s="49"/>
      <c r="B1434" s="47" t="s">
        <v>1605</v>
      </c>
      <c r="C1434" s="47">
        <v>196</v>
      </c>
      <c r="D1434" s="47" t="s">
        <v>133</v>
      </c>
      <c r="E1434" s="12">
        <v>46124</v>
      </c>
      <c r="F1434" s="20">
        <f t="shared" si="22"/>
        <v>46113</v>
      </c>
    </row>
    <row r="1435" spans="1:6" ht="20.25">
      <c r="A1435" s="49"/>
      <c r="B1435" s="47" t="s">
        <v>1606</v>
      </c>
      <c r="C1435" s="47">
        <v>132</v>
      </c>
      <c r="D1435" s="47" t="s">
        <v>133</v>
      </c>
      <c r="E1435" s="12">
        <v>46124</v>
      </c>
      <c r="F1435" s="20">
        <f t="shared" si="22"/>
        <v>46113</v>
      </c>
    </row>
    <row r="1436" spans="1:6" ht="20.25">
      <c r="A1436" s="49"/>
      <c r="B1436" s="47" t="s">
        <v>1011</v>
      </c>
      <c r="C1436" s="47">
        <v>153</v>
      </c>
      <c r="D1436" s="47" t="s">
        <v>66</v>
      </c>
      <c r="E1436" s="12">
        <v>46124</v>
      </c>
      <c r="F1436" s="20">
        <f t="shared" si="22"/>
        <v>46113</v>
      </c>
    </row>
    <row r="1437" spans="1:6" ht="20.25">
      <c r="A1437" s="49"/>
      <c r="B1437" s="47" t="s">
        <v>1130</v>
      </c>
      <c r="C1437" s="47">
        <v>62</v>
      </c>
      <c r="D1437" s="47" t="s">
        <v>72</v>
      </c>
      <c r="E1437" s="12">
        <v>46124</v>
      </c>
      <c r="F1437" s="20">
        <f t="shared" si="22"/>
        <v>46113</v>
      </c>
    </row>
    <row r="1438" spans="1:6" ht="20.25">
      <c r="A1438" s="49"/>
      <c r="B1438" s="47" t="s">
        <v>684</v>
      </c>
      <c r="C1438" s="47">
        <v>321</v>
      </c>
      <c r="D1438" s="47" t="s">
        <v>72</v>
      </c>
      <c r="E1438" s="12">
        <v>46127</v>
      </c>
      <c r="F1438" s="20">
        <f t="shared" si="22"/>
        <v>46113</v>
      </c>
    </row>
    <row r="1439" spans="1:6" ht="20.25">
      <c r="A1439" s="49"/>
      <c r="B1439" s="47" t="s">
        <v>1115</v>
      </c>
      <c r="C1439" s="47">
        <v>227</v>
      </c>
      <c r="D1439" s="47" t="s">
        <v>72</v>
      </c>
      <c r="E1439" s="12">
        <v>46127</v>
      </c>
      <c r="F1439" s="20">
        <f t="shared" si="22"/>
        <v>46113</v>
      </c>
    </row>
    <row r="1440" spans="1:6" ht="20.25">
      <c r="A1440" s="49"/>
      <c r="B1440" s="47" t="s">
        <v>861</v>
      </c>
      <c r="C1440" s="47">
        <v>51</v>
      </c>
      <c r="D1440" s="47" t="s">
        <v>72</v>
      </c>
      <c r="E1440" s="12">
        <v>46127</v>
      </c>
      <c r="F1440" s="20">
        <f t="shared" si="22"/>
        <v>46113</v>
      </c>
    </row>
    <row r="1441" spans="1:6" ht="20.25">
      <c r="A1441" s="49"/>
      <c r="B1441" s="47" t="s">
        <v>991</v>
      </c>
      <c r="C1441" s="47">
        <v>56</v>
      </c>
      <c r="D1441" s="47" t="s">
        <v>72</v>
      </c>
      <c r="E1441" s="12">
        <v>46127</v>
      </c>
      <c r="F1441" s="20">
        <f t="shared" si="22"/>
        <v>46113</v>
      </c>
    </row>
    <row r="1442" spans="1:6" ht="20.25">
      <c r="A1442" s="49"/>
      <c r="B1442" s="47" t="s">
        <v>894</v>
      </c>
      <c r="C1442" s="47">
        <v>202</v>
      </c>
      <c r="D1442" s="47" t="s">
        <v>72</v>
      </c>
      <c r="E1442" s="12">
        <v>46127</v>
      </c>
      <c r="F1442" s="20">
        <f t="shared" si="22"/>
        <v>46113</v>
      </c>
    </row>
    <row r="1443" spans="1:6" ht="20.25">
      <c r="A1443" s="49"/>
      <c r="B1443" s="47" t="s">
        <v>978</v>
      </c>
      <c r="C1443" s="47">
        <v>6</v>
      </c>
      <c r="D1443" s="47" t="s">
        <v>72</v>
      </c>
      <c r="E1443" s="12">
        <v>46127</v>
      </c>
      <c r="F1443" s="20">
        <f t="shared" si="22"/>
        <v>46113</v>
      </c>
    </row>
    <row r="1444" spans="1:6" ht="20.25">
      <c r="A1444" s="49"/>
      <c r="B1444" s="47" t="s">
        <v>978</v>
      </c>
      <c r="C1444" s="47">
        <v>68</v>
      </c>
      <c r="D1444" s="47" t="s">
        <v>72</v>
      </c>
      <c r="E1444" s="12">
        <v>46127</v>
      </c>
      <c r="F1444" s="20">
        <f t="shared" si="22"/>
        <v>46113</v>
      </c>
    </row>
    <row r="1445" spans="1:6" ht="20.25">
      <c r="A1445" s="49"/>
      <c r="B1445" s="47" t="s">
        <v>709</v>
      </c>
      <c r="C1445" s="47">
        <v>227</v>
      </c>
      <c r="D1445" s="47" t="s">
        <v>72</v>
      </c>
      <c r="E1445" s="12">
        <v>46127</v>
      </c>
      <c r="F1445" s="20">
        <f t="shared" si="22"/>
        <v>46113</v>
      </c>
    </row>
    <row r="1446" spans="1:6" ht="20.25">
      <c r="A1446" s="49"/>
      <c r="B1446" s="47" t="s">
        <v>683</v>
      </c>
      <c r="C1446" s="47">
        <v>141</v>
      </c>
      <c r="D1446" s="47" t="s">
        <v>72</v>
      </c>
      <c r="E1446" s="12">
        <v>46127</v>
      </c>
      <c r="F1446" s="20">
        <f t="shared" si="22"/>
        <v>46113</v>
      </c>
    </row>
    <row r="1447" spans="1:6" ht="20.25">
      <c r="A1447" s="49"/>
      <c r="B1447" s="47" t="s">
        <v>840</v>
      </c>
      <c r="C1447" s="47">
        <v>87</v>
      </c>
      <c r="D1447" s="47" t="s">
        <v>72</v>
      </c>
      <c r="E1447" s="12">
        <v>46127</v>
      </c>
      <c r="F1447" s="20">
        <f t="shared" si="22"/>
        <v>46113</v>
      </c>
    </row>
    <row r="1448" spans="1:6" ht="20.25">
      <c r="A1448" s="49"/>
      <c r="B1448" s="47" t="s">
        <v>780</v>
      </c>
      <c r="C1448" s="47">
        <v>148</v>
      </c>
      <c r="D1448" s="47" t="s">
        <v>72</v>
      </c>
      <c r="E1448" s="12">
        <v>46127</v>
      </c>
      <c r="F1448" s="20">
        <f t="shared" si="22"/>
        <v>46113</v>
      </c>
    </row>
    <row r="1449" spans="1:6" ht="20.25">
      <c r="A1449" s="49"/>
      <c r="B1449" s="47" t="s">
        <v>729</v>
      </c>
      <c r="C1449" s="47">
        <v>48</v>
      </c>
      <c r="D1449" s="47" t="s">
        <v>72</v>
      </c>
      <c r="E1449" s="12">
        <v>46127</v>
      </c>
      <c r="F1449" s="20">
        <f t="shared" si="22"/>
        <v>46113</v>
      </c>
    </row>
    <row r="1450" spans="1:6" ht="20.25">
      <c r="A1450" s="49"/>
      <c r="B1450" s="47" t="s">
        <v>864</v>
      </c>
      <c r="C1450" s="47">
        <v>29</v>
      </c>
      <c r="D1450" s="47" t="s">
        <v>72</v>
      </c>
      <c r="E1450" s="12">
        <v>46127</v>
      </c>
      <c r="F1450" s="20">
        <f t="shared" si="22"/>
        <v>46113</v>
      </c>
    </row>
    <row r="1451" spans="1:6" ht="20.25">
      <c r="A1451" s="49"/>
      <c r="B1451" s="47" t="s">
        <v>1070</v>
      </c>
      <c r="C1451" s="47">
        <v>268</v>
      </c>
      <c r="D1451" s="47" t="s">
        <v>95</v>
      </c>
      <c r="E1451" s="12">
        <v>46127</v>
      </c>
      <c r="F1451" s="20">
        <f t="shared" si="22"/>
        <v>46113</v>
      </c>
    </row>
    <row r="1452" spans="1:6" ht="20.25">
      <c r="A1452" s="49"/>
      <c r="B1452" s="47" t="s">
        <v>1365</v>
      </c>
      <c r="C1452" s="47">
        <v>36</v>
      </c>
      <c r="D1452" s="47" t="s">
        <v>95</v>
      </c>
      <c r="E1452" s="12">
        <v>46127</v>
      </c>
      <c r="F1452" s="20">
        <f t="shared" si="22"/>
        <v>46113</v>
      </c>
    </row>
    <row r="1453" spans="1:6" ht="20.25">
      <c r="A1453" s="49"/>
      <c r="B1453" s="47" t="s">
        <v>734</v>
      </c>
      <c r="C1453" s="47">
        <v>4</v>
      </c>
      <c r="D1453" s="47" t="s">
        <v>95</v>
      </c>
      <c r="E1453" s="12">
        <v>46127</v>
      </c>
      <c r="F1453" s="20">
        <f t="shared" si="22"/>
        <v>46113</v>
      </c>
    </row>
    <row r="1454" spans="1:6" ht="20.25">
      <c r="A1454" s="49"/>
      <c r="B1454" s="47" t="s">
        <v>697</v>
      </c>
      <c r="C1454" s="47">
        <v>286</v>
      </c>
      <c r="D1454" s="47" t="s">
        <v>95</v>
      </c>
      <c r="E1454" s="12">
        <v>46127</v>
      </c>
      <c r="F1454" s="20">
        <f t="shared" si="22"/>
        <v>46113</v>
      </c>
    </row>
    <row r="1455" spans="1:6" ht="20.25">
      <c r="A1455" s="49"/>
      <c r="B1455" s="47" t="s">
        <v>989</v>
      </c>
      <c r="C1455" s="47">
        <v>11</v>
      </c>
      <c r="D1455" s="47" t="s">
        <v>160</v>
      </c>
      <c r="E1455" s="12">
        <v>46127</v>
      </c>
      <c r="F1455" s="20">
        <f t="shared" si="22"/>
        <v>46113</v>
      </c>
    </row>
    <row r="1456" spans="1:6" ht="20.25">
      <c r="A1456" s="49"/>
      <c r="B1456" s="47" t="s">
        <v>990</v>
      </c>
      <c r="C1456" s="47">
        <v>74</v>
      </c>
      <c r="D1456" s="47" t="s">
        <v>160</v>
      </c>
      <c r="E1456" s="12">
        <v>46127</v>
      </c>
      <c r="F1456" s="20">
        <f t="shared" si="22"/>
        <v>46113</v>
      </c>
    </row>
    <row r="1457" spans="1:6" ht="20.25">
      <c r="A1457" s="49"/>
      <c r="B1457" s="47" t="s">
        <v>720</v>
      </c>
      <c r="C1457" s="47">
        <v>19</v>
      </c>
      <c r="D1457" s="47" t="s">
        <v>160</v>
      </c>
      <c r="E1457" s="12">
        <v>46127</v>
      </c>
      <c r="F1457" s="20">
        <f t="shared" si="22"/>
        <v>46113</v>
      </c>
    </row>
    <row r="1458" spans="1:6" ht="20.25">
      <c r="A1458" s="49"/>
      <c r="B1458" s="47" t="s">
        <v>676</v>
      </c>
      <c r="C1458" s="47">
        <v>267</v>
      </c>
      <c r="D1458" s="47" t="s">
        <v>55</v>
      </c>
      <c r="E1458" s="12">
        <v>46127</v>
      </c>
      <c r="F1458" s="20">
        <f t="shared" si="22"/>
        <v>46113</v>
      </c>
    </row>
    <row r="1459" spans="1:6" ht="20.25">
      <c r="A1459" s="49"/>
      <c r="B1459" s="47" t="s">
        <v>866</v>
      </c>
      <c r="C1459" s="47">
        <v>125</v>
      </c>
      <c r="D1459" s="47" t="s">
        <v>63</v>
      </c>
      <c r="E1459" s="12">
        <v>46127</v>
      </c>
      <c r="F1459" s="20">
        <f t="shared" si="22"/>
        <v>46113</v>
      </c>
    </row>
    <row r="1460" spans="1:6" ht="20.25">
      <c r="A1460" s="49"/>
      <c r="B1460" s="47" t="s">
        <v>683</v>
      </c>
      <c r="C1460" s="47">
        <v>75</v>
      </c>
      <c r="D1460" s="47" t="s">
        <v>63</v>
      </c>
      <c r="E1460" s="12">
        <v>46127</v>
      </c>
      <c r="F1460" s="20">
        <f t="shared" si="22"/>
        <v>46113</v>
      </c>
    </row>
    <row r="1461" spans="1:6" ht="20.25">
      <c r="A1461" s="49"/>
      <c r="B1461" s="47" t="s">
        <v>859</v>
      </c>
      <c r="C1461" s="47">
        <v>77</v>
      </c>
      <c r="D1461" s="47" t="s">
        <v>63</v>
      </c>
      <c r="E1461" s="12">
        <v>46127</v>
      </c>
      <c r="F1461" s="20">
        <f t="shared" si="22"/>
        <v>46113</v>
      </c>
    </row>
    <row r="1462" spans="1:6" ht="20.25">
      <c r="A1462" s="49"/>
      <c r="B1462" s="47" t="s">
        <v>866</v>
      </c>
      <c r="C1462" s="47">
        <v>126</v>
      </c>
      <c r="D1462" s="47" t="s">
        <v>63</v>
      </c>
      <c r="E1462" s="12">
        <v>46127</v>
      </c>
      <c r="F1462" s="20">
        <f t="shared" si="22"/>
        <v>46113</v>
      </c>
    </row>
    <row r="1463" spans="1:6" ht="20.25">
      <c r="A1463" s="49"/>
      <c r="B1463" s="47" t="s">
        <v>1372</v>
      </c>
      <c r="C1463" s="47">
        <v>47</v>
      </c>
      <c r="D1463" s="47" t="s">
        <v>63</v>
      </c>
      <c r="E1463" s="12">
        <v>46127</v>
      </c>
      <c r="F1463" s="20">
        <f t="shared" si="22"/>
        <v>46113</v>
      </c>
    </row>
    <row r="1464" spans="1:6" ht="20.25">
      <c r="A1464" s="49"/>
      <c r="B1464" s="47" t="s">
        <v>866</v>
      </c>
      <c r="C1464" s="47">
        <v>38</v>
      </c>
      <c r="D1464" s="47" t="s">
        <v>63</v>
      </c>
      <c r="E1464" s="12">
        <v>46127</v>
      </c>
      <c r="F1464" s="20">
        <f t="shared" si="22"/>
        <v>46113</v>
      </c>
    </row>
    <row r="1465" spans="1:6" ht="20.25">
      <c r="A1465" s="49"/>
      <c r="B1465" s="47" t="s">
        <v>822</v>
      </c>
      <c r="C1465" s="47">
        <v>41</v>
      </c>
      <c r="D1465" s="47" t="s">
        <v>63</v>
      </c>
      <c r="E1465" s="12">
        <v>46127</v>
      </c>
      <c r="F1465" s="20">
        <f t="shared" si="22"/>
        <v>46113</v>
      </c>
    </row>
    <row r="1466" spans="1:6" ht="20.25">
      <c r="A1466" s="49"/>
      <c r="B1466" s="47" t="s">
        <v>942</v>
      </c>
      <c r="C1466" s="47">
        <v>1031</v>
      </c>
      <c r="D1466" s="47" t="s">
        <v>63</v>
      </c>
      <c r="E1466" s="12">
        <v>46127</v>
      </c>
      <c r="F1466" s="20">
        <f t="shared" si="22"/>
        <v>46113</v>
      </c>
    </row>
    <row r="1467" spans="1:6" ht="20.25">
      <c r="A1467" s="49"/>
      <c r="B1467" s="47" t="s">
        <v>808</v>
      </c>
      <c r="C1467" s="47">
        <v>111</v>
      </c>
      <c r="D1467" s="47" t="s">
        <v>63</v>
      </c>
      <c r="E1467" s="12">
        <v>46127</v>
      </c>
      <c r="F1467" s="20">
        <f t="shared" si="22"/>
        <v>46113</v>
      </c>
    </row>
    <row r="1468" spans="1:6" ht="20.25">
      <c r="A1468" s="49"/>
      <c r="B1468" s="47" t="s">
        <v>717</v>
      </c>
      <c r="C1468" s="47">
        <v>198</v>
      </c>
      <c r="D1468" s="47" t="s">
        <v>63</v>
      </c>
      <c r="E1468" s="12">
        <v>46127</v>
      </c>
      <c r="F1468" s="20">
        <f t="shared" si="22"/>
        <v>46113</v>
      </c>
    </row>
    <row r="1469" spans="1:6" ht="20.25">
      <c r="A1469" s="49"/>
      <c r="B1469" s="47" t="s">
        <v>714</v>
      </c>
      <c r="C1469" s="47">
        <v>222</v>
      </c>
      <c r="D1469" s="47" t="s">
        <v>66</v>
      </c>
      <c r="E1469" s="12">
        <v>46127</v>
      </c>
      <c r="F1469" s="20">
        <f t="shared" si="22"/>
        <v>46113</v>
      </c>
    </row>
    <row r="1470" spans="1:6" ht="20.25">
      <c r="A1470" s="49"/>
      <c r="B1470" s="47" t="s">
        <v>714</v>
      </c>
      <c r="C1470" s="47">
        <v>1</v>
      </c>
      <c r="D1470" s="47" t="s">
        <v>66</v>
      </c>
      <c r="E1470" s="12">
        <v>46127</v>
      </c>
      <c r="F1470" s="20">
        <f t="shared" si="22"/>
        <v>46113</v>
      </c>
    </row>
    <row r="1471" spans="1:6" ht="20.25">
      <c r="A1471" s="49"/>
      <c r="B1471" s="47" t="s">
        <v>907</v>
      </c>
      <c r="C1471" s="47">
        <v>26</v>
      </c>
      <c r="D1471" s="47" t="s">
        <v>66</v>
      </c>
      <c r="E1471" s="12">
        <v>46127</v>
      </c>
      <c r="F1471" s="20">
        <f t="shared" si="22"/>
        <v>46113</v>
      </c>
    </row>
    <row r="1472" spans="1:6" ht="20.25">
      <c r="A1472" s="49"/>
      <c r="B1472" s="47" t="s">
        <v>1011</v>
      </c>
      <c r="C1472" s="47">
        <v>45</v>
      </c>
      <c r="D1472" s="47" t="s">
        <v>66</v>
      </c>
      <c r="E1472" s="12">
        <v>46127</v>
      </c>
      <c r="F1472" s="20">
        <f t="shared" si="22"/>
        <v>46113</v>
      </c>
    </row>
    <row r="1473" spans="1:6" ht="20.25">
      <c r="A1473" s="49"/>
      <c r="B1473" s="47" t="s">
        <v>936</v>
      </c>
      <c r="C1473" s="47">
        <v>547</v>
      </c>
      <c r="D1473" s="47" t="s">
        <v>66</v>
      </c>
      <c r="E1473" s="12">
        <v>46127</v>
      </c>
      <c r="F1473" s="20">
        <f t="shared" si="22"/>
        <v>46113</v>
      </c>
    </row>
    <row r="1474" spans="1:6" ht="20.25">
      <c r="A1474" s="49"/>
      <c r="B1474" s="47" t="s">
        <v>607</v>
      </c>
      <c r="C1474" s="47">
        <v>54</v>
      </c>
      <c r="D1474" s="47" t="s">
        <v>66</v>
      </c>
      <c r="E1474" s="12">
        <v>46127</v>
      </c>
      <c r="F1474" s="20">
        <f t="shared" ref="F1474:F1537" si="23">EOMONTH(E1474,-1)+1</f>
        <v>46113</v>
      </c>
    </row>
    <row r="1475" spans="1:6" ht="20.25">
      <c r="A1475" s="49"/>
      <c r="B1475" s="47" t="s">
        <v>1057</v>
      </c>
      <c r="C1475" s="47">
        <v>19</v>
      </c>
      <c r="D1475" s="47" t="s">
        <v>66</v>
      </c>
      <c r="E1475" s="12">
        <v>46127</v>
      </c>
      <c r="F1475" s="20">
        <f t="shared" si="23"/>
        <v>46113</v>
      </c>
    </row>
    <row r="1476" spans="1:6" ht="20.25">
      <c r="A1476" s="49"/>
      <c r="B1476" s="47" t="s">
        <v>757</v>
      </c>
      <c r="C1476" s="47">
        <v>43</v>
      </c>
      <c r="D1476" s="47" t="s">
        <v>66</v>
      </c>
      <c r="E1476" s="12">
        <v>46127</v>
      </c>
      <c r="F1476" s="20">
        <f t="shared" si="23"/>
        <v>46113</v>
      </c>
    </row>
    <row r="1477" spans="1:6" ht="20.25">
      <c r="A1477" s="49"/>
      <c r="B1477" s="47" t="s">
        <v>757</v>
      </c>
      <c r="C1477" s="47">
        <v>108</v>
      </c>
      <c r="D1477" s="47" t="s">
        <v>66</v>
      </c>
      <c r="E1477" s="12">
        <v>46127</v>
      </c>
      <c r="F1477" s="20">
        <f t="shared" si="23"/>
        <v>46113</v>
      </c>
    </row>
    <row r="1478" spans="1:6" ht="20.25">
      <c r="A1478" s="49"/>
      <c r="B1478" s="47" t="s">
        <v>676</v>
      </c>
      <c r="C1478" s="47">
        <v>130</v>
      </c>
      <c r="D1478" s="47" t="s">
        <v>55</v>
      </c>
      <c r="E1478" s="12">
        <v>46127</v>
      </c>
      <c r="F1478" s="20">
        <f t="shared" si="23"/>
        <v>46113</v>
      </c>
    </row>
    <row r="1479" spans="1:6" ht="20.25">
      <c r="A1479" s="49"/>
      <c r="B1479" s="47" t="s">
        <v>676</v>
      </c>
      <c r="C1479" s="47">
        <v>24</v>
      </c>
      <c r="D1479" s="47" t="s">
        <v>55</v>
      </c>
      <c r="E1479" s="12">
        <v>46127</v>
      </c>
      <c r="F1479" s="20">
        <f t="shared" si="23"/>
        <v>46113</v>
      </c>
    </row>
    <row r="1480" spans="1:6" ht="20.25">
      <c r="A1480" s="49"/>
      <c r="B1480" s="47" t="s">
        <v>675</v>
      </c>
      <c r="C1480" s="47">
        <v>364</v>
      </c>
      <c r="D1480" s="47" t="s">
        <v>55</v>
      </c>
      <c r="E1480" s="12">
        <v>46127</v>
      </c>
      <c r="F1480" s="20">
        <f t="shared" si="23"/>
        <v>46113</v>
      </c>
    </row>
    <row r="1481" spans="1:6" ht="20.25">
      <c r="A1481" s="49"/>
      <c r="B1481" s="47" t="s">
        <v>1032</v>
      </c>
      <c r="C1481" s="47">
        <v>380</v>
      </c>
      <c r="D1481" s="47" t="s">
        <v>95</v>
      </c>
      <c r="E1481" s="12">
        <v>46127</v>
      </c>
      <c r="F1481" s="20">
        <f t="shared" si="23"/>
        <v>46113</v>
      </c>
    </row>
    <row r="1482" spans="1:6" ht="20.25">
      <c r="A1482" s="49"/>
      <c r="B1482" s="47" t="s">
        <v>715</v>
      </c>
      <c r="C1482" s="47">
        <v>31</v>
      </c>
      <c r="D1482" s="47" t="s">
        <v>95</v>
      </c>
      <c r="E1482" s="12">
        <v>46127</v>
      </c>
      <c r="F1482" s="20">
        <f t="shared" si="23"/>
        <v>46113</v>
      </c>
    </row>
    <row r="1483" spans="1:6" ht="20.25">
      <c r="A1483" s="49"/>
      <c r="B1483" s="47" t="s">
        <v>611</v>
      </c>
      <c r="C1483" s="47">
        <v>88</v>
      </c>
      <c r="D1483" s="47" t="s">
        <v>95</v>
      </c>
      <c r="E1483" s="12">
        <v>46127</v>
      </c>
      <c r="F1483" s="20">
        <f t="shared" si="23"/>
        <v>46113</v>
      </c>
    </row>
    <row r="1484" spans="1:6" ht="20.25">
      <c r="A1484" s="49"/>
      <c r="B1484" s="47" t="s">
        <v>679</v>
      </c>
      <c r="C1484" s="47">
        <v>102</v>
      </c>
      <c r="D1484" s="47" t="s">
        <v>95</v>
      </c>
      <c r="E1484" s="12">
        <v>46127</v>
      </c>
      <c r="F1484" s="20">
        <f t="shared" si="23"/>
        <v>46113</v>
      </c>
    </row>
    <row r="1485" spans="1:6" ht="20.25">
      <c r="A1485" s="49"/>
      <c r="B1485" s="47" t="s">
        <v>1549</v>
      </c>
      <c r="C1485" s="47">
        <v>1</v>
      </c>
      <c r="D1485" s="47" t="s">
        <v>95</v>
      </c>
      <c r="E1485" s="12">
        <v>46127</v>
      </c>
      <c r="F1485" s="20">
        <f t="shared" si="23"/>
        <v>46113</v>
      </c>
    </row>
    <row r="1486" spans="1:6" ht="20.25">
      <c r="A1486" s="49"/>
      <c r="B1486" s="47" t="s">
        <v>1351</v>
      </c>
      <c r="C1486" s="47">
        <v>112</v>
      </c>
      <c r="D1486" s="47" t="s">
        <v>62</v>
      </c>
      <c r="E1486" s="12">
        <v>46127</v>
      </c>
      <c r="F1486" s="20">
        <f t="shared" si="23"/>
        <v>46113</v>
      </c>
    </row>
    <row r="1487" spans="1:6" ht="20.25">
      <c r="A1487" s="49"/>
      <c r="B1487" s="47" t="s">
        <v>796</v>
      </c>
      <c r="C1487" s="47">
        <v>69</v>
      </c>
      <c r="D1487" s="47" t="s">
        <v>62</v>
      </c>
      <c r="E1487" s="12">
        <v>46127</v>
      </c>
      <c r="F1487" s="20">
        <f t="shared" si="23"/>
        <v>46113</v>
      </c>
    </row>
    <row r="1488" spans="1:6" ht="20.25">
      <c r="A1488" s="49"/>
      <c r="B1488" s="47" t="s">
        <v>896</v>
      </c>
      <c r="C1488" s="47">
        <v>37</v>
      </c>
      <c r="D1488" s="47" t="s">
        <v>62</v>
      </c>
      <c r="E1488" s="12">
        <v>46127</v>
      </c>
      <c r="F1488" s="20">
        <f t="shared" si="23"/>
        <v>46113</v>
      </c>
    </row>
    <row r="1489" spans="1:6" ht="20.25">
      <c r="A1489" s="49"/>
      <c r="B1489" s="47" t="s">
        <v>895</v>
      </c>
      <c r="C1489" s="47">
        <v>80</v>
      </c>
      <c r="D1489" s="47" t="s">
        <v>62</v>
      </c>
      <c r="E1489" s="12">
        <v>46127</v>
      </c>
      <c r="F1489" s="20">
        <f t="shared" si="23"/>
        <v>46113</v>
      </c>
    </row>
    <row r="1490" spans="1:6" ht="20.25">
      <c r="A1490" s="49"/>
      <c r="B1490" s="47" t="s">
        <v>895</v>
      </c>
      <c r="C1490" s="47">
        <v>119</v>
      </c>
      <c r="D1490" s="47" t="s">
        <v>62</v>
      </c>
      <c r="E1490" s="12">
        <v>46127</v>
      </c>
      <c r="F1490" s="20">
        <f t="shared" si="23"/>
        <v>46113</v>
      </c>
    </row>
    <row r="1491" spans="1:6" ht="20.25">
      <c r="A1491" s="49"/>
      <c r="B1491" s="47" t="s">
        <v>711</v>
      </c>
      <c r="C1491" s="47">
        <v>60</v>
      </c>
      <c r="D1491" s="47" t="s">
        <v>62</v>
      </c>
      <c r="E1491" s="12">
        <v>46127</v>
      </c>
      <c r="F1491" s="20">
        <f t="shared" si="23"/>
        <v>46113</v>
      </c>
    </row>
    <row r="1492" spans="1:6" ht="20.25">
      <c r="A1492" s="49"/>
      <c r="B1492" s="47" t="s">
        <v>1022</v>
      </c>
      <c r="C1492" s="47">
        <v>48</v>
      </c>
      <c r="D1492" s="47" t="s">
        <v>62</v>
      </c>
      <c r="E1492" s="12">
        <v>46127</v>
      </c>
      <c r="F1492" s="20">
        <f t="shared" si="23"/>
        <v>46113</v>
      </c>
    </row>
    <row r="1493" spans="1:6" ht="20.25">
      <c r="A1493" s="49"/>
      <c r="B1493" s="47" t="s">
        <v>688</v>
      </c>
      <c r="C1493" s="47">
        <v>50</v>
      </c>
      <c r="D1493" s="47" t="s">
        <v>62</v>
      </c>
      <c r="E1493" s="12">
        <v>46127</v>
      </c>
      <c r="F1493" s="20">
        <f t="shared" si="23"/>
        <v>46113</v>
      </c>
    </row>
    <row r="1494" spans="1:6" ht="20.25">
      <c r="A1494" s="49"/>
      <c r="B1494" s="47" t="s">
        <v>630</v>
      </c>
      <c r="C1494" s="47">
        <v>13</v>
      </c>
      <c r="D1494" s="47" t="s">
        <v>62</v>
      </c>
      <c r="E1494" s="12">
        <v>46127</v>
      </c>
      <c r="F1494" s="20">
        <f t="shared" si="23"/>
        <v>46113</v>
      </c>
    </row>
    <row r="1495" spans="1:6" ht="20.25">
      <c r="A1495" s="49"/>
      <c r="B1495" s="47" t="s">
        <v>630</v>
      </c>
      <c r="C1495" s="47">
        <v>65</v>
      </c>
      <c r="D1495" s="47" t="s">
        <v>62</v>
      </c>
      <c r="E1495" s="12">
        <v>46127</v>
      </c>
      <c r="F1495" s="20">
        <f t="shared" si="23"/>
        <v>46113</v>
      </c>
    </row>
    <row r="1496" spans="1:6" ht="20.25">
      <c r="A1496" s="49"/>
      <c r="B1496" s="47" t="s">
        <v>799</v>
      </c>
      <c r="C1496" s="47">
        <v>67</v>
      </c>
      <c r="D1496" s="47" t="s">
        <v>62</v>
      </c>
      <c r="E1496" s="12">
        <v>46127</v>
      </c>
      <c r="F1496" s="20">
        <f t="shared" si="23"/>
        <v>46113</v>
      </c>
    </row>
    <row r="1497" spans="1:6" ht="20.25">
      <c r="A1497" s="49"/>
      <c r="B1497" s="47" t="s">
        <v>737</v>
      </c>
      <c r="C1497" s="47">
        <v>868</v>
      </c>
      <c r="D1497" s="47" t="s">
        <v>62</v>
      </c>
      <c r="E1497" s="12">
        <v>46127</v>
      </c>
      <c r="F1497" s="20">
        <f t="shared" si="23"/>
        <v>46113</v>
      </c>
    </row>
    <row r="1498" spans="1:6" ht="20.25">
      <c r="A1498" s="49"/>
      <c r="B1498" s="47" t="s">
        <v>1119</v>
      </c>
      <c r="C1498" s="47">
        <v>210</v>
      </c>
      <c r="D1498" s="47" t="s">
        <v>62</v>
      </c>
      <c r="E1498" s="12">
        <v>46127</v>
      </c>
      <c r="F1498" s="20">
        <f t="shared" si="23"/>
        <v>46113</v>
      </c>
    </row>
    <row r="1499" spans="1:6" ht="20.25">
      <c r="A1499" s="49"/>
      <c r="B1499" s="47" t="s">
        <v>940</v>
      </c>
      <c r="C1499" s="47">
        <v>64</v>
      </c>
      <c r="D1499" s="47" t="s">
        <v>62</v>
      </c>
      <c r="E1499" s="12">
        <v>46127</v>
      </c>
      <c r="F1499" s="20">
        <f t="shared" si="23"/>
        <v>46113</v>
      </c>
    </row>
    <row r="1500" spans="1:6" ht="20.25">
      <c r="A1500" s="49"/>
      <c r="B1500" s="47" t="s">
        <v>748</v>
      </c>
      <c r="C1500" s="47">
        <v>120</v>
      </c>
      <c r="D1500" s="47" t="s">
        <v>62</v>
      </c>
      <c r="E1500" s="12">
        <v>46127</v>
      </c>
      <c r="F1500" s="20">
        <f t="shared" si="23"/>
        <v>46113</v>
      </c>
    </row>
    <row r="1501" spans="1:6" ht="20.25">
      <c r="A1501" s="49"/>
      <c r="B1501" s="47" t="s">
        <v>803</v>
      </c>
      <c r="C1501" s="47">
        <v>233</v>
      </c>
      <c r="D1501" s="47" t="s">
        <v>55</v>
      </c>
      <c r="E1501" s="12">
        <v>46127</v>
      </c>
      <c r="F1501" s="20">
        <f t="shared" si="23"/>
        <v>46113</v>
      </c>
    </row>
    <row r="1502" spans="1:6" ht="20.25">
      <c r="A1502" s="49"/>
      <c r="B1502" s="47" t="s">
        <v>1441</v>
      </c>
      <c r="C1502" s="47">
        <v>54</v>
      </c>
      <c r="D1502" s="47" t="s">
        <v>55</v>
      </c>
      <c r="E1502" s="12">
        <v>46127</v>
      </c>
      <c r="F1502" s="20">
        <f t="shared" si="23"/>
        <v>46113</v>
      </c>
    </row>
    <row r="1503" spans="1:6" ht="20.25">
      <c r="A1503" s="49"/>
      <c r="B1503" s="47" t="s">
        <v>975</v>
      </c>
      <c r="C1503" s="47">
        <v>29</v>
      </c>
      <c r="D1503" s="47" t="s">
        <v>55</v>
      </c>
      <c r="E1503" s="12">
        <v>46127</v>
      </c>
      <c r="F1503" s="20">
        <f t="shared" si="23"/>
        <v>46113</v>
      </c>
    </row>
    <row r="1504" spans="1:6" ht="20.25">
      <c r="A1504" s="49"/>
      <c r="B1504" s="47" t="s">
        <v>698</v>
      </c>
      <c r="C1504" s="47">
        <v>452</v>
      </c>
      <c r="D1504" s="47" t="s">
        <v>46</v>
      </c>
      <c r="E1504" s="12">
        <v>46127</v>
      </c>
      <c r="F1504" s="20">
        <f t="shared" si="23"/>
        <v>46113</v>
      </c>
    </row>
    <row r="1505" spans="1:6" ht="20.25">
      <c r="A1505" s="49"/>
      <c r="B1505" s="47" t="s">
        <v>944</v>
      </c>
      <c r="C1505" s="47">
        <v>62</v>
      </c>
      <c r="D1505" s="47" t="s">
        <v>46</v>
      </c>
      <c r="E1505" s="12">
        <v>46127</v>
      </c>
      <c r="F1505" s="20">
        <f t="shared" si="23"/>
        <v>46113</v>
      </c>
    </row>
    <row r="1506" spans="1:6" ht="20.25">
      <c r="A1506" s="49"/>
      <c r="B1506" s="47" t="s">
        <v>757</v>
      </c>
      <c r="C1506" s="47">
        <v>190</v>
      </c>
      <c r="D1506" s="47" t="s">
        <v>46</v>
      </c>
      <c r="E1506" s="12">
        <v>46127</v>
      </c>
      <c r="F1506" s="20">
        <f t="shared" si="23"/>
        <v>46113</v>
      </c>
    </row>
    <row r="1507" spans="1:6" ht="20.25">
      <c r="A1507" s="49"/>
      <c r="B1507" s="47" t="s">
        <v>890</v>
      </c>
      <c r="C1507" s="47">
        <v>71</v>
      </c>
      <c r="D1507" s="47" t="s">
        <v>46</v>
      </c>
      <c r="E1507" s="12">
        <v>46127</v>
      </c>
      <c r="F1507" s="20">
        <f t="shared" si="23"/>
        <v>46113</v>
      </c>
    </row>
    <row r="1508" spans="1:6" ht="20.25">
      <c r="A1508" s="49"/>
      <c r="B1508" s="47" t="s">
        <v>802</v>
      </c>
      <c r="C1508" s="47">
        <v>109</v>
      </c>
      <c r="D1508" s="47" t="s">
        <v>46</v>
      </c>
      <c r="E1508" s="12">
        <v>46127</v>
      </c>
      <c r="F1508" s="20">
        <f t="shared" si="23"/>
        <v>46113</v>
      </c>
    </row>
    <row r="1509" spans="1:6" ht="20.25">
      <c r="A1509" s="49"/>
      <c r="B1509" s="47" t="s">
        <v>1056</v>
      </c>
      <c r="C1509" s="47">
        <v>104</v>
      </c>
      <c r="D1509" s="47" t="s">
        <v>46</v>
      </c>
      <c r="E1509" s="12">
        <v>46127</v>
      </c>
      <c r="F1509" s="20">
        <f t="shared" si="23"/>
        <v>46113</v>
      </c>
    </row>
    <row r="1510" spans="1:6" ht="20.25">
      <c r="A1510" s="49"/>
      <c r="B1510" s="47" t="s">
        <v>1350</v>
      </c>
      <c r="C1510" s="47">
        <v>32</v>
      </c>
      <c r="D1510" s="47" t="s">
        <v>46</v>
      </c>
      <c r="E1510" s="12">
        <v>46127</v>
      </c>
      <c r="F1510" s="20">
        <f t="shared" si="23"/>
        <v>46113</v>
      </c>
    </row>
    <row r="1511" spans="1:6" ht="20.25">
      <c r="A1511" s="49"/>
      <c r="B1511" s="47" t="s">
        <v>962</v>
      </c>
      <c r="C1511" s="47">
        <v>202</v>
      </c>
      <c r="D1511" s="47" t="s">
        <v>46</v>
      </c>
      <c r="E1511" s="12">
        <v>46127</v>
      </c>
      <c r="F1511" s="20">
        <f t="shared" si="23"/>
        <v>46113</v>
      </c>
    </row>
    <row r="1512" spans="1:6" ht="20.25">
      <c r="A1512" s="49"/>
      <c r="B1512" s="47" t="s">
        <v>802</v>
      </c>
      <c r="C1512" s="47">
        <v>198</v>
      </c>
      <c r="D1512" s="47" t="s">
        <v>46</v>
      </c>
      <c r="E1512" s="12">
        <v>46127</v>
      </c>
      <c r="F1512" s="20">
        <f t="shared" si="23"/>
        <v>46113</v>
      </c>
    </row>
    <row r="1513" spans="1:6" ht="20.25">
      <c r="A1513" s="49"/>
      <c r="B1513" s="47" t="s">
        <v>705</v>
      </c>
      <c r="C1513" s="47">
        <v>72</v>
      </c>
      <c r="D1513" s="47" t="s">
        <v>133</v>
      </c>
      <c r="E1513" s="12">
        <v>46127</v>
      </c>
      <c r="F1513" s="20">
        <f t="shared" si="23"/>
        <v>46113</v>
      </c>
    </row>
    <row r="1514" spans="1:6" ht="20.25">
      <c r="A1514" s="49"/>
      <c r="B1514" s="47" t="s">
        <v>609</v>
      </c>
      <c r="C1514" s="47">
        <v>2</v>
      </c>
      <c r="D1514" s="47" t="s">
        <v>1484</v>
      </c>
      <c r="E1514" s="12">
        <v>46127</v>
      </c>
      <c r="F1514" s="20">
        <f t="shared" si="23"/>
        <v>46113</v>
      </c>
    </row>
    <row r="1515" spans="1:6" ht="20.25">
      <c r="A1515" s="49"/>
      <c r="B1515" s="47" t="s">
        <v>895</v>
      </c>
      <c r="C1515" s="47">
        <v>2</v>
      </c>
      <c r="D1515" s="47" t="s">
        <v>1484</v>
      </c>
      <c r="E1515" s="12">
        <v>46127</v>
      </c>
      <c r="F1515" s="20">
        <f t="shared" si="23"/>
        <v>46113</v>
      </c>
    </row>
    <row r="1516" spans="1:6" ht="20.25">
      <c r="A1516" s="49"/>
      <c r="B1516" s="47" t="s">
        <v>1257</v>
      </c>
      <c r="C1516" s="47">
        <v>10</v>
      </c>
      <c r="D1516" s="47" t="s">
        <v>133</v>
      </c>
      <c r="E1516" s="12">
        <v>46127</v>
      </c>
      <c r="F1516" s="20">
        <f t="shared" si="23"/>
        <v>46113</v>
      </c>
    </row>
    <row r="1517" spans="1:6" ht="20.25">
      <c r="A1517" s="49"/>
      <c r="B1517" s="47" t="s">
        <v>682</v>
      </c>
      <c r="C1517" s="47">
        <v>141</v>
      </c>
      <c r="D1517" s="47" t="s">
        <v>133</v>
      </c>
      <c r="E1517" s="12">
        <v>46127</v>
      </c>
      <c r="F1517" s="20">
        <f t="shared" si="23"/>
        <v>46113</v>
      </c>
    </row>
    <row r="1518" spans="1:6" ht="20.25">
      <c r="A1518" s="49"/>
      <c r="B1518" s="47" t="s">
        <v>1606</v>
      </c>
      <c r="C1518" s="47">
        <v>33</v>
      </c>
      <c r="D1518" s="47" t="s">
        <v>133</v>
      </c>
      <c r="E1518" s="12">
        <v>46127</v>
      </c>
      <c r="F1518" s="20">
        <f t="shared" si="23"/>
        <v>46113</v>
      </c>
    </row>
    <row r="1519" spans="1:6" ht="20.25">
      <c r="A1519" s="49"/>
      <c r="B1519" s="47" t="s">
        <v>1604</v>
      </c>
      <c r="C1519" s="47">
        <v>32</v>
      </c>
      <c r="D1519" s="47" t="s">
        <v>133</v>
      </c>
      <c r="E1519" s="12">
        <v>46127</v>
      </c>
      <c r="F1519" s="20">
        <f t="shared" si="23"/>
        <v>46113</v>
      </c>
    </row>
    <row r="1520" spans="1:6" ht="20.25">
      <c r="A1520" s="49"/>
      <c r="B1520" s="47" t="s">
        <v>1605</v>
      </c>
      <c r="C1520" s="47">
        <v>42</v>
      </c>
      <c r="D1520" s="47" t="s">
        <v>133</v>
      </c>
      <c r="E1520" s="12">
        <v>46127</v>
      </c>
      <c r="F1520" s="20">
        <f t="shared" si="23"/>
        <v>46113</v>
      </c>
    </row>
    <row r="1521" spans="1:6" ht="20.25">
      <c r="A1521" s="49"/>
      <c r="B1521" s="47" t="s">
        <v>810</v>
      </c>
      <c r="C1521" s="47">
        <v>766</v>
      </c>
      <c r="D1521" s="47" t="s">
        <v>95</v>
      </c>
      <c r="E1521" s="12">
        <v>46127</v>
      </c>
      <c r="F1521" s="20">
        <f t="shared" si="23"/>
        <v>46113</v>
      </c>
    </row>
    <row r="1522" spans="1:6" ht="20.25">
      <c r="A1522" s="49"/>
      <c r="B1522" s="47" t="s">
        <v>659</v>
      </c>
      <c r="C1522" s="47">
        <v>205</v>
      </c>
      <c r="D1522" s="47" t="s">
        <v>160</v>
      </c>
      <c r="E1522" s="12">
        <v>46127</v>
      </c>
      <c r="F1522" s="20">
        <f t="shared" si="23"/>
        <v>46113</v>
      </c>
    </row>
    <row r="1523" spans="1:6" ht="20.25">
      <c r="A1523" s="49"/>
      <c r="B1523" s="47" t="s">
        <v>659</v>
      </c>
      <c r="C1523" s="47">
        <v>43</v>
      </c>
      <c r="D1523" s="47" t="s">
        <v>160</v>
      </c>
      <c r="E1523" s="12">
        <v>46127</v>
      </c>
      <c r="F1523" s="20">
        <f t="shared" si="23"/>
        <v>46113</v>
      </c>
    </row>
    <row r="1524" spans="1:6" ht="20.25">
      <c r="A1524" s="49"/>
      <c r="B1524" s="47" t="s">
        <v>718</v>
      </c>
      <c r="C1524" s="47">
        <v>4</v>
      </c>
      <c r="D1524" s="47" t="s">
        <v>63</v>
      </c>
      <c r="E1524" s="12">
        <v>46127</v>
      </c>
      <c r="F1524" s="20">
        <f t="shared" si="23"/>
        <v>46113</v>
      </c>
    </row>
    <row r="1525" spans="1:6" ht="20.25">
      <c r="A1525" s="49"/>
      <c r="B1525" s="47" t="s">
        <v>701</v>
      </c>
      <c r="C1525" s="47">
        <v>81</v>
      </c>
      <c r="D1525" s="47" t="s">
        <v>63</v>
      </c>
      <c r="E1525" s="12">
        <v>46127</v>
      </c>
      <c r="F1525" s="20">
        <f t="shared" si="23"/>
        <v>46113</v>
      </c>
    </row>
    <row r="1526" spans="1:6" ht="20.25">
      <c r="A1526" s="49"/>
      <c r="B1526" s="47" t="s">
        <v>684</v>
      </c>
      <c r="C1526" s="47">
        <v>105</v>
      </c>
      <c r="D1526" s="47" t="s">
        <v>63</v>
      </c>
      <c r="E1526" s="12">
        <v>46127</v>
      </c>
      <c r="F1526" s="20">
        <f t="shared" si="23"/>
        <v>46113</v>
      </c>
    </row>
    <row r="1527" spans="1:6" ht="20.25">
      <c r="A1527" s="49"/>
      <c r="B1527" s="47" t="s">
        <v>1547</v>
      </c>
      <c r="C1527" s="47">
        <v>203</v>
      </c>
      <c r="D1527" s="47" t="s">
        <v>46</v>
      </c>
      <c r="E1527" s="12">
        <v>46127</v>
      </c>
      <c r="F1527" s="20">
        <f t="shared" si="23"/>
        <v>46113</v>
      </c>
    </row>
    <row r="1528" spans="1:6" ht="20.25">
      <c r="A1528" s="49"/>
      <c r="B1528" s="47" t="s">
        <v>825</v>
      </c>
      <c r="C1528" s="47">
        <v>61</v>
      </c>
      <c r="D1528" s="47" t="s">
        <v>63</v>
      </c>
      <c r="E1528" s="12">
        <v>46127</v>
      </c>
      <c r="F1528" s="20">
        <f t="shared" si="23"/>
        <v>46113</v>
      </c>
    </row>
    <row r="1529" spans="1:6" ht="20.25">
      <c r="A1529" s="49"/>
      <c r="B1529" s="47" t="s">
        <v>635</v>
      </c>
      <c r="C1529" s="47">
        <v>230</v>
      </c>
      <c r="D1529" s="47" t="s">
        <v>82</v>
      </c>
      <c r="E1529" s="12">
        <v>46127</v>
      </c>
      <c r="F1529" s="20">
        <f t="shared" si="23"/>
        <v>46113</v>
      </c>
    </row>
    <row r="1530" spans="1:6" ht="20.25">
      <c r="A1530" s="49"/>
      <c r="B1530" s="47" t="s">
        <v>1100</v>
      </c>
      <c r="C1530" s="47">
        <v>225</v>
      </c>
      <c r="D1530" s="47" t="s">
        <v>82</v>
      </c>
      <c r="E1530" s="12">
        <v>46127</v>
      </c>
      <c r="F1530" s="20">
        <f t="shared" si="23"/>
        <v>46113</v>
      </c>
    </row>
    <row r="1531" spans="1:6" ht="20.25">
      <c r="A1531" s="49"/>
      <c r="B1531" s="47" t="s">
        <v>1122</v>
      </c>
      <c r="C1531" s="47">
        <v>71</v>
      </c>
      <c r="D1531" s="47" t="s">
        <v>82</v>
      </c>
      <c r="E1531" s="12">
        <v>46127</v>
      </c>
      <c r="F1531" s="20">
        <f t="shared" si="23"/>
        <v>46113</v>
      </c>
    </row>
    <row r="1532" spans="1:6" ht="20.25">
      <c r="A1532" s="49"/>
      <c r="B1532" s="47" t="s">
        <v>742</v>
      </c>
      <c r="C1532" s="47">
        <v>226</v>
      </c>
      <c r="D1532" s="47" t="s">
        <v>82</v>
      </c>
      <c r="E1532" s="12">
        <v>46127</v>
      </c>
      <c r="F1532" s="20">
        <f t="shared" si="23"/>
        <v>46113</v>
      </c>
    </row>
    <row r="1533" spans="1:6" ht="20.25">
      <c r="A1533" s="49"/>
      <c r="B1533" s="47" t="s">
        <v>749</v>
      </c>
      <c r="C1533" s="47">
        <v>79</v>
      </c>
      <c r="D1533" s="47" t="s">
        <v>82</v>
      </c>
      <c r="E1533" s="12">
        <v>46127</v>
      </c>
      <c r="F1533" s="20">
        <f t="shared" si="23"/>
        <v>46113</v>
      </c>
    </row>
    <row r="1534" spans="1:6" ht="20.25">
      <c r="A1534" s="49"/>
      <c r="B1534" s="47" t="s">
        <v>1161</v>
      </c>
      <c r="C1534" s="47">
        <v>86</v>
      </c>
      <c r="D1534" s="47" t="s">
        <v>95</v>
      </c>
      <c r="E1534" s="12">
        <v>46127</v>
      </c>
      <c r="F1534" s="20">
        <f t="shared" si="23"/>
        <v>46113</v>
      </c>
    </row>
    <row r="1535" spans="1:6" ht="20.25">
      <c r="A1535" s="49"/>
      <c r="B1535" s="47" t="s">
        <v>1072</v>
      </c>
      <c r="C1535" s="47">
        <v>145</v>
      </c>
      <c r="D1535" s="47" t="s">
        <v>66</v>
      </c>
      <c r="E1535" s="12">
        <v>46127</v>
      </c>
      <c r="F1535" s="20">
        <f t="shared" si="23"/>
        <v>46113</v>
      </c>
    </row>
    <row r="1536" spans="1:6" ht="20.25">
      <c r="A1536" s="49"/>
      <c r="B1536" s="47" t="s">
        <v>1170</v>
      </c>
      <c r="C1536" s="47">
        <v>94</v>
      </c>
      <c r="D1536" s="47" t="s">
        <v>66</v>
      </c>
      <c r="E1536" s="12">
        <v>46127</v>
      </c>
      <c r="F1536" s="20">
        <f t="shared" si="23"/>
        <v>46113</v>
      </c>
    </row>
    <row r="1537" spans="1:6" ht="20.25">
      <c r="A1537" s="49"/>
      <c r="B1537" s="47" t="s">
        <v>935</v>
      </c>
      <c r="C1537" s="47">
        <v>40</v>
      </c>
      <c r="D1537" s="47" t="s">
        <v>66</v>
      </c>
      <c r="E1537" s="12">
        <v>46127</v>
      </c>
      <c r="F1537" s="20">
        <f t="shared" si="23"/>
        <v>46113</v>
      </c>
    </row>
    <row r="1538" spans="1:6" ht="20.25">
      <c r="A1538" s="49"/>
      <c r="B1538" s="47" t="s">
        <v>782</v>
      </c>
      <c r="C1538" s="47">
        <v>105</v>
      </c>
      <c r="D1538" s="47" t="s">
        <v>62</v>
      </c>
      <c r="E1538" s="12">
        <v>46127</v>
      </c>
      <c r="F1538" s="20">
        <f t="shared" ref="F1538:F1601" si="24">EOMONTH(E1538,-1)+1</f>
        <v>46113</v>
      </c>
    </row>
    <row r="1539" spans="1:6" ht="20.25">
      <c r="A1539" s="49"/>
      <c r="B1539" s="47" t="s">
        <v>741</v>
      </c>
      <c r="C1539" s="47">
        <v>104</v>
      </c>
      <c r="D1539" s="47" t="s">
        <v>62</v>
      </c>
      <c r="E1539" s="12">
        <v>46127</v>
      </c>
      <c r="F1539" s="20">
        <f t="shared" si="24"/>
        <v>46113</v>
      </c>
    </row>
    <row r="1540" spans="1:6" ht="20.25">
      <c r="A1540" s="49"/>
      <c r="B1540" s="47" t="s">
        <v>797</v>
      </c>
      <c r="C1540" s="47">
        <v>51</v>
      </c>
      <c r="D1540" s="47" t="s">
        <v>62</v>
      </c>
      <c r="E1540" s="12">
        <v>46127</v>
      </c>
      <c r="F1540" s="20">
        <f t="shared" si="24"/>
        <v>46113</v>
      </c>
    </row>
    <row r="1541" spans="1:6" ht="20.25">
      <c r="A1541" s="49"/>
      <c r="B1541" s="47" t="s">
        <v>1101</v>
      </c>
      <c r="C1541" s="47">
        <v>229</v>
      </c>
      <c r="D1541" s="47" t="s">
        <v>62</v>
      </c>
      <c r="E1541" s="12">
        <v>46127</v>
      </c>
      <c r="F1541" s="20">
        <f t="shared" si="24"/>
        <v>46113</v>
      </c>
    </row>
    <row r="1542" spans="1:6" ht="20.25">
      <c r="A1542" s="49"/>
      <c r="B1542" s="47" t="s">
        <v>655</v>
      </c>
      <c r="C1542" s="47">
        <v>54</v>
      </c>
      <c r="D1542" s="47" t="s">
        <v>62</v>
      </c>
      <c r="E1542" s="12">
        <v>46127</v>
      </c>
      <c r="F1542" s="20">
        <f t="shared" si="24"/>
        <v>46113</v>
      </c>
    </row>
    <row r="1543" spans="1:6" ht="20.25">
      <c r="A1543" s="49"/>
      <c r="B1543" s="47" t="s">
        <v>962</v>
      </c>
      <c r="C1543" s="47">
        <v>163</v>
      </c>
      <c r="D1543" s="47" t="s">
        <v>62</v>
      </c>
      <c r="E1543" s="12">
        <v>46127</v>
      </c>
      <c r="F1543" s="20">
        <f t="shared" si="24"/>
        <v>46113</v>
      </c>
    </row>
    <row r="1544" spans="1:6" ht="20.25">
      <c r="A1544" s="49"/>
      <c r="B1544" s="47" t="s">
        <v>812</v>
      </c>
      <c r="C1544" s="47">
        <v>48</v>
      </c>
      <c r="D1544" s="47" t="s">
        <v>55</v>
      </c>
      <c r="E1544" s="12">
        <v>46127</v>
      </c>
      <c r="F1544" s="20">
        <f t="shared" si="24"/>
        <v>46113</v>
      </c>
    </row>
    <row r="1545" spans="1:6" ht="20.25">
      <c r="A1545" s="49"/>
      <c r="B1545" s="47" t="s">
        <v>723</v>
      </c>
      <c r="C1545" s="47">
        <v>40</v>
      </c>
      <c r="D1545" s="47" t="s">
        <v>114</v>
      </c>
      <c r="E1545" s="12">
        <v>46127</v>
      </c>
      <c r="F1545" s="20">
        <f t="shared" si="24"/>
        <v>46113</v>
      </c>
    </row>
    <row r="1546" spans="1:6" ht="20.25">
      <c r="A1546" s="49"/>
      <c r="B1546" s="47" t="s">
        <v>723</v>
      </c>
      <c r="C1546" s="47">
        <v>28</v>
      </c>
      <c r="D1546" s="47" t="s">
        <v>114</v>
      </c>
      <c r="E1546" s="12">
        <v>46127</v>
      </c>
      <c r="F1546" s="20">
        <f t="shared" si="24"/>
        <v>46113</v>
      </c>
    </row>
    <row r="1547" spans="1:6" ht="20.25">
      <c r="A1547" s="49"/>
      <c r="B1547" s="47" t="s">
        <v>1088</v>
      </c>
      <c r="C1547" s="47">
        <v>29</v>
      </c>
      <c r="D1547" s="47" t="s">
        <v>114</v>
      </c>
      <c r="E1547" s="12">
        <v>46127</v>
      </c>
      <c r="F1547" s="20">
        <f t="shared" si="24"/>
        <v>46113</v>
      </c>
    </row>
    <row r="1548" spans="1:6" ht="20.25">
      <c r="A1548" s="49"/>
      <c r="B1548" s="47" t="s">
        <v>1439</v>
      </c>
      <c r="C1548" s="47">
        <v>102</v>
      </c>
      <c r="D1548" s="47" t="s">
        <v>114</v>
      </c>
      <c r="E1548" s="12">
        <v>46127</v>
      </c>
      <c r="F1548" s="20">
        <f t="shared" si="24"/>
        <v>46113</v>
      </c>
    </row>
    <row r="1549" spans="1:6" ht="20.25">
      <c r="A1549" s="49"/>
      <c r="B1549" s="47" t="s">
        <v>1273</v>
      </c>
      <c r="C1549" s="47">
        <v>15</v>
      </c>
      <c r="D1549" s="47" t="s">
        <v>114</v>
      </c>
      <c r="E1549" s="12">
        <v>46127</v>
      </c>
      <c r="F1549" s="20">
        <f t="shared" si="24"/>
        <v>46113</v>
      </c>
    </row>
    <row r="1550" spans="1:6" ht="20.25">
      <c r="A1550" s="49"/>
      <c r="B1550" s="47" t="s">
        <v>1439</v>
      </c>
      <c r="C1550" s="47">
        <v>189</v>
      </c>
      <c r="D1550" s="47" t="s">
        <v>114</v>
      </c>
      <c r="E1550" s="12">
        <v>46127</v>
      </c>
      <c r="F1550" s="20">
        <f t="shared" si="24"/>
        <v>46113</v>
      </c>
    </row>
    <row r="1551" spans="1:6" ht="20.25">
      <c r="A1551" s="49"/>
      <c r="B1551" s="47" t="s">
        <v>1454</v>
      </c>
      <c r="C1551" s="47">
        <v>7</v>
      </c>
      <c r="D1551" s="47" t="s">
        <v>114</v>
      </c>
      <c r="E1551" s="12">
        <v>46127</v>
      </c>
      <c r="F1551" s="20">
        <f t="shared" si="24"/>
        <v>46113</v>
      </c>
    </row>
    <row r="1552" spans="1:6" ht="20.25">
      <c r="A1552" s="49"/>
      <c r="B1552" s="47" t="s">
        <v>1330</v>
      </c>
      <c r="C1552" s="47">
        <v>23</v>
      </c>
      <c r="D1552" s="47" t="s">
        <v>114</v>
      </c>
      <c r="E1552" s="12">
        <v>46127</v>
      </c>
      <c r="F1552" s="20">
        <f t="shared" si="24"/>
        <v>46113</v>
      </c>
    </row>
    <row r="1553" spans="1:6" ht="20.25">
      <c r="A1553" s="49"/>
      <c r="B1553" s="47" t="s">
        <v>1330</v>
      </c>
      <c r="C1553" s="47">
        <v>57</v>
      </c>
      <c r="D1553" s="47" t="s">
        <v>114</v>
      </c>
      <c r="E1553" s="12">
        <v>46127</v>
      </c>
      <c r="F1553" s="20">
        <f t="shared" si="24"/>
        <v>46113</v>
      </c>
    </row>
    <row r="1554" spans="1:6" ht="20.25">
      <c r="A1554" s="49"/>
      <c r="B1554" s="47" t="s">
        <v>1330</v>
      </c>
      <c r="C1554" s="47">
        <v>37</v>
      </c>
      <c r="D1554" s="47" t="s">
        <v>114</v>
      </c>
      <c r="E1554" s="12">
        <v>46127</v>
      </c>
      <c r="F1554" s="20">
        <f t="shared" si="24"/>
        <v>46113</v>
      </c>
    </row>
    <row r="1555" spans="1:6" ht="20.25">
      <c r="A1555" s="49"/>
      <c r="B1555" s="47" t="s">
        <v>1330</v>
      </c>
      <c r="C1555" s="47">
        <v>96</v>
      </c>
      <c r="D1555" s="47" t="s">
        <v>114</v>
      </c>
      <c r="E1555" s="12">
        <v>46127</v>
      </c>
      <c r="F1555" s="20">
        <f t="shared" si="24"/>
        <v>46113</v>
      </c>
    </row>
    <row r="1556" spans="1:6" ht="20.25">
      <c r="A1556" s="49"/>
      <c r="B1556" s="47" t="s">
        <v>967</v>
      </c>
      <c r="C1556" s="47">
        <v>69</v>
      </c>
      <c r="D1556" s="47" t="s">
        <v>114</v>
      </c>
      <c r="E1556" s="12">
        <v>46127</v>
      </c>
      <c r="F1556" s="20">
        <f t="shared" si="24"/>
        <v>46113</v>
      </c>
    </row>
    <row r="1557" spans="1:6" ht="20.25">
      <c r="A1557" s="49"/>
      <c r="B1557" s="47" t="s">
        <v>726</v>
      </c>
      <c r="C1557" s="47">
        <v>39</v>
      </c>
      <c r="D1557" s="47" t="s">
        <v>114</v>
      </c>
      <c r="E1557" s="12">
        <v>46127</v>
      </c>
      <c r="F1557" s="20">
        <f t="shared" si="24"/>
        <v>46113</v>
      </c>
    </row>
    <row r="1558" spans="1:6" ht="20.25">
      <c r="A1558" s="49"/>
      <c r="B1558" s="47" t="s">
        <v>1002</v>
      </c>
      <c r="C1558" s="47">
        <v>81</v>
      </c>
      <c r="D1558" s="47" t="s">
        <v>114</v>
      </c>
      <c r="E1558" s="12">
        <v>46127</v>
      </c>
      <c r="F1558" s="20">
        <f t="shared" si="24"/>
        <v>46113</v>
      </c>
    </row>
    <row r="1559" spans="1:6" ht="20.25">
      <c r="A1559" s="49"/>
      <c r="B1559" s="47" t="s">
        <v>759</v>
      </c>
      <c r="C1559" s="47">
        <v>81</v>
      </c>
      <c r="D1559" s="47" t="s">
        <v>114</v>
      </c>
      <c r="E1559" s="12">
        <v>46127</v>
      </c>
      <c r="F1559" s="20">
        <f t="shared" si="24"/>
        <v>46113</v>
      </c>
    </row>
    <row r="1560" spans="1:6" ht="20.25">
      <c r="A1560" s="49"/>
      <c r="B1560" s="47" t="s">
        <v>900</v>
      </c>
      <c r="C1560" s="47">
        <v>37</v>
      </c>
      <c r="D1560" s="47" t="s">
        <v>114</v>
      </c>
      <c r="E1560" s="12">
        <v>46127</v>
      </c>
      <c r="F1560" s="20">
        <f t="shared" si="24"/>
        <v>46113</v>
      </c>
    </row>
    <row r="1561" spans="1:6" ht="20.25">
      <c r="A1561" s="49"/>
      <c r="B1561" s="47" t="s">
        <v>1138</v>
      </c>
      <c r="C1561" s="47">
        <v>95</v>
      </c>
      <c r="D1561" s="47" t="s">
        <v>114</v>
      </c>
      <c r="E1561" s="12">
        <v>46127</v>
      </c>
      <c r="F1561" s="20">
        <f t="shared" si="24"/>
        <v>46113</v>
      </c>
    </row>
    <row r="1562" spans="1:6" ht="20.25">
      <c r="A1562" s="49"/>
      <c r="B1562" s="47" t="s">
        <v>1429</v>
      </c>
      <c r="C1562" s="47">
        <v>38</v>
      </c>
      <c r="D1562" s="47" t="s">
        <v>62</v>
      </c>
      <c r="E1562" s="12">
        <v>46127</v>
      </c>
      <c r="F1562" s="20">
        <f t="shared" si="24"/>
        <v>46113</v>
      </c>
    </row>
    <row r="1563" spans="1:6" ht="20.25">
      <c r="A1563" s="49"/>
      <c r="B1563" s="47" t="s">
        <v>921</v>
      </c>
      <c r="C1563" s="47">
        <v>32</v>
      </c>
      <c r="D1563" s="47" t="s">
        <v>62</v>
      </c>
      <c r="E1563" s="12">
        <v>46127</v>
      </c>
      <c r="F1563" s="20">
        <f t="shared" si="24"/>
        <v>46113</v>
      </c>
    </row>
    <row r="1564" spans="1:6" ht="20.25">
      <c r="A1564" s="49"/>
      <c r="B1564" s="47" t="s">
        <v>797</v>
      </c>
      <c r="C1564" s="47">
        <v>39</v>
      </c>
      <c r="D1564" s="47" t="s">
        <v>62</v>
      </c>
      <c r="E1564" s="12">
        <v>46127</v>
      </c>
      <c r="F1564" s="20">
        <f t="shared" si="24"/>
        <v>46113</v>
      </c>
    </row>
    <row r="1565" spans="1:6" ht="20.25">
      <c r="A1565" s="49"/>
      <c r="B1565" s="47" t="s">
        <v>822</v>
      </c>
      <c r="C1565" s="47">
        <v>429</v>
      </c>
      <c r="D1565" s="47" t="s">
        <v>55</v>
      </c>
      <c r="E1565" s="12">
        <v>46127</v>
      </c>
      <c r="F1565" s="20">
        <f t="shared" si="24"/>
        <v>46113</v>
      </c>
    </row>
    <row r="1566" spans="1:6" ht="20.25">
      <c r="A1566" s="49"/>
      <c r="B1566" s="47" t="s">
        <v>1080</v>
      </c>
      <c r="C1566" s="47">
        <v>24</v>
      </c>
      <c r="D1566" s="47" t="s">
        <v>72</v>
      </c>
      <c r="E1566" s="12">
        <v>46127</v>
      </c>
      <c r="F1566" s="20">
        <f t="shared" si="24"/>
        <v>46113</v>
      </c>
    </row>
    <row r="1567" spans="1:6" ht="20.25">
      <c r="A1567" s="49"/>
      <c r="B1567" s="47" t="s">
        <v>1526</v>
      </c>
      <c r="C1567" s="47">
        <v>81</v>
      </c>
      <c r="D1567" s="47" t="s">
        <v>72</v>
      </c>
      <c r="E1567" s="12">
        <v>46127</v>
      </c>
      <c r="F1567" s="20">
        <f t="shared" si="24"/>
        <v>46113</v>
      </c>
    </row>
    <row r="1568" spans="1:6" ht="20.25">
      <c r="A1568" s="49"/>
      <c r="B1568" s="47" t="s">
        <v>838</v>
      </c>
      <c r="C1568" s="47">
        <v>26</v>
      </c>
      <c r="D1568" s="47" t="s">
        <v>72</v>
      </c>
      <c r="E1568" s="12">
        <v>46127</v>
      </c>
      <c r="F1568" s="20">
        <f t="shared" si="24"/>
        <v>46113</v>
      </c>
    </row>
    <row r="1569" spans="1:6" ht="20.25">
      <c r="A1569" s="49"/>
      <c r="B1569" s="47" t="s">
        <v>624</v>
      </c>
      <c r="C1569" s="47">
        <v>55</v>
      </c>
      <c r="D1569" s="47" t="s">
        <v>72</v>
      </c>
      <c r="E1569" s="12">
        <v>46127</v>
      </c>
      <c r="F1569" s="20">
        <f t="shared" si="24"/>
        <v>46113</v>
      </c>
    </row>
    <row r="1570" spans="1:6" ht="20.25">
      <c r="A1570" s="49"/>
      <c r="B1570" s="47" t="s">
        <v>1464</v>
      </c>
      <c r="C1570" s="47">
        <v>77</v>
      </c>
      <c r="D1570" s="47" t="s">
        <v>72</v>
      </c>
      <c r="E1570" s="12">
        <v>46127</v>
      </c>
      <c r="F1570" s="20">
        <f t="shared" si="24"/>
        <v>46113</v>
      </c>
    </row>
    <row r="1571" spans="1:6" ht="20.25">
      <c r="A1571" s="49"/>
      <c r="B1571" s="47" t="s">
        <v>1343</v>
      </c>
      <c r="C1571" s="47">
        <v>71</v>
      </c>
      <c r="D1571" s="47" t="s">
        <v>72</v>
      </c>
      <c r="E1571" s="12">
        <v>46127</v>
      </c>
      <c r="F1571" s="20">
        <f t="shared" si="24"/>
        <v>46113</v>
      </c>
    </row>
    <row r="1572" spans="1:6" ht="20.25">
      <c r="A1572" s="49"/>
      <c r="B1572" s="47" t="s">
        <v>942</v>
      </c>
      <c r="C1572" s="47">
        <v>500</v>
      </c>
      <c r="D1572" s="47" t="s">
        <v>72</v>
      </c>
      <c r="E1572" s="12">
        <v>46127</v>
      </c>
      <c r="F1572" s="20">
        <f t="shared" si="24"/>
        <v>46113</v>
      </c>
    </row>
    <row r="1573" spans="1:6" ht="20.25">
      <c r="A1573" s="49"/>
      <c r="B1573" s="47" t="s">
        <v>1238</v>
      </c>
      <c r="C1573" s="47">
        <v>46</v>
      </c>
      <c r="D1573" s="47" t="s">
        <v>62</v>
      </c>
      <c r="E1573" s="12">
        <v>46127</v>
      </c>
      <c r="F1573" s="20">
        <f t="shared" si="24"/>
        <v>46113</v>
      </c>
    </row>
    <row r="1574" spans="1:6" ht="20.25">
      <c r="A1574" s="49"/>
      <c r="B1574" s="47" t="s">
        <v>1031</v>
      </c>
      <c r="C1574" s="47">
        <v>167</v>
      </c>
      <c r="D1574" s="47" t="s">
        <v>82</v>
      </c>
      <c r="E1574" s="12">
        <v>46127</v>
      </c>
      <c r="F1574" s="20">
        <f t="shared" si="24"/>
        <v>46113</v>
      </c>
    </row>
    <row r="1575" spans="1:6" ht="20.25">
      <c r="A1575" s="49"/>
      <c r="B1575" s="47" t="s">
        <v>633</v>
      </c>
      <c r="C1575" s="47">
        <v>342</v>
      </c>
      <c r="D1575" s="47" t="s">
        <v>82</v>
      </c>
      <c r="E1575" s="12">
        <v>46127</v>
      </c>
      <c r="F1575" s="20">
        <f t="shared" si="24"/>
        <v>46113</v>
      </c>
    </row>
    <row r="1576" spans="1:6" ht="20.25">
      <c r="A1576" s="49"/>
      <c r="B1576" s="47" t="s">
        <v>1021</v>
      </c>
      <c r="C1576" s="47">
        <v>105</v>
      </c>
      <c r="D1576" s="47" t="s">
        <v>82</v>
      </c>
      <c r="E1576" s="12">
        <v>46127</v>
      </c>
      <c r="F1576" s="20">
        <f t="shared" si="24"/>
        <v>46113</v>
      </c>
    </row>
    <row r="1577" spans="1:6" ht="20.25">
      <c r="A1577" s="49"/>
      <c r="B1577" s="47" t="s">
        <v>1040</v>
      </c>
      <c r="C1577" s="47">
        <v>265</v>
      </c>
      <c r="D1577" s="47" t="s">
        <v>46</v>
      </c>
      <c r="E1577" s="12">
        <v>46127</v>
      </c>
      <c r="F1577" s="20">
        <f t="shared" si="24"/>
        <v>46113</v>
      </c>
    </row>
    <row r="1578" spans="1:6" ht="20.25">
      <c r="A1578" s="49"/>
      <c r="B1578" s="47" t="s">
        <v>1065</v>
      </c>
      <c r="C1578" s="47">
        <v>51</v>
      </c>
      <c r="D1578" s="47" t="s">
        <v>97</v>
      </c>
      <c r="E1578" s="12">
        <v>46127</v>
      </c>
      <c r="F1578" s="20">
        <f t="shared" si="24"/>
        <v>46113</v>
      </c>
    </row>
    <row r="1579" spans="1:6" ht="20.25">
      <c r="A1579" s="49"/>
      <c r="B1579" s="47" t="s">
        <v>1357</v>
      </c>
      <c r="C1579" s="47">
        <v>361</v>
      </c>
      <c r="D1579" s="47" t="s">
        <v>97</v>
      </c>
      <c r="E1579" s="12">
        <v>46127</v>
      </c>
      <c r="F1579" s="20">
        <f t="shared" si="24"/>
        <v>46113</v>
      </c>
    </row>
    <row r="1580" spans="1:6" ht="20.25">
      <c r="A1580" s="49"/>
      <c r="B1580" s="47" t="s">
        <v>1065</v>
      </c>
      <c r="C1580" s="47">
        <v>56</v>
      </c>
      <c r="D1580" s="47" t="s">
        <v>97</v>
      </c>
      <c r="E1580" s="12">
        <v>46127</v>
      </c>
      <c r="F1580" s="20">
        <f t="shared" si="24"/>
        <v>46113</v>
      </c>
    </row>
    <row r="1581" spans="1:6" ht="20.25">
      <c r="A1581" s="49"/>
      <c r="B1581" s="47" t="s">
        <v>1045</v>
      </c>
      <c r="C1581" s="47">
        <v>10</v>
      </c>
      <c r="D1581" s="47" t="s">
        <v>97</v>
      </c>
      <c r="E1581" s="12">
        <v>46127</v>
      </c>
      <c r="F1581" s="20">
        <f t="shared" si="24"/>
        <v>46113</v>
      </c>
    </row>
    <row r="1582" spans="1:6" ht="20.25">
      <c r="A1582" s="49"/>
      <c r="B1582" s="47" t="s">
        <v>1109</v>
      </c>
      <c r="C1582" s="47">
        <v>21</v>
      </c>
      <c r="D1582" s="47" t="s">
        <v>97</v>
      </c>
      <c r="E1582" s="12">
        <v>46127</v>
      </c>
      <c r="F1582" s="20">
        <f t="shared" si="24"/>
        <v>46113</v>
      </c>
    </row>
    <row r="1583" spans="1:6" ht="20.25">
      <c r="A1583" s="49"/>
      <c r="B1583" s="47" t="s">
        <v>665</v>
      </c>
      <c r="C1583" s="47">
        <v>32</v>
      </c>
      <c r="D1583" s="47" t="s">
        <v>97</v>
      </c>
      <c r="E1583" s="12">
        <v>46127</v>
      </c>
      <c r="F1583" s="20">
        <f t="shared" si="24"/>
        <v>46113</v>
      </c>
    </row>
    <row r="1584" spans="1:6" ht="20.25">
      <c r="A1584" s="49"/>
      <c r="B1584" s="47" t="s">
        <v>664</v>
      </c>
      <c r="C1584" s="47">
        <v>20</v>
      </c>
      <c r="D1584" s="47" t="s">
        <v>97</v>
      </c>
      <c r="E1584" s="12">
        <v>46127</v>
      </c>
      <c r="F1584" s="20">
        <f t="shared" si="24"/>
        <v>46113</v>
      </c>
    </row>
    <row r="1585" spans="1:6" ht="20.25">
      <c r="A1585" s="49"/>
      <c r="B1585" s="47" t="s">
        <v>1359</v>
      </c>
      <c r="C1585" s="47">
        <v>1</v>
      </c>
      <c r="D1585" s="47" t="s">
        <v>97</v>
      </c>
      <c r="E1585" s="12">
        <v>46127</v>
      </c>
      <c r="F1585" s="20">
        <f t="shared" si="24"/>
        <v>46113</v>
      </c>
    </row>
    <row r="1586" spans="1:6" ht="20.25">
      <c r="A1586" s="49"/>
      <c r="B1586" s="47" t="s">
        <v>1347</v>
      </c>
      <c r="C1586" s="47">
        <v>42</v>
      </c>
      <c r="D1586" s="47" t="s">
        <v>97</v>
      </c>
      <c r="E1586" s="12">
        <v>46127</v>
      </c>
      <c r="F1586" s="20">
        <f t="shared" si="24"/>
        <v>46113</v>
      </c>
    </row>
    <row r="1587" spans="1:6" ht="20.25">
      <c r="A1587" s="49"/>
      <c r="B1587" s="47" t="s">
        <v>1329</v>
      </c>
      <c r="C1587" s="47">
        <v>86</v>
      </c>
      <c r="D1587" s="47" t="s">
        <v>82</v>
      </c>
      <c r="E1587" s="12">
        <v>46127</v>
      </c>
      <c r="F1587" s="20">
        <f t="shared" si="24"/>
        <v>46113</v>
      </c>
    </row>
    <row r="1588" spans="1:6" ht="20.25">
      <c r="A1588" s="49"/>
      <c r="B1588" s="47" t="s">
        <v>1065</v>
      </c>
      <c r="C1588" s="47">
        <v>194</v>
      </c>
      <c r="D1588" s="47" t="s">
        <v>97</v>
      </c>
      <c r="E1588" s="12">
        <v>46127</v>
      </c>
      <c r="F1588" s="20">
        <f t="shared" si="24"/>
        <v>46113</v>
      </c>
    </row>
    <row r="1589" spans="1:6" ht="20.25">
      <c r="A1589" s="49"/>
      <c r="B1589" s="47" t="s">
        <v>878</v>
      </c>
      <c r="C1589" s="47">
        <v>40</v>
      </c>
      <c r="D1589" s="47" t="s">
        <v>97</v>
      </c>
      <c r="E1589" s="12">
        <v>46127</v>
      </c>
      <c r="F1589" s="20">
        <f t="shared" si="24"/>
        <v>46113</v>
      </c>
    </row>
    <row r="1590" spans="1:6" ht="20.25">
      <c r="A1590" s="49"/>
      <c r="B1590" s="47" t="s">
        <v>1348</v>
      </c>
      <c r="C1590" s="47">
        <v>60</v>
      </c>
      <c r="D1590" s="47" t="s">
        <v>97</v>
      </c>
      <c r="E1590" s="12">
        <v>46127</v>
      </c>
      <c r="F1590" s="20">
        <f t="shared" si="24"/>
        <v>46113</v>
      </c>
    </row>
    <row r="1591" spans="1:6" ht="20.25">
      <c r="A1591" s="49"/>
      <c r="B1591" s="47" t="s">
        <v>1348</v>
      </c>
      <c r="C1591" s="47">
        <v>32</v>
      </c>
      <c r="D1591" s="47" t="s">
        <v>97</v>
      </c>
      <c r="E1591" s="12">
        <v>46127</v>
      </c>
      <c r="F1591" s="20">
        <f t="shared" si="24"/>
        <v>46113</v>
      </c>
    </row>
    <row r="1592" spans="1:6" ht="20.25">
      <c r="A1592" s="49"/>
      <c r="B1592" s="47" t="s">
        <v>722</v>
      </c>
      <c r="C1592" s="47">
        <v>203</v>
      </c>
      <c r="D1592" s="47" t="s">
        <v>97</v>
      </c>
      <c r="E1592" s="12">
        <v>46127</v>
      </c>
      <c r="F1592" s="20">
        <f t="shared" si="24"/>
        <v>46113</v>
      </c>
    </row>
    <row r="1593" spans="1:6" ht="20.25">
      <c r="A1593" s="49"/>
      <c r="B1593" s="47" t="s">
        <v>1065</v>
      </c>
      <c r="C1593" s="47">
        <v>29</v>
      </c>
      <c r="D1593" s="47" t="s">
        <v>97</v>
      </c>
      <c r="E1593" s="12">
        <v>46127</v>
      </c>
      <c r="F1593" s="20">
        <f t="shared" si="24"/>
        <v>46113</v>
      </c>
    </row>
    <row r="1594" spans="1:6" ht="20.25">
      <c r="A1594" s="49"/>
      <c r="B1594" s="47" t="s">
        <v>1043</v>
      </c>
      <c r="C1594" s="47">
        <v>68</v>
      </c>
      <c r="D1594" s="47" t="s">
        <v>114</v>
      </c>
      <c r="E1594" s="12">
        <v>46127</v>
      </c>
      <c r="F1594" s="20">
        <f t="shared" si="24"/>
        <v>46113</v>
      </c>
    </row>
    <row r="1595" spans="1:6" ht="20.25">
      <c r="A1595" s="49"/>
      <c r="B1595" s="47" t="s">
        <v>1002</v>
      </c>
      <c r="C1595" s="47">
        <v>54</v>
      </c>
      <c r="D1595" s="47" t="s">
        <v>114</v>
      </c>
      <c r="E1595" s="12">
        <v>46127</v>
      </c>
      <c r="F1595" s="20">
        <f t="shared" si="24"/>
        <v>46113</v>
      </c>
    </row>
    <row r="1596" spans="1:6" ht="20.25">
      <c r="A1596" s="49"/>
      <c r="B1596" s="47" t="s">
        <v>1029</v>
      </c>
      <c r="C1596" s="47">
        <v>128</v>
      </c>
      <c r="D1596" s="47" t="s">
        <v>114</v>
      </c>
      <c r="E1596" s="12">
        <v>46127</v>
      </c>
      <c r="F1596" s="20">
        <f t="shared" si="24"/>
        <v>46113</v>
      </c>
    </row>
    <row r="1597" spans="1:6" ht="20.25">
      <c r="A1597" s="49"/>
      <c r="B1597" s="47" t="s">
        <v>1275</v>
      </c>
      <c r="C1597" s="47">
        <v>1</v>
      </c>
      <c r="D1597" s="47" t="s">
        <v>1484</v>
      </c>
      <c r="E1597" s="12">
        <v>46127</v>
      </c>
      <c r="F1597" s="20">
        <f t="shared" si="24"/>
        <v>46113</v>
      </c>
    </row>
    <row r="1598" spans="1:6" ht="20.25">
      <c r="A1598" s="49"/>
      <c r="B1598" s="47" t="s">
        <v>913</v>
      </c>
      <c r="C1598" s="47">
        <v>1</v>
      </c>
      <c r="D1598" s="47" t="s">
        <v>1484</v>
      </c>
      <c r="E1598" s="12">
        <v>46127</v>
      </c>
      <c r="F1598" s="20">
        <f t="shared" si="24"/>
        <v>46113</v>
      </c>
    </row>
    <row r="1599" spans="1:6" ht="20.25">
      <c r="A1599" s="49"/>
      <c r="B1599" s="47" t="s">
        <v>1127</v>
      </c>
      <c r="C1599" s="47">
        <v>3</v>
      </c>
      <c r="D1599" s="47" t="s">
        <v>133</v>
      </c>
      <c r="E1599" s="12">
        <v>46127</v>
      </c>
      <c r="F1599" s="20">
        <f t="shared" si="24"/>
        <v>46113</v>
      </c>
    </row>
    <row r="1600" spans="1:6" ht="20.25">
      <c r="A1600" s="49"/>
      <c r="B1600" s="47" t="s">
        <v>651</v>
      </c>
      <c r="C1600" s="47">
        <v>393</v>
      </c>
      <c r="D1600" s="47" t="s">
        <v>46</v>
      </c>
      <c r="E1600" s="12">
        <v>46127</v>
      </c>
      <c r="F1600" s="20">
        <f t="shared" si="24"/>
        <v>46113</v>
      </c>
    </row>
    <row r="1601" spans="1:6" ht="20.25">
      <c r="A1601" s="49"/>
      <c r="B1601" s="47" t="s">
        <v>799</v>
      </c>
      <c r="C1601" s="47">
        <v>431</v>
      </c>
      <c r="D1601" s="47" t="s">
        <v>46</v>
      </c>
      <c r="E1601" s="12">
        <v>46127</v>
      </c>
      <c r="F1601" s="20">
        <f t="shared" si="24"/>
        <v>46113</v>
      </c>
    </row>
    <row r="1602" spans="1:6" ht="20.25">
      <c r="A1602" s="49"/>
      <c r="B1602" s="47" t="s">
        <v>917</v>
      </c>
      <c r="C1602" s="47">
        <v>174</v>
      </c>
      <c r="D1602" s="47" t="s">
        <v>72</v>
      </c>
      <c r="E1602" s="12">
        <v>46128</v>
      </c>
      <c r="F1602" s="20">
        <f t="shared" ref="F1602:F1665" si="25">EOMONTH(E1602,-1)+1</f>
        <v>46113</v>
      </c>
    </row>
    <row r="1603" spans="1:6" ht="20.25">
      <c r="A1603" s="49"/>
      <c r="B1603" s="47" t="s">
        <v>918</v>
      </c>
      <c r="C1603" s="47">
        <v>38</v>
      </c>
      <c r="D1603" s="47" t="s">
        <v>72</v>
      </c>
      <c r="E1603" s="12">
        <v>46128</v>
      </c>
      <c r="F1603" s="20">
        <f t="shared" si="25"/>
        <v>46113</v>
      </c>
    </row>
    <row r="1604" spans="1:6" ht="20.25">
      <c r="A1604" s="49"/>
      <c r="B1604" s="47" t="s">
        <v>942</v>
      </c>
      <c r="C1604" s="47">
        <v>493</v>
      </c>
      <c r="D1604" s="47" t="s">
        <v>72</v>
      </c>
      <c r="E1604" s="12">
        <v>46128</v>
      </c>
      <c r="F1604" s="20">
        <f t="shared" si="25"/>
        <v>46113</v>
      </c>
    </row>
    <row r="1605" spans="1:6" ht="20.25">
      <c r="A1605" s="49"/>
      <c r="B1605" s="47" t="s">
        <v>729</v>
      </c>
      <c r="C1605" s="47">
        <v>266</v>
      </c>
      <c r="D1605" s="47" t="s">
        <v>72</v>
      </c>
      <c r="E1605" s="12">
        <v>46128</v>
      </c>
      <c r="F1605" s="20">
        <f t="shared" si="25"/>
        <v>46113</v>
      </c>
    </row>
    <row r="1606" spans="1:6" ht="20.25">
      <c r="A1606" s="49"/>
      <c r="B1606" s="47" t="s">
        <v>894</v>
      </c>
      <c r="C1606" s="47">
        <v>151</v>
      </c>
      <c r="D1606" s="47" t="s">
        <v>72</v>
      </c>
      <c r="E1606" s="12">
        <v>46128</v>
      </c>
      <c r="F1606" s="20">
        <f t="shared" si="25"/>
        <v>46113</v>
      </c>
    </row>
    <row r="1607" spans="1:6" ht="20.25">
      <c r="A1607" s="49"/>
      <c r="B1607" s="47" t="s">
        <v>684</v>
      </c>
      <c r="C1607" s="47">
        <v>83</v>
      </c>
      <c r="D1607" s="47" t="s">
        <v>72</v>
      </c>
      <c r="E1607" s="12">
        <v>46128</v>
      </c>
      <c r="F1607" s="20">
        <f t="shared" si="25"/>
        <v>46113</v>
      </c>
    </row>
    <row r="1608" spans="1:6" ht="20.25">
      <c r="A1608" s="49"/>
      <c r="B1608" s="47" t="s">
        <v>709</v>
      </c>
      <c r="C1608" s="47">
        <v>70</v>
      </c>
      <c r="D1608" s="47" t="s">
        <v>72</v>
      </c>
      <c r="E1608" s="12">
        <v>46128</v>
      </c>
      <c r="F1608" s="20">
        <f t="shared" si="25"/>
        <v>46113</v>
      </c>
    </row>
    <row r="1609" spans="1:6" ht="20.25">
      <c r="A1609" s="49"/>
      <c r="B1609" s="47" t="s">
        <v>891</v>
      </c>
      <c r="C1609" s="47">
        <v>160</v>
      </c>
      <c r="D1609" s="47" t="s">
        <v>160</v>
      </c>
      <c r="E1609" s="12">
        <v>46128</v>
      </c>
      <c r="F1609" s="20">
        <f t="shared" si="25"/>
        <v>46113</v>
      </c>
    </row>
    <row r="1610" spans="1:6" ht="20.25">
      <c r="A1610" s="49"/>
      <c r="B1610" s="47" t="s">
        <v>836</v>
      </c>
      <c r="C1610" s="47">
        <v>62</v>
      </c>
      <c r="D1610" s="47" t="s">
        <v>160</v>
      </c>
      <c r="E1610" s="12">
        <v>46128</v>
      </c>
      <c r="F1610" s="20">
        <f t="shared" si="25"/>
        <v>46113</v>
      </c>
    </row>
    <row r="1611" spans="1:6" ht="20.25">
      <c r="A1611" s="49"/>
      <c r="B1611" s="47" t="s">
        <v>765</v>
      </c>
      <c r="C1611" s="47">
        <v>49</v>
      </c>
      <c r="D1611" s="47" t="s">
        <v>55</v>
      </c>
      <c r="E1611" s="12">
        <v>46128</v>
      </c>
      <c r="F1611" s="20">
        <f t="shared" si="25"/>
        <v>46113</v>
      </c>
    </row>
    <row r="1612" spans="1:6" ht="20.25">
      <c r="A1612" s="49"/>
      <c r="B1612" s="47" t="s">
        <v>765</v>
      </c>
      <c r="C1612" s="47">
        <v>414</v>
      </c>
      <c r="D1612" s="47" t="s">
        <v>55</v>
      </c>
      <c r="E1612" s="12">
        <v>46128</v>
      </c>
      <c r="F1612" s="20">
        <f t="shared" si="25"/>
        <v>46113</v>
      </c>
    </row>
    <row r="1613" spans="1:6" ht="20.25">
      <c r="A1613" s="49"/>
      <c r="B1613" s="47" t="s">
        <v>1091</v>
      </c>
      <c r="C1613" s="47">
        <v>256</v>
      </c>
      <c r="D1613" s="47" t="s">
        <v>55</v>
      </c>
      <c r="E1613" s="12">
        <v>46128</v>
      </c>
      <c r="F1613" s="20">
        <f t="shared" si="25"/>
        <v>46113</v>
      </c>
    </row>
    <row r="1614" spans="1:6" ht="20.25">
      <c r="A1614" s="49"/>
      <c r="B1614" s="47" t="s">
        <v>1153</v>
      </c>
      <c r="C1614" s="47">
        <v>39</v>
      </c>
      <c r="D1614" s="47" t="s">
        <v>55</v>
      </c>
      <c r="E1614" s="12">
        <v>46128</v>
      </c>
      <c r="F1614" s="20">
        <f t="shared" si="25"/>
        <v>46113</v>
      </c>
    </row>
    <row r="1615" spans="1:6" ht="20.25">
      <c r="A1615" s="49"/>
      <c r="B1615" s="47" t="s">
        <v>630</v>
      </c>
      <c r="C1615" s="47">
        <v>803</v>
      </c>
      <c r="D1615" s="47" t="s">
        <v>55</v>
      </c>
      <c r="E1615" s="12">
        <v>46128</v>
      </c>
      <c r="F1615" s="20">
        <f t="shared" si="25"/>
        <v>46113</v>
      </c>
    </row>
    <row r="1616" spans="1:6" ht="20.25">
      <c r="A1616" s="49"/>
      <c r="B1616" s="47" t="s">
        <v>850</v>
      </c>
      <c r="C1616" s="47">
        <v>4</v>
      </c>
      <c r="D1616" s="47" t="s">
        <v>55</v>
      </c>
      <c r="E1616" s="12">
        <v>46128</v>
      </c>
      <c r="F1616" s="20">
        <f t="shared" si="25"/>
        <v>46113</v>
      </c>
    </row>
    <row r="1617" spans="1:6" ht="20.25">
      <c r="A1617" s="49"/>
      <c r="B1617" s="47" t="s">
        <v>610</v>
      </c>
      <c r="C1617" s="47">
        <v>52</v>
      </c>
      <c r="D1617" s="47" t="s">
        <v>55</v>
      </c>
      <c r="E1617" s="12">
        <v>46128</v>
      </c>
      <c r="F1617" s="20">
        <f t="shared" si="25"/>
        <v>46113</v>
      </c>
    </row>
    <row r="1618" spans="1:6" ht="20.25">
      <c r="A1618" s="49"/>
      <c r="B1618" s="47" t="s">
        <v>1106</v>
      </c>
      <c r="C1618" s="47">
        <v>114</v>
      </c>
      <c r="D1618" s="47" t="s">
        <v>160</v>
      </c>
      <c r="E1618" s="12">
        <v>46128</v>
      </c>
      <c r="F1618" s="20">
        <f t="shared" si="25"/>
        <v>46113</v>
      </c>
    </row>
    <row r="1619" spans="1:6" ht="20.25">
      <c r="A1619" s="49"/>
      <c r="B1619" s="47" t="s">
        <v>1106</v>
      </c>
      <c r="C1619" s="47">
        <v>139</v>
      </c>
      <c r="D1619" s="47" t="s">
        <v>160</v>
      </c>
      <c r="E1619" s="12">
        <v>46128</v>
      </c>
      <c r="F1619" s="20">
        <f t="shared" si="25"/>
        <v>46113</v>
      </c>
    </row>
    <row r="1620" spans="1:6" ht="20.25">
      <c r="A1620" s="49"/>
      <c r="B1620" s="47" t="s">
        <v>777</v>
      </c>
      <c r="C1620" s="47">
        <v>126</v>
      </c>
      <c r="D1620" s="47" t="s">
        <v>160</v>
      </c>
      <c r="E1620" s="12">
        <v>46128</v>
      </c>
      <c r="F1620" s="20">
        <f t="shared" si="25"/>
        <v>46113</v>
      </c>
    </row>
    <row r="1621" spans="1:6" ht="20.25">
      <c r="A1621" s="49"/>
      <c r="B1621" s="47" t="s">
        <v>657</v>
      </c>
      <c r="C1621" s="47">
        <v>7</v>
      </c>
      <c r="D1621" s="47" t="s">
        <v>160</v>
      </c>
      <c r="E1621" s="12">
        <v>46128</v>
      </c>
      <c r="F1621" s="20">
        <f t="shared" si="25"/>
        <v>46113</v>
      </c>
    </row>
    <row r="1622" spans="1:6" ht="20.25">
      <c r="A1622" s="49"/>
      <c r="B1622" s="47" t="s">
        <v>631</v>
      </c>
      <c r="C1622" s="47">
        <v>432</v>
      </c>
      <c r="D1622" s="47" t="s">
        <v>63</v>
      </c>
      <c r="E1622" s="12">
        <v>46128</v>
      </c>
      <c r="F1622" s="20">
        <f t="shared" si="25"/>
        <v>46113</v>
      </c>
    </row>
    <row r="1623" spans="1:6" ht="20.25">
      <c r="A1623" s="49"/>
      <c r="B1623" s="47" t="s">
        <v>943</v>
      </c>
      <c r="C1623" s="47">
        <v>48</v>
      </c>
      <c r="D1623" s="47" t="s">
        <v>63</v>
      </c>
      <c r="E1623" s="12">
        <v>46128</v>
      </c>
      <c r="F1623" s="20">
        <f t="shared" si="25"/>
        <v>46113</v>
      </c>
    </row>
    <row r="1624" spans="1:6" ht="20.25">
      <c r="A1624" s="49"/>
      <c r="B1624" s="47" t="s">
        <v>652</v>
      </c>
      <c r="C1624" s="47">
        <v>567</v>
      </c>
      <c r="D1624" s="47" t="s">
        <v>63</v>
      </c>
      <c r="E1624" s="12">
        <v>46128</v>
      </c>
      <c r="F1624" s="20">
        <f t="shared" si="25"/>
        <v>46113</v>
      </c>
    </row>
    <row r="1625" spans="1:6" ht="20.25">
      <c r="A1625" s="49"/>
      <c r="B1625" s="47" t="s">
        <v>942</v>
      </c>
      <c r="C1625" s="47">
        <v>857</v>
      </c>
      <c r="D1625" s="47" t="s">
        <v>63</v>
      </c>
      <c r="E1625" s="12">
        <v>46128</v>
      </c>
      <c r="F1625" s="20">
        <f t="shared" si="25"/>
        <v>46113</v>
      </c>
    </row>
    <row r="1626" spans="1:6" ht="20.25">
      <c r="A1626" s="49"/>
      <c r="B1626" s="47" t="s">
        <v>603</v>
      </c>
      <c r="C1626" s="47">
        <v>441</v>
      </c>
      <c r="D1626" s="47" t="s">
        <v>95</v>
      </c>
      <c r="E1626" s="12">
        <v>46128</v>
      </c>
      <c r="F1626" s="20">
        <f t="shared" si="25"/>
        <v>46113</v>
      </c>
    </row>
    <row r="1627" spans="1:6" ht="20.25">
      <c r="A1627" s="49"/>
      <c r="B1627" s="47" t="s">
        <v>719</v>
      </c>
      <c r="C1627" s="47">
        <v>139</v>
      </c>
      <c r="D1627" s="47" t="s">
        <v>95</v>
      </c>
      <c r="E1627" s="12">
        <v>46128</v>
      </c>
      <c r="F1627" s="20">
        <f t="shared" si="25"/>
        <v>46113</v>
      </c>
    </row>
    <row r="1628" spans="1:6" ht="20.25">
      <c r="A1628" s="49"/>
      <c r="B1628" s="47" t="s">
        <v>939</v>
      </c>
      <c r="C1628" s="47">
        <v>27</v>
      </c>
      <c r="D1628" s="47" t="s">
        <v>95</v>
      </c>
      <c r="E1628" s="12">
        <v>46128</v>
      </c>
      <c r="F1628" s="20">
        <f t="shared" si="25"/>
        <v>46113</v>
      </c>
    </row>
    <row r="1629" spans="1:6" ht="20.25">
      <c r="A1629" s="49"/>
      <c r="B1629" s="47" t="s">
        <v>844</v>
      </c>
      <c r="C1629" s="47">
        <v>71</v>
      </c>
      <c r="D1629" s="47" t="s">
        <v>95</v>
      </c>
      <c r="E1629" s="12">
        <v>46128</v>
      </c>
      <c r="F1629" s="20">
        <f t="shared" si="25"/>
        <v>46113</v>
      </c>
    </row>
    <row r="1630" spans="1:6" ht="20.25">
      <c r="A1630" s="49"/>
      <c r="B1630" s="47" t="s">
        <v>844</v>
      </c>
      <c r="C1630" s="47">
        <v>314</v>
      </c>
      <c r="D1630" s="47" t="s">
        <v>95</v>
      </c>
      <c r="E1630" s="12">
        <v>46128</v>
      </c>
      <c r="F1630" s="20">
        <f t="shared" si="25"/>
        <v>46113</v>
      </c>
    </row>
    <row r="1631" spans="1:6" ht="20.25">
      <c r="A1631" s="49"/>
      <c r="B1631" s="47" t="s">
        <v>755</v>
      </c>
      <c r="C1631" s="47">
        <v>60</v>
      </c>
      <c r="D1631" s="47" t="s">
        <v>95</v>
      </c>
      <c r="E1631" s="12">
        <v>46128</v>
      </c>
      <c r="F1631" s="20">
        <f t="shared" si="25"/>
        <v>46113</v>
      </c>
    </row>
    <row r="1632" spans="1:6" ht="20.25">
      <c r="A1632" s="49"/>
      <c r="B1632" s="47" t="s">
        <v>810</v>
      </c>
      <c r="C1632" s="47">
        <v>171</v>
      </c>
      <c r="D1632" s="47" t="s">
        <v>95</v>
      </c>
      <c r="E1632" s="12">
        <v>46128</v>
      </c>
      <c r="F1632" s="20">
        <f t="shared" si="25"/>
        <v>46113</v>
      </c>
    </row>
    <row r="1633" spans="1:6" ht="20.25">
      <c r="A1633" s="49"/>
      <c r="B1633" s="47" t="s">
        <v>850</v>
      </c>
      <c r="C1633" s="47">
        <v>725</v>
      </c>
      <c r="D1633" s="47" t="s">
        <v>55</v>
      </c>
      <c r="E1633" s="12">
        <v>46128</v>
      </c>
      <c r="F1633" s="20">
        <f t="shared" si="25"/>
        <v>46113</v>
      </c>
    </row>
    <row r="1634" spans="1:6" ht="20.25">
      <c r="A1634" s="49"/>
      <c r="B1634" s="47" t="s">
        <v>819</v>
      </c>
      <c r="C1634" s="47">
        <v>197</v>
      </c>
      <c r="D1634" s="47" t="s">
        <v>46</v>
      </c>
      <c r="E1634" s="12">
        <v>46128</v>
      </c>
      <c r="F1634" s="20">
        <f t="shared" si="25"/>
        <v>46113</v>
      </c>
    </row>
    <row r="1635" spans="1:6" ht="20.25">
      <c r="A1635" s="49"/>
      <c r="B1635" s="47" t="s">
        <v>867</v>
      </c>
      <c r="C1635" s="47">
        <v>43</v>
      </c>
      <c r="D1635" s="47" t="s">
        <v>46</v>
      </c>
      <c r="E1635" s="12">
        <v>46128</v>
      </c>
      <c r="F1635" s="20">
        <f t="shared" si="25"/>
        <v>46113</v>
      </c>
    </row>
    <row r="1636" spans="1:6" ht="20.25">
      <c r="A1636" s="49"/>
      <c r="B1636" s="47" t="s">
        <v>756</v>
      </c>
      <c r="C1636" s="47">
        <v>37</v>
      </c>
      <c r="D1636" s="47" t="s">
        <v>46</v>
      </c>
      <c r="E1636" s="12">
        <v>46128</v>
      </c>
      <c r="F1636" s="20">
        <f t="shared" si="25"/>
        <v>46113</v>
      </c>
    </row>
    <row r="1637" spans="1:6" ht="20.25">
      <c r="A1637" s="49"/>
      <c r="B1637" s="47" t="s">
        <v>1040</v>
      </c>
      <c r="C1637" s="47">
        <v>50</v>
      </c>
      <c r="D1637" s="47" t="s">
        <v>46</v>
      </c>
      <c r="E1637" s="12">
        <v>46128</v>
      </c>
      <c r="F1637" s="20">
        <f t="shared" si="25"/>
        <v>46113</v>
      </c>
    </row>
    <row r="1638" spans="1:6" ht="20.25">
      <c r="A1638" s="49"/>
      <c r="B1638" s="47" t="s">
        <v>703</v>
      </c>
      <c r="C1638" s="47">
        <v>50</v>
      </c>
      <c r="D1638" s="47" t="s">
        <v>46</v>
      </c>
      <c r="E1638" s="12">
        <v>46128</v>
      </c>
      <c r="F1638" s="20">
        <f t="shared" si="25"/>
        <v>46113</v>
      </c>
    </row>
    <row r="1639" spans="1:6" ht="20.25">
      <c r="A1639" s="49"/>
      <c r="B1639" s="47" t="s">
        <v>651</v>
      </c>
      <c r="C1639" s="47">
        <v>49</v>
      </c>
      <c r="D1639" s="47" t="s">
        <v>46</v>
      </c>
      <c r="E1639" s="12">
        <v>46128</v>
      </c>
      <c r="F1639" s="20">
        <f t="shared" si="25"/>
        <v>46113</v>
      </c>
    </row>
    <row r="1640" spans="1:6" ht="20.25">
      <c r="A1640" s="49"/>
      <c r="B1640" s="47" t="s">
        <v>958</v>
      </c>
      <c r="C1640" s="47">
        <v>124</v>
      </c>
      <c r="D1640" s="47" t="s">
        <v>46</v>
      </c>
      <c r="E1640" s="12">
        <v>46128</v>
      </c>
      <c r="F1640" s="20">
        <f t="shared" si="25"/>
        <v>46113</v>
      </c>
    </row>
    <row r="1641" spans="1:6" ht="20.25">
      <c r="A1641" s="49"/>
      <c r="B1641" s="47" t="s">
        <v>802</v>
      </c>
      <c r="C1641" s="47">
        <v>2</v>
      </c>
      <c r="D1641" s="47" t="s">
        <v>46</v>
      </c>
      <c r="E1641" s="12">
        <v>46128</v>
      </c>
      <c r="F1641" s="20">
        <f t="shared" si="25"/>
        <v>46113</v>
      </c>
    </row>
    <row r="1642" spans="1:6" ht="20.25">
      <c r="A1642" s="49"/>
      <c r="B1642" s="47" t="s">
        <v>1015</v>
      </c>
      <c r="C1642" s="47">
        <v>9</v>
      </c>
      <c r="D1642" s="47" t="s">
        <v>46</v>
      </c>
      <c r="E1642" s="12">
        <v>46128</v>
      </c>
      <c r="F1642" s="20">
        <f t="shared" si="25"/>
        <v>46113</v>
      </c>
    </row>
    <row r="1643" spans="1:6" ht="20.25">
      <c r="A1643" s="49"/>
      <c r="B1643" s="47" t="s">
        <v>1351</v>
      </c>
      <c r="C1643" s="47">
        <v>30</v>
      </c>
      <c r="D1643" s="47" t="s">
        <v>95</v>
      </c>
      <c r="E1643" s="12">
        <v>46128</v>
      </c>
      <c r="F1643" s="20">
        <f t="shared" si="25"/>
        <v>46113</v>
      </c>
    </row>
    <row r="1644" spans="1:6" ht="20.25">
      <c r="A1644" s="49"/>
      <c r="B1644" s="47" t="s">
        <v>1351</v>
      </c>
      <c r="C1644" s="47">
        <v>86</v>
      </c>
      <c r="D1644" s="47" t="s">
        <v>95</v>
      </c>
      <c r="E1644" s="12">
        <v>46128</v>
      </c>
      <c r="F1644" s="20">
        <f t="shared" si="25"/>
        <v>46113</v>
      </c>
    </row>
    <row r="1645" spans="1:6" ht="20.25">
      <c r="A1645" s="49"/>
      <c r="B1645" s="47" t="s">
        <v>1351</v>
      </c>
      <c r="C1645" s="47">
        <v>652</v>
      </c>
      <c r="D1645" s="47" t="s">
        <v>55</v>
      </c>
      <c r="E1645" s="12">
        <v>46128</v>
      </c>
      <c r="F1645" s="20">
        <f t="shared" si="25"/>
        <v>46113</v>
      </c>
    </row>
    <row r="1646" spans="1:6" ht="20.25">
      <c r="A1646" s="49"/>
      <c r="B1646" s="47" t="s">
        <v>845</v>
      </c>
      <c r="C1646" s="47">
        <v>73</v>
      </c>
      <c r="D1646" s="47" t="s">
        <v>95</v>
      </c>
      <c r="E1646" s="12">
        <v>46128</v>
      </c>
      <c r="F1646" s="20">
        <f t="shared" si="25"/>
        <v>46113</v>
      </c>
    </row>
    <row r="1647" spans="1:6" ht="20.25">
      <c r="A1647" s="49"/>
      <c r="B1647" s="47" t="s">
        <v>822</v>
      </c>
      <c r="C1647" s="47">
        <v>50</v>
      </c>
      <c r="D1647" s="47" t="s">
        <v>55</v>
      </c>
      <c r="E1647" s="12">
        <v>46128</v>
      </c>
      <c r="F1647" s="20">
        <f t="shared" si="25"/>
        <v>46113</v>
      </c>
    </row>
    <row r="1648" spans="1:6" ht="20.25">
      <c r="A1648" s="49"/>
      <c r="B1648" s="47" t="s">
        <v>717</v>
      </c>
      <c r="C1648" s="47">
        <v>173</v>
      </c>
      <c r="D1648" s="47" t="s">
        <v>63</v>
      </c>
      <c r="E1648" s="12">
        <v>46128</v>
      </c>
      <c r="F1648" s="20">
        <f t="shared" si="25"/>
        <v>46113</v>
      </c>
    </row>
    <row r="1649" spans="1:6" ht="20.25">
      <c r="A1649" s="49"/>
      <c r="B1649" s="47" t="s">
        <v>893</v>
      </c>
      <c r="C1649" s="47">
        <v>74</v>
      </c>
      <c r="D1649" s="47" t="s">
        <v>63</v>
      </c>
      <c r="E1649" s="12">
        <v>46128</v>
      </c>
      <c r="F1649" s="20">
        <f t="shared" si="25"/>
        <v>46113</v>
      </c>
    </row>
    <row r="1650" spans="1:6" ht="20.25">
      <c r="A1650" s="49"/>
      <c r="B1650" s="47" t="s">
        <v>937</v>
      </c>
      <c r="C1650" s="47">
        <v>64</v>
      </c>
      <c r="D1650" s="47" t="s">
        <v>55</v>
      </c>
      <c r="E1650" s="12">
        <v>46128</v>
      </c>
      <c r="F1650" s="20">
        <f t="shared" si="25"/>
        <v>46113</v>
      </c>
    </row>
    <row r="1651" spans="1:6" ht="20.25">
      <c r="A1651" s="49"/>
      <c r="B1651" s="47" t="s">
        <v>937</v>
      </c>
      <c r="C1651" s="47">
        <v>115</v>
      </c>
      <c r="D1651" s="47" t="s">
        <v>55</v>
      </c>
      <c r="E1651" s="12">
        <v>46128</v>
      </c>
      <c r="F1651" s="20">
        <f t="shared" si="25"/>
        <v>46113</v>
      </c>
    </row>
    <row r="1652" spans="1:6" ht="20.25">
      <c r="A1652" s="49"/>
      <c r="B1652" s="47" t="s">
        <v>1137</v>
      </c>
      <c r="C1652" s="47">
        <v>276</v>
      </c>
      <c r="D1652" s="47" t="s">
        <v>66</v>
      </c>
      <c r="E1652" s="12">
        <v>46128</v>
      </c>
      <c r="F1652" s="20">
        <f t="shared" si="25"/>
        <v>46113</v>
      </c>
    </row>
    <row r="1653" spans="1:6" ht="20.25">
      <c r="A1653" s="49"/>
      <c r="B1653" s="47" t="s">
        <v>936</v>
      </c>
      <c r="C1653" s="47">
        <v>118</v>
      </c>
      <c r="D1653" s="47" t="s">
        <v>66</v>
      </c>
      <c r="E1653" s="12">
        <v>46128</v>
      </c>
      <c r="F1653" s="20">
        <f t="shared" si="25"/>
        <v>46113</v>
      </c>
    </row>
    <row r="1654" spans="1:6" ht="20.25">
      <c r="A1654" s="49"/>
      <c r="B1654" s="47" t="s">
        <v>734</v>
      </c>
      <c r="C1654" s="47">
        <v>203</v>
      </c>
      <c r="D1654" s="47" t="s">
        <v>66</v>
      </c>
      <c r="E1654" s="12">
        <v>46128</v>
      </c>
      <c r="F1654" s="20">
        <f t="shared" si="25"/>
        <v>46113</v>
      </c>
    </row>
    <row r="1655" spans="1:6" ht="20.25">
      <c r="A1655" s="49"/>
      <c r="B1655" s="47" t="s">
        <v>1028</v>
      </c>
      <c r="C1655" s="47">
        <v>31</v>
      </c>
      <c r="D1655" s="47" t="s">
        <v>66</v>
      </c>
      <c r="E1655" s="12">
        <v>46128</v>
      </c>
      <c r="F1655" s="20">
        <f t="shared" si="25"/>
        <v>46113</v>
      </c>
    </row>
    <row r="1656" spans="1:6" ht="20.25">
      <c r="A1656" s="49"/>
      <c r="B1656" s="47" t="s">
        <v>620</v>
      </c>
      <c r="C1656" s="47">
        <v>3</v>
      </c>
      <c r="D1656" s="47" t="s">
        <v>66</v>
      </c>
      <c r="E1656" s="12">
        <v>46128</v>
      </c>
      <c r="F1656" s="20">
        <f t="shared" si="25"/>
        <v>46113</v>
      </c>
    </row>
    <row r="1657" spans="1:6" ht="20.25">
      <c r="A1657" s="49"/>
      <c r="B1657" s="47" t="s">
        <v>638</v>
      </c>
      <c r="C1657" s="47">
        <v>160</v>
      </c>
      <c r="D1657" s="47" t="s">
        <v>66</v>
      </c>
      <c r="E1657" s="12">
        <v>46128</v>
      </c>
      <c r="F1657" s="20">
        <f t="shared" si="25"/>
        <v>46113</v>
      </c>
    </row>
    <row r="1658" spans="1:6" ht="20.25">
      <c r="A1658" s="49"/>
      <c r="B1658" s="47" t="s">
        <v>742</v>
      </c>
      <c r="C1658" s="47">
        <v>331</v>
      </c>
      <c r="D1658" s="47" t="s">
        <v>66</v>
      </c>
      <c r="E1658" s="12">
        <v>46128</v>
      </c>
      <c r="F1658" s="20">
        <f t="shared" si="25"/>
        <v>46113</v>
      </c>
    </row>
    <row r="1659" spans="1:6" ht="20.25">
      <c r="A1659" s="49"/>
      <c r="B1659" s="47" t="s">
        <v>1424</v>
      </c>
      <c r="C1659" s="47">
        <v>248</v>
      </c>
      <c r="D1659" s="47" t="s">
        <v>66</v>
      </c>
      <c r="E1659" s="12">
        <v>46128</v>
      </c>
      <c r="F1659" s="20">
        <f t="shared" si="25"/>
        <v>46113</v>
      </c>
    </row>
    <row r="1660" spans="1:6" ht="20.25">
      <c r="A1660" s="49"/>
      <c r="B1660" s="47" t="s">
        <v>1424</v>
      </c>
      <c r="C1660" s="47">
        <v>239</v>
      </c>
      <c r="D1660" s="47" t="s">
        <v>66</v>
      </c>
      <c r="E1660" s="12">
        <v>46128</v>
      </c>
      <c r="F1660" s="20">
        <f t="shared" si="25"/>
        <v>46113</v>
      </c>
    </row>
    <row r="1661" spans="1:6" ht="20.25">
      <c r="A1661" s="49"/>
      <c r="B1661" s="47" t="s">
        <v>934</v>
      </c>
      <c r="C1661" s="47">
        <v>50</v>
      </c>
      <c r="D1661" s="47" t="s">
        <v>62</v>
      </c>
      <c r="E1661" s="12">
        <v>46128</v>
      </c>
      <c r="F1661" s="20">
        <f t="shared" si="25"/>
        <v>46113</v>
      </c>
    </row>
    <row r="1662" spans="1:6" ht="20.25">
      <c r="A1662" s="49"/>
      <c r="B1662" s="47" t="s">
        <v>896</v>
      </c>
      <c r="C1662" s="47">
        <v>38</v>
      </c>
      <c r="D1662" s="47" t="s">
        <v>62</v>
      </c>
      <c r="E1662" s="12">
        <v>46128</v>
      </c>
      <c r="F1662" s="20">
        <f t="shared" si="25"/>
        <v>46113</v>
      </c>
    </row>
    <row r="1663" spans="1:6" ht="20.25">
      <c r="A1663" s="49"/>
      <c r="B1663" s="47" t="s">
        <v>650</v>
      </c>
      <c r="C1663" s="47">
        <v>309</v>
      </c>
      <c r="D1663" s="47" t="s">
        <v>62</v>
      </c>
      <c r="E1663" s="12">
        <v>46128</v>
      </c>
      <c r="F1663" s="20">
        <f t="shared" si="25"/>
        <v>46113</v>
      </c>
    </row>
    <row r="1664" spans="1:6" ht="20.25">
      <c r="A1664" s="49"/>
      <c r="B1664" s="47" t="s">
        <v>690</v>
      </c>
      <c r="C1664" s="47">
        <v>177</v>
      </c>
      <c r="D1664" s="47" t="s">
        <v>62</v>
      </c>
      <c r="E1664" s="12">
        <v>46128</v>
      </c>
      <c r="F1664" s="20">
        <f t="shared" si="25"/>
        <v>46113</v>
      </c>
    </row>
    <row r="1665" spans="1:6" ht="20.25">
      <c r="A1665" s="49"/>
      <c r="B1665" s="47" t="s">
        <v>962</v>
      </c>
      <c r="C1665" s="47">
        <v>381</v>
      </c>
      <c r="D1665" s="47" t="s">
        <v>62</v>
      </c>
      <c r="E1665" s="12">
        <v>46128</v>
      </c>
      <c r="F1665" s="20">
        <f t="shared" si="25"/>
        <v>46113</v>
      </c>
    </row>
    <row r="1666" spans="1:6" ht="20.25">
      <c r="A1666" s="49"/>
      <c r="B1666" s="47" t="s">
        <v>659</v>
      </c>
      <c r="C1666" s="47">
        <v>195</v>
      </c>
      <c r="D1666" s="47" t="s">
        <v>160</v>
      </c>
      <c r="E1666" s="12">
        <v>46128</v>
      </c>
      <c r="F1666" s="20">
        <f t="shared" ref="F1666:F1729" si="26">EOMONTH(E1666,-1)+1</f>
        <v>46113</v>
      </c>
    </row>
    <row r="1667" spans="1:6" ht="20.25">
      <c r="A1667" s="49"/>
      <c r="B1667" s="47" t="s">
        <v>659</v>
      </c>
      <c r="C1667" s="47">
        <v>41</v>
      </c>
      <c r="D1667" s="47" t="s">
        <v>160</v>
      </c>
      <c r="E1667" s="12">
        <v>46128</v>
      </c>
      <c r="F1667" s="20">
        <f t="shared" si="26"/>
        <v>46113</v>
      </c>
    </row>
    <row r="1668" spans="1:6" ht="20.25">
      <c r="A1668" s="49"/>
      <c r="B1668" s="47" t="s">
        <v>828</v>
      </c>
      <c r="C1668" s="47">
        <v>37</v>
      </c>
      <c r="D1668" s="47" t="s">
        <v>160</v>
      </c>
      <c r="E1668" s="12">
        <v>46128</v>
      </c>
      <c r="F1668" s="20">
        <f t="shared" si="26"/>
        <v>46113</v>
      </c>
    </row>
    <row r="1669" spans="1:6" ht="20.25">
      <c r="A1669" s="49"/>
      <c r="B1669" s="47" t="s">
        <v>828</v>
      </c>
      <c r="C1669" s="47">
        <v>428</v>
      </c>
      <c r="D1669" s="47" t="s">
        <v>160</v>
      </c>
      <c r="E1669" s="12">
        <v>46128</v>
      </c>
      <c r="F1669" s="20">
        <f t="shared" si="26"/>
        <v>46113</v>
      </c>
    </row>
    <row r="1670" spans="1:6" ht="20.25">
      <c r="A1670" s="49"/>
      <c r="B1670" s="47" t="s">
        <v>627</v>
      </c>
      <c r="C1670" s="47">
        <v>56</v>
      </c>
      <c r="D1670" s="47" t="s">
        <v>55</v>
      </c>
      <c r="E1670" s="12">
        <v>46128</v>
      </c>
      <c r="F1670" s="20">
        <f t="shared" si="26"/>
        <v>46113</v>
      </c>
    </row>
    <row r="1671" spans="1:6" ht="20.25">
      <c r="A1671" s="49"/>
      <c r="B1671" s="47" t="s">
        <v>627</v>
      </c>
      <c r="C1671" s="47">
        <v>37</v>
      </c>
      <c r="D1671" s="47" t="s">
        <v>55</v>
      </c>
      <c r="E1671" s="12">
        <v>46128</v>
      </c>
      <c r="F1671" s="20">
        <f t="shared" si="26"/>
        <v>46113</v>
      </c>
    </row>
    <row r="1672" spans="1:6" ht="20.25">
      <c r="A1672" s="49"/>
      <c r="B1672" s="47" t="s">
        <v>1269</v>
      </c>
      <c r="C1672" s="47">
        <v>82</v>
      </c>
      <c r="D1672" s="47" t="s">
        <v>72</v>
      </c>
      <c r="E1672" s="12">
        <v>46128</v>
      </c>
      <c r="F1672" s="20">
        <f t="shared" si="26"/>
        <v>46113</v>
      </c>
    </row>
    <row r="1673" spans="1:6" ht="20.25">
      <c r="A1673" s="49"/>
      <c r="B1673" s="47" t="s">
        <v>624</v>
      </c>
      <c r="C1673" s="47">
        <v>27</v>
      </c>
      <c r="D1673" s="47" t="s">
        <v>72</v>
      </c>
      <c r="E1673" s="12">
        <v>46128</v>
      </c>
      <c r="F1673" s="20">
        <f t="shared" si="26"/>
        <v>46113</v>
      </c>
    </row>
    <row r="1674" spans="1:6" ht="20.25">
      <c r="A1674" s="49"/>
      <c r="B1674" s="47" t="s">
        <v>840</v>
      </c>
      <c r="C1674" s="47">
        <v>30</v>
      </c>
      <c r="D1674" s="47" t="s">
        <v>72</v>
      </c>
      <c r="E1674" s="12">
        <v>46128</v>
      </c>
      <c r="F1674" s="20">
        <f t="shared" si="26"/>
        <v>46113</v>
      </c>
    </row>
    <row r="1675" spans="1:6" ht="20.25">
      <c r="A1675" s="49"/>
      <c r="B1675" s="47" t="s">
        <v>841</v>
      </c>
      <c r="C1675" s="47">
        <v>135</v>
      </c>
      <c r="D1675" s="47" t="s">
        <v>72</v>
      </c>
      <c r="E1675" s="12">
        <v>46128</v>
      </c>
      <c r="F1675" s="20">
        <f t="shared" si="26"/>
        <v>46113</v>
      </c>
    </row>
    <row r="1676" spans="1:6" ht="20.25">
      <c r="A1676" s="49"/>
      <c r="B1676" s="47" t="s">
        <v>1464</v>
      </c>
      <c r="C1676" s="47">
        <v>79</v>
      </c>
      <c r="D1676" s="47" t="s">
        <v>72</v>
      </c>
      <c r="E1676" s="12">
        <v>46128</v>
      </c>
      <c r="F1676" s="20">
        <f t="shared" si="26"/>
        <v>46113</v>
      </c>
    </row>
    <row r="1677" spans="1:6" ht="20.25">
      <c r="A1677" s="49"/>
      <c r="B1677" s="47" t="s">
        <v>911</v>
      </c>
      <c r="C1677" s="47">
        <v>100</v>
      </c>
      <c r="D1677" s="47" t="s">
        <v>72</v>
      </c>
      <c r="E1677" s="12">
        <v>46128</v>
      </c>
      <c r="F1677" s="20">
        <f t="shared" si="26"/>
        <v>46113</v>
      </c>
    </row>
    <row r="1678" spans="1:6" ht="20.25">
      <c r="A1678" s="49"/>
      <c r="B1678" s="47" t="s">
        <v>667</v>
      </c>
      <c r="C1678" s="47">
        <v>56</v>
      </c>
      <c r="D1678" s="47" t="s">
        <v>72</v>
      </c>
      <c r="E1678" s="12">
        <v>46128</v>
      </c>
      <c r="F1678" s="20">
        <f t="shared" si="26"/>
        <v>46113</v>
      </c>
    </row>
    <row r="1679" spans="1:6" ht="20.25">
      <c r="A1679" s="49"/>
      <c r="B1679" s="47" t="s">
        <v>682</v>
      </c>
      <c r="C1679" s="47">
        <v>37</v>
      </c>
      <c r="D1679" s="47" t="s">
        <v>133</v>
      </c>
      <c r="E1679" s="12">
        <v>46128</v>
      </c>
      <c r="F1679" s="20">
        <f t="shared" si="26"/>
        <v>46113</v>
      </c>
    </row>
    <row r="1680" spans="1:6" ht="20.25">
      <c r="A1680" s="49"/>
      <c r="B1680" s="47" t="s">
        <v>1338</v>
      </c>
      <c r="C1680" s="47">
        <v>10</v>
      </c>
      <c r="D1680" s="47" t="s">
        <v>1484</v>
      </c>
      <c r="E1680" s="12">
        <v>46128</v>
      </c>
      <c r="F1680" s="20">
        <f t="shared" si="26"/>
        <v>46113</v>
      </c>
    </row>
    <row r="1681" spans="1:6" ht="20.25">
      <c r="A1681" s="49"/>
      <c r="B1681" s="47" t="s">
        <v>906</v>
      </c>
      <c r="C1681" s="47">
        <v>100</v>
      </c>
      <c r="D1681" s="47" t="s">
        <v>133</v>
      </c>
      <c r="E1681" s="12">
        <v>46128</v>
      </c>
      <c r="F1681" s="20">
        <f t="shared" si="26"/>
        <v>46113</v>
      </c>
    </row>
    <row r="1682" spans="1:6" ht="20.25">
      <c r="A1682" s="49"/>
      <c r="B1682" s="47" t="s">
        <v>734</v>
      </c>
      <c r="C1682" s="47">
        <v>137</v>
      </c>
      <c r="D1682" s="47" t="s">
        <v>1484</v>
      </c>
      <c r="E1682" s="12">
        <v>46128</v>
      </c>
      <c r="F1682" s="20">
        <f t="shared" si="26"/>
        <v>46113</v>
      </c>
    </row>
    <row r="1683" spans="1:6" ht="20.25">
      <c r="A1683" s="49"/>
      <c r="B1683" s="47" t="s">
        <v>736</v>
      </c>
      <c r="C1683" s="47">
        <v>47</v>
      </c>
      <c r="D1683" s="47" t="s">
        <v>1484</v>
      </c>
      <c r="E1683" s="12">
        <v>46128</v>
      </c>
      <c r="F1683" s="20">
        <f t="shared" si="26"/>
        <v>46113</v>
      </c>
    </row>
    <row r="1684" spans="1:6" ht="20.25">
      <c r="A1684" s="49"/>
      <c r="B1684" s="47" t="s">
        <v>770</v>
      </c>
      <c r="C1684" s="47">
        <v>63</v>
      </c>
      <c r="D1684" s="47" t="s">
        <v>1484</v>
      </c>
      <c r="E1684" s="12">
        <v>46128</v>
      </c>
      <c r="F1684" s="20">
        <f t="shared" si="26"/>
        <v>46113</v>
      </c>
    </row>
    <row r="1685" spans="1:6" ht="20.25">
      <c r="A1685" s="49"/>
      <c r="B1685" s="47" t="s">
        <v>1257</v>
      </c>
      <c r="C1685" s="47">
        <v>3</v>
      </c>
      <c r="D1685" s="47" t="s">
        <v>133</v>
      </c>
      <c r="E1685" s="12">
        <v>46128</v>
      </c>
      <c r="F1685" s="20">
        <f t="shared" si="26"/>
        <v>46113</v>
      </c>
    </row>
    <row r="1686" spans="1:6" ht="20.25">
      <c r="A1686" s="49"/>
      <c r="B1686" s="47" t="s">
        <v>1594</v>
      </c>
      <c r="C1686" s="47">
        <v>4</v>
      </c>
      <c r="D1686" s="47" t="s">
        <v>133</v>
      </c>
      <c r="E1686" s="12">
        <v>46128</v>
      </c>
      <c r="F1686" s="20">
        <f t="shared" si="26"/>
        <v>46113</v>
      </c>
    </row>
    <row r="1687" spans="1:6" ht="20.25">
      <c r="A1687" s="49"/>
      <c r="B1687" s="47" t="s">
        <v>1598</v>
      </c>
      <c r="C1687" s="47">
        <v>2</v>
      </c>
      <c r="D1687" s="47" t="s">
        <v>133</v>
      </c>
      <c r="E1687" s="12">
        <v>46128</v>
      </c>
      <c r="F1687" s="20">
        <f t="shared" si="26"/>
        <v>46113</v>
      </c>
    </row>
    <row r="1688" spans="1:6" ht="20.25">
      <c r="A1688" s="49"/>
      <c r="B1688" s="47" t="s">
        <v>817</v>
      </c>
      <c r="C1688" s="47">
        <v>3</v>
      </c>
      <c r="D1688" s="47" t="s">
        <v>133</v>
      </c>
      <c r="E1688" s="12">
        <v>46128</v>
      </c>
      <c r="F1688" s="20">
        <f t="shared" si="26"/>
        <v>46113</v>
      </c>
    </row>
    <row r="1689" spans="1:6" ht="20.25">
      <c r="A1689" s="49"/>
      <c r="B1689" s="47" t="s">
        <v>1353</v>
      </c>
      <c r="C1689" s="47">
        <v>59</v>
      </c>
      <c r="D1689" s="47" t="s">
        <v>55</v>
      </c>
      <c r="E1689" s="12">
        <v>46128</v>
      </c>
      <c r="F1689" s="20">
        <f t="shared" si="26"/>
        <v>46113</v>
      </c>
    </row>
    <row r="1690" spans="1:6" ht="20.25">
      <c r="A1690" s="49"/>
      <c r="B1690" s="47" t="s">
        <v>1353</v>
      </c>
      <c r="C1690" s="47">
        <v>30</v>
      </c>
      <c r="D1690" s="47" t="s">
        <v>55</v>
      </c>
      <c r="E1690" s="12">
        <v>46128</v>
      </c>
      <c r="F1690" s="20">
        <f t="shared" si="26"/>
        <v>46113</v>
      </c>
    </row>
    <row r="1691" spans="1:6" ht="20.25">
      <c r="A1691" s="49"/>
      <c r="B1691" s="47" t="s">
        <v>875</v>
      </c>
      <c r="C1691" s="47">
        <v>86</v>
      </c>
      <c r="D1691" s="47" t="s">
        <v>55</v>
      </c>
      <c r="E1691" s="12">
        <v>46128</v>
      </c>
      <c r="F1691" s="20">
        <f t="shared" si="26"/>
        <v>46113</v>
      </c>
    </row>
    <row r="1692" spans="1:6" ht="20.25">
      <c r="A1692" s="49"/>
      <c r="B1692" s="47" t="s">
        <v>962</v>
      </c>
      <c r="C1692" s="47">
        <v>5</v>
      </c>
      <c r="D1692" s="47" t="s">
        <v>46</v>
      </c>
      <c r="E1692" s="12">
        <v>46128</v>
      </c>
      <c r="F1692" s="20">
        <f t="shared" si="26"/>
        <v>46113</v>
      </c>
    </row>
    <row r="1693" spans="1:6" ht="20.25">
      <c r="A1693" s="49"/>
      <c r="B1693" s="47" t="s">
        <v>1361</v>
      </c>
      <c r="C1693" s="47">
        <v>134</v>
      </c>
      <c r="D1693" s="47" t="s">
        <v>63</v>
      </c>
      <c r="E1693" s="12">
        <v>46128</v>
      </c>
      <c r="F1693" s="20">
        <f t="shared" si="26"/>
        <v>46113</v>
      </c>
    </row>
    <row r="1694" spans="1:6" ht="20.25">
      <c r="A1694" s="49"/>
      <c r="B1694" s="47" t="s">
        <v>1361</v>
      </c>
      <c r="C1694" s="47">
        <v>49</v>
      </c>
      <c r="D1694" s="47" t="s">
        <v>63</v>
      </c>
      <c r="E1694" s="12">
        <v>46128</v>
      </c>
      <c r="F1694" s="20">
        <f t="shared" si="26"/>
        <v>46113</v>
      </c>
    </row>
    <row r="1695" spans="1:6" ht="20.25">
      <c r="A1695" s="49"/>
      <c r="B1695" s="47" t="s">
        <v>776</v>
      </c>
      <c r="C1695" s="47">
        <v>117</v>
      </c>
      <c r="D1695" s="47" t="s">
        <v>97</v>
      </c>
      <c r="E1695" s="12">
        <v>46128</v>
      </c>
      <c r="F1695" s="20">
        <f t="shared" si="26"/>
        <v>46113</v>
      </c>
    </row>
    <row r="1696" spans="1:6" ht="20.25">
      <c r="A1696" s="49"/>
      <c r="B1696" s="47" t="s">
        <v>776</v>
      </c>
      <c r="C1696" s="47">
        <v>153</v>
      </c>
      <c r="D1696" s="47" t="s">
        <v>97</v>
      </c>
      <c r="E1696" s="12">
        <v>46128</v>
      </c>
      <c r="F1696" s="20">
        <f t="shared" si="26"/>
        <v>46113</v>
      </c>
    </row>
    <row r="1697" spans="1:6" ht="20.25">
      <c r="A1697" s="49"/>
      <c r="B1697" s="47" t="s">
        <v>791</v>
      </c>
      <c r="C1697" s="47">
        <v>42</v>
      </c>
      <c r="D1697" s="47" t="s">
        <v>97</v>
      </c>
      <c r="E1697" s="12">
        <v>46128</v>
      </c>
      <c r="F1697" s="20">
        <f t="shared" si="26"/>
        <v>46113</v>
      </c>
    </row>
    <row r="1698" spans="1:6" ht="20.25">
      <c r="A1698" s="49"/>
      <c r="B1698" s="47" t="s">
        <v>1166</v>
      </c>
      <c r="C1698" s="47">
        <v>37</v>
      </c>
      <c r="D1698" s="47" t="s">
        <v>97</v>
      </c>
      <c r="E1698" s="12">
        <v>46128</v>
      </c>
      <c r="F1698" s="20">
        <f t="shared" si="26"/>
        <v>46113</v>
      </c>
    </row>
    <row r="1699" spans="1:6" ht="20.25">
      <c r="A1699" s="49"/>
      <c r="B1699" s="47" t="s">
        <v>818</v>
      </c>
      <c r="C1699" s="47">
        <v>873</v>
      </c>
      <c r="D1699" s="47" t="s">
        <v>97</v>
      </c>
      <c r="E1699" s="12">
        <v>46128</v>
      </c>
      <c r="F1699" s="20">
        <f t="shared" si="26"/>
        <v>46113</v>
      </c>
    </row>
    <row r="1700" spans="1:6" ht="20.25">
      <c r="A1700" s="49"/>
      <c r="B1700" s="47" t="s">
        <v>1045</v>
      </c>
      <c r="C1700" s="47">
        <v>74</v>
      </c>
      <c r="D1700" s="47" t="s">
        <v>97</v>
      </c>
      <c r="E1700" s="12">
        <v>46128</v>
      </c>
      <c r="F1700" s="20">
        <f t="shared" si="26"/>
        <v>46113</v>
      </c>
    </row>
    <row r="1701" spans="1:6" ht="20.25">
      <c r="A1701" s="49"/>
      <c r="B1701" s="47" t="s">
        <v>1045</v>
      </c>
      <c r="C1701" s="47">
        <v>66</v>
      </c>
      <c r="D1701" s="47" t="s">
        <v>97</v>
      </c>
      <c r="E1701" s="12">
        <v>46128</v>
      </c>
      <c r="F1701" s="20">
        <f t="shared" si="26"/>
        <v>46113</v>
      </c>
    </row>
    <row r="1702" spans="1:6" ht="20.25">
      <c r="A1702" s="49"/>
      <c r="B1702" s="47" t="s">
        <v>723</v>
      </c>
      <c r="C1702" s="47">
        <v>205</v>
      </c>
      <c r="D1702" s="47" t="s">
        <v>114</v>
      </c>
      <c r="E1702" s="12">
        <v>46128</v>
      </c>
      <c r="F1702" s="20">
        <f t="shared" si="26"/>
        <v>46113</v>
      </c>
    </row>
    <row r="1703" spans="1:6" ht="20.25">
      <c r="A1703" s="49"/>
      <c r="B1703" s="47" t="s">
        <v>1087</v>
      </c>
      <c r="C1703" s="47">
        <v>86</v>
      </c>
      <c r="D1703" s="47" t="s">
        <v>114</v>
      </c>
      <c r="E1703" s="12">
        <v>46128</v>
      </c>
      <c r="F1703" s="20">
        <f t="shared" si="26"/>
        <v>46113</v>
      </c>
    </row>
    <row r="1704" spans="1:6" ht="20.25">
      <c r="A1704" s="49"/>
      <c r="B1704" s="47" t="s">
        <v>1273</v>
      </c>
      <c r="C1704" s="47">
        <v>75</v>
      </c>
      <c r="D1704" s="47" t="s">
        <v>114</v>
      </c>
      <c r="E1704" s="12">
        <v>46128</v>
      </c>
      <c r="F1704" s="20">
        <f t="shared" si="26"/>
        <v>46113</v>
      </c>
    </row>
    <row r="1705" spans="1:6" ht="20.25">
      <c r="A1705" s="49"/>
      <c r="B1705" s="47" t="s">
        <v>1037</v>
      </c>
      <c r="C1705" s="47">
        <v>44</v>
      </c>
      <c r="D1705" s="47" t="s">
        <v>114</v>
      </c>
      <c r="E1705" s="12">
        <v>46128</v>
      </c>
      <c r="F1705" s="20">
        <f t="shared" si="26"/>
        <v>46113</v>
      </c>
    </row>
    <row r="1706" spans="1:6" ht="20.25">
      <c r="A1706" s="49"/>
      <c r="B1706" s="47" t="s">
        <v>846</v>
      </c>
      <c r="C1706" s="47">
        <v>53</v>
      </c>
      <c r="D1706" s="47" t="s">
        <v>114</v>
      </c>
      <c r="E1706" s="12">
        <v>46128</v>
      </c>
      <c r="F1706" s="20">
        <f t="shared" si="26"/>
        <v>46113</v>
      </c>
    </row>
    <row r="1707" spans="1:6" ht="20.25">
      <c r="A1707" s="49"/>
      <c r="B1707" s="47" t="s">
        <v>1088</v>
      </c>
      <c r="C1707" s="47">
        <v>82</v>
      </c>
      <c r="D1707" s="47" t="s">
        <v>114</v>
      </c>
      <c r="E1707" s="12">
        <v>46128</v>
      </c>
      <c r="F1707" s="20">
        <f t="shared" si="26"/>
        <v>46113</v>
      </c>
    </row>
    <row r="1708" spans="1:6" ht="20.25">
      <c r="A1708" s="49"/>
      <c r="B1708" s="47" t="s">
        <v>849</v>
      </c>
      <c r="C1708" s="47">
        <v>48</v>
      </c>
      <c r="D1708" s="47" t="s">
        <v>114</v>
      </c>
      <c r="E1708" s="12">
        <v>46128</v>
      </c>
      <c r="F1708" s="20">
        <f t="shared" si="26"/>
        <v>46113</v>
      </c>
    </row>
    <row r="1709" spans="1:6" ht="20.25">
      <c r="A1709" s="49"/>
      <c r="B1709" s="47" t="s">
        <v>848</v>
      </c>
      <c r="C1709" s="47">
        <v>43</v>
      </c>
      <c r="D1709" s="47" t="s">
        <v>114</v>
      </c>
      <c r="E1709" s="12">
        <v>46128</v>
      </c>
      <c r="F1709" s="20">
        <f t="shared" si="26"/>
        <v>46113</v>
      </c>
    </row>
    <row r="1710" spans="1:6" ht="20.25">
      <c r="A1710" s="49"/>
      <c r="B1710" s="47" t="s">
        <v>849</v>
      </c>
      <c r="C1710" s="47">
        <v>119</v>
      </c>
      <c r="D1710" s="47" t="s">
        <v>114</v>
      </c>
      <c r="E1710" s="12">
        <v>46128</v>
      </c>
      <c r="F1710" s="20">
        <f t="shared" si="26"/>
        <v>46113</v>
      </c>
    </row>
    <row r="1711" spans="1:6" ht="20.25">
      <c r="A1711" s="49"/>
      <c r="B1711" s="47" t="s">
        <v>1430</v>
      </c>
      <c r="C1711" s="47">
        <v>111</v>
      </c>
      <c r="D1711" s="47" t="s">
        <v>114</v>
      </c>
      <c r="E1711" s="12">
        <v>46128</v>
      </c>
      <c r="F1711" s="20">
        <f t="shared" si="26"/>
        <v>46113</v>
      </c>
    </row>
    <row r="1712" spans="1:6" ht="20.25">
      <c r="A1712" s="49"/>
      <c r="B1712" s="47" t="s">
        <v>899</v>
      </c>
      <c r="C1712" s="47">
        <v>0</v>
      </c>
      <c r="D1712" s="47" t="s">
        <v>114</v>
      </c>
      <c r="E1712" s="12">
        <v>46128</v>
      </c>
      <c r="F1712" s="20">
        <f t="shared" si="26"/>
        <v>46113</v>
      </c>
    </row>
    <row r="1713" spans="1:6" ht="20.25">
      <c r="A1713" s="49"/>
      <c r="B1713" s="47" t="s">
        <v>980</v>
      </c>
      <c r="C1713" s="47">
        <v>326</v>
      </c>
      <c r="D1713" s="47" t="s">
        <v>114</v>
      </c>
      <c r="E1713" s="12">
        <v>46128</v>
      </c>
      <c r="F1713" s="20">
        <f t="shared" si="26"/>
        <v>46113</v>
      </c>
    </row>
    <row r="1714" spans="1:6" ht="20.25">
      <c r="A1714" s="49"/>
      <c r="B1714" s="47" t="s">
        <v>980</v>
      </c>
      <c r="C1714" s="47">
        <v>35</v>
      </c>
      <c r="D1714" s="47" t="s">
        <v>114</v>
      </c>
      <c r="E1714" s="12">
        <v>46128</v>
      </c>
      <c r="F1714" s="20">
        <f t="shared" si="26"/>
        <v>46113</v>
      </c>
    </row>
    <row r="1715" spans="1:6" ht="20.25">
      <c r="A1715" s="49"/>
      <c r="B1715" s="47" t="s">
        <v>611</v>
      </c>
      <c r="C1715" s="47">
        <v>69</v>
      </c>
      <c r="D1715" s="47" t="s">
        <v>82</v>
      </c>
      <c r="E1715" s="12">
        <v>46128</v>
      </c>
      <c r="F1715" s="20">
        <f t="shared" si="26"/>
        <v>46113</v>
      </c>
    </row>
    <row r="1716" spans="1:6" ht="20.25">
      <c r="A1716" s="49"/>
      <c r="B1716" s="47" t="s">
        <v>611</v>
      </c>
      <c r="C1716" s="47">
        <v>211</v>
      </c>
      <c r="D1716" s="47" t="s">
        <v>82</v>
      </c>
      <c r="E1716" s="12">
        <v>46128</v>
      </c>
      <c r="F1716" s="20">
        <f t="shared" si="26"/>
        <v>46113</v>
      </c>
    </row>
    <row r="1717" spans="1:6" ht="20.25">
      <c r="A1717" s="49"/>
      <c r="B1717" s="47" t="s">
        <v>785</v>
      </c>
      <c r="C1717" s="47">
        <v>389</v>
      </c>
      <c r="D1717" s="47" t="s">
        <v>82</v>
      </c>
      <c r="E1717" s="12">
        <v>46128</v>
      </c>
      <c r="F1717" s="20">
        <f t="shared" si="26"/>
        <v>46113</v>
      </c>
    </row>
    <row r="1718" spans="1:6" ht="20.25">
      <c r="A1718" s="49"/>
      <c r="B1718" s="47" t="s">
        <v>698</v>
      </c>
      <c r="C1718" s="47">
        <v>394</v>
      </c>
      <c r="D1718" s="47" t="s">
        <v>82</v>
      </c>
      <c r="E1718" s="12">
        <v>46128</v>
      </c>
      <c r="F1718" s="20">
        <f t="shared" si="26"/>
        <v>46113</v>
      </c>
    </row>
    <row r="1719" spans="1:6" ht="20.25">
      <c r="A1719" s="49"/>
      <c r="B1719" s="47" t="s">
        <v>717</v>
      </c>
      <c r="C1719" s="47">
        <v>371</v>
      </c>
      <c r="D1719" s="47" t="s">
        <v>82</v>
      </c>
      <c r="E1719" s="12">
        <v>46128</v>
      </c>
      <c r="F1719" s="20">
        <f t="shared" si="26"/>
        <v>46113</v>
      </c>
    </row>
    <row r="1720" spans="1:6" ht="20.25">
      <c r="A1720" s="49"/>
      <c r="B1720" s="47" t="s">
        <v>742</v>
      </c>
      <c r="C1720" s="47">
        <v>259</v>
      </c>
      <c r="D1720" s="47" t="s">
        <v>82</v>
      </c>
      <c r="E1720" s="12">
        <v>46128</v>
      </c>
      <c r="F1720" s="20">
        <f t="shared" si="26"/>
        <v>46113</v>
      </c>
    </row>
    <row r="1721" spans="1:6" ht="20.25">
      <c r="A1721" s="49"/>
      <c r="B1721" s="47" t="s">
        <v>641</v>
      </c>
      <c r="C1721" s="47">
        <v>33</v>
      </c>
      <c r="D1721" s="47" t="s">
        <v>82</v>
      </c>
      <c r="E1721" s="12">
        <v>46128</v>
      </c>
      <c r="F1721" s="20">
        <f t="shared" si="26"/>
        <v>46113</v>
      </c>
    </row>
    <row r="1722" spans="1:6" ht="20.25">
      <c r="A1722" s="49"/>
      <c r="B1722" s="47" t="s">
        <v>830</v>
      </c>
      <c r="C1722" s="47">
        <v>32</v>
      </c>
      <c r="D1722" s="47" t="s">
        <v>82</v>
      </c>
      <c r="E1722" s="12">
        <v>46128</v>
      </c>
      <c r="F1722" s="20">
        <f t="shared" si="26"/>
        <v>46113</v>
      </c>
    </row>
    <row r="1723" spans="1:6" ht="20.25">
      <c r="A1723" s="49"/>
      <c r="B1723" s="47" t="s">
        <v>796</v>
      </c>
      <c r="C1723" s="47">
        <v>210</v>
      </c>
      <c r="D1723" s="47" t="s">
        <v>82</v>
      </c>
      <c r="E1723" s="12">
        <v>46128</v>
      </c>
      <c r="F1723" s="20">
        <f t="shared" si="26"/>
        <v>46113</v>
      </c>
    </row>
    <row r="1724" spans="1:6" ht="20.25">
      <c r="A1724" s="49"/>
      <c r="B1724" s="47" t="s">
        <v>639</v>
      </c>
      <c r="C1724" s="47">
        <v>110</v>
      </c>
      <c r="D1724" s="47" t="s">
        <v>82</v>
      </c>
      <c r="E1724" s="12">
        <v>46128</v>
      </c>
      <c r="F1724" s="20">
        <f t="shared" si="26"/>
        <v>46113</v>
      </c>
    </row>
    <row r="1725" spans="1:6" ht="20.25">
      <c r="A1725" s="49"/>
      <c r="B1725" s="47" t="s">
        <v>1365</v>
      </c>
      <c r="C1725" s="47">
        <v>42</v>
      </c>
      <c r="D1725" s="47" t="s">
        <v>82</v>
      </c>
      <c r="E1725" s="12">
        <v>46128</v>
      </c>
      <c r="F1725" s="20">
        <f t="shared" si="26"/>
        <v>46113</v>
      </c>
    </row>
    <row r="1726" spans="1:6" ht="20.25">
      <c r="A1726" s="49"/>
      <c r="B1726" s="47" t="s">
        <v>1122</v>
      </c>
      <c r="C1726" s="47">
        <v>55</v>
      </c>
      <c r="D1726" s="47" t="s">
        <v>82</v>
      </c>
      <c r="E1726" s="12">
        <v>46128</v>
      </c>
      <c r="F1726" s="20">
        <f t="shared" si="26"/>
        <v>46113</v>
      </c>
    </row>
    <row r="1727" spans="1:6" ht="20.25">
      <c r="A1727" s="49"/>
      <c r="B1727" s="47" t="s">
        <v>1071</v>
      </c>
      <c r="C1727" s="47">
        <v>296</v>
      </c>
      <c r="D1727" s="47" t="s">
        <v>62</v>
      </c>
      <c r="E1727" s="12">
        <v>46128</v>
      </c>
      <c r="F1727" s="20">
        <f t="shared" si="26"/>
        <v>46113</v>
      </c>
    </row>
    <row r="1728" spans="1:6" ht="20.25">
      <c r="A1728" s="49"/>
      <c r="B1728" s="47" t="s">
        <v>1549</v>
      </c>
      <c r="C1728" s="47">
        <v>1000</v>
      </c>
      <c r="D1728" s="47" t="s">
        <v>46</v>
      </c>
      <c r="E1728" s="12">
        <v>46128</v>
      </c>
      <c r="F1728" s="20">
        <f t="shared" si="26"/>
        <v>46113</v>
      </c>
    </row>
    <row r="1729" spans="1:6" ht="20.25">
      <c r="A1729" s="49"/>
      <c r="B1729" s="47" t="s">
        <v>1379</v>
      </c>
      <c r="C1729" s="47">
        <v>49</v>
      </c>
      <c r="D1729" s="47" t="s">
        <v>46</v>
      </c>
      <c r="E1729" s="12">
        <v>46128</v>
      </c>
      <c r="F1729" s="20">
        <f t="shared" si="26"/>
        <v>46113</v>
      </c>
    </row>
    <row r="1730" spans="1:6" ht="20.25">
      <c r="A1730" s="49"/>
      <c r="B1730" s="47" t="s">
        <v>1045</v>
      </c>
      <c r="C1730" s="47">
        <v>50</v>
      </c>
      <c r="D1730" s="47" t="s">
        <v>97</v>
      </c>
      <c r="E1730" s="12">
        <v>46128</v>
      </c>
      <c r="F1730" s="20">
        <f t="shared" ref="F1730:F1793" si="27">EOMONTH(E1730,-1)+1</f>
        <v>46113</v>
      </c>
    </row>
    <row r="1731" spans="1:6" ht="20.25">
      <c r="A1731" s="49"/>
      <c r="B1731" s="47" t="s">
        <v>1137</v>
      </c>
      <c r="C1731" s="47">
        <v>23</v>
      </c>
      <c r="D1731" s="47" t="s">
        <v>66</v>
      </c>
      <c r="E1731" s="12">
        <v>46128</v>
      </c>
      <c r="F1731" s="20">
        <f t="shared" si="27"/>
        <v>46113</v>
      </c>
    </row>
    <row r="1732" spans="1:6" ht="20.25">
      <c r="A1732" s="49"/>
      <c r="B1732" s="47" t="s">
        <v>1059</v>
      </c>
      <c r="C1732" s="47">
        <v>31</v>
      </c>
      <c r="D1732" s="47" t="s">
        <v>63</v>
      </c>
      <c r="E1732" s="12">
        <v>46129</v>
      </c>
      <c r="F1732" s="20">
        <f t="shared" si="27"/>
        <v>46113</v>
      </c>
    </row>
    <row r="1733" spans="1:6" ht="20.25">
      <c r="A1733" s="49"/>
      <c r="B1733" s="47" t="s">
        <v>1059</v>
      </c>
      <c r="C1733" s="47">
        <v>114</v>
      </c>
      <c r="D1733" s="47" t="s">
        <v>63</v>
      </c>
      <c r="E1733" s="12">
        <v>46129</v>
      </c>
      <c r="F1733" s="20">
        <f t="shared" si="27"/>
        <v>46113</v>
      </c>
    </row>
    <row r="1734" spans="1:6" ht="20.25">
      <c r="A1734" s="49"/>
      <c r="B1734" s="47" t="s">
        <v>717</v>
      </c>
      <c r="C1734" s="47">
        <v>5</v>
      </c>
      <c r="D1734" s="47" t="s">
        <v>63</v>
      </c>
      <c r="E1734" s="12">
        <v>46129</v>
      </c>
      <c r="F1734" s="20">
        <f t="shared" si="27"/>
        <v>46113</v>
      </c>
    </row>
    <row r="1735" spans="1:6" ht="20.25">
      <c r="A1735" s="49"/>
      <c r="B1735" s="47" t="s">
        <v>1082</v>
      </c>
      <c r="C1735" s="47">
        <v>47</v>
      </c>
      <c r="D1735" s="47" t="s">
        <v>63</v>
      </c>
      <c r="E1735" s="12">
        <v>46129</v>
      </c>
      <c r="F1735" s="20">
        <f t="shared" si="27"/>
        <v>46113</v>
      </c>
    </row>
    <row r="1736" spans="1:6" ht="20.25">
      <c r="A1736" s="49"/>
      <c r="B1736" s="47" t="s">
        <v>660</v>
      </c>
      <c r="C1736" s="47">
        <v>313</v>
      </c>
      <c r="D1736" s="47" t="s">
        <v>55</v>
      </c>
      <c r="E1736" s="12">
        <v>46129</v>
      </c>
      <c r="F1736" s="20">
        <f t="shared" si="27"/>
        <v>46113</v>
      </c>
    </row>
    <row r="1737" spans="1:6" ht="20.25">
      <c r="A1737" s="49"/>
      <c r="B1737" s="47" t="s">
        <v>701</v>
      </c>
      <c r="C1737" s="47">
        <v>85</v>
      </c>
      <c r="D1737" s="47" t="s">
        <v>55</v>
      </c>
      <c r="E1737" s="12">
        <v>46129</v>
      </c>
      <c r="F1737" s="20">
        <f t="shared" si="27"/>
        <v>46113</v>
      </c>
    </row>
    <row r="1738" spans="1:6" ht="20.25">
      <c r="A1738" s="49"/>
      <c r="B1738" s="47" t="s">
        <v>780</v>
      </c>
      <c r="C1738" s="47">
        <v>133</v>
      </c>
      <c r="D1738" s="47" t="s">
        <v>55</v>
      </c>
      <c r="E1738" s="12">
        <v>46129</v>
      </c>
      <c r="F1738" s="20">
        <f t="shared" si="27"/>
        <v>46113</v>
      </c>
    </row>
    <row r="1739" spans="1:6" ht="20.25">
      <c r="A1739" s="49"/>
      <c r="B1739" s="47" t="s">
        <v>1015</v>
      </c>
      <c r="C1739" s="47">
        <v>52</v>
      </c>
      <c r="D1739" s="47" t="s">
        <v>55</v>
      </c>
      <c r="E1739" s="12">
        <v>46129</v>
      </c>
      <c r="F1739" s="20">
        <f t="shared" si="27"/>
        <v>46113</v>
      </c>
    </row>
    <row r="1740" spans="1:6" ht="20.25">
      <c r="A1740" s="49"/>
      <c r="B1740" s="47" t="s">
        <v>886</v>
      </c>
      <c r="C1740" s="47">
        <v>80</v>
      </c>
      <c r="D1740" s="47" t="s">
        <v>55</v>
      </c>
      <c r="E1740" s="12">
        <v>46129</v>
      </c>
      <c r="F1740" s="20">
        <f t="shared" si="27"/>
        <v>46113</v>
      </c>
    </row>
    <row r="1741" spans="1:6" ht="20.25">
      <c r="A1741" s="49"/>
      <c r="B1741" s="47" t="s">
        <v>1014</v>
      </c>
      <c r="C1741" s="47">
        <v>107</v>
      </c>
      <c r="D1741" s="47" t="s">
        <v>55</v>
      </c>
      <c r="E1741" s="12">
        <v>46129</v>
      </c>
      <c r="F1741" s="20">
        <f t="shared" si="27"/>
        <v>46113</v>
      </c>
    </row>
    <row r="1742" spans="1:6" ht="20.25">
      <c r="A1742" s="49"/>
      <c r="B1742" s="47" t="s">
        <v>1152</v>
      </c>
      <c r="C1742" s="47">
        <v>225</v>
      </c>
      <c r="D1742" s="47" t="s">
        <v>55</v>
      </c>
      <c r="E1742" s="12">
        <v>46129</v>
      </c>
      <c r="F1742" s="20">
        <f t="shared" si="27"/>
        <v>46113</v>
      </c>
    </row>
    <row r="1743" spans="1:6" ht="20.25">
      <c r="A1743" s="49"/>
      <c r="B1743" s="47" t="s">
        <v>1168</v>
      </c>
      <c r="C1743" s="47">
        <v>126</v>
      </c>
      <c r="D1743" s="47" t="s">
        <v>55</v>
      </c>
      <c r="E1743" s="12">
        <v>46129</v>
      </c>
      <c r="F1743" s="20">
        <f t="shared" si="27"/>
        <v>46113</v>
      </c>
    </row>
    <row r="1744" spans="1:6" ht="20.25">
      <c r="A1744" s="49"/>
      <c r="B1744" s="47" t="s">
        <v>782</v>
      </c>
      <c r="C1744" s="47">
        <v>48</v>
      </c>
      <c r="D1744" s="47" t="s">
        <v>55</v>
      </c>
      <c r="E1744" s="12">
        <v>46129</v>
      </c>
      <c r="F1744" s="20">
        <f t="shared" si="27"/>
        <v>46113</v>
      </c>
    </row>
    <row r="1745" spans="1:6" ht="20.25">
      <c r="A1745" s="49"/>
      <c r="B1745" s="47" t="s">
        <v>1123</v>
      </c>
      <c r="C1745" s="47">
        <v>88</v>
      </c>
      <c r="D1745" s="47" t="s">
        <v>95</v>
      </c>
      <c r="E1745" s="12">
        <v>46129</v>
      </c>
      <c r="F1745" s="20">
        <f t="shared" si="27"/>
        <v>46113</v>
      </c>
    </row>
    <row r="1746" spans="1:6" ht="20.25">
      <c r="A1746" s="49"/>
      <c r="B1746" s="47" t="s">
        <v>966</v>
      </c>
      <c r="C1746" s="47">
        <v>41</v>
      </c>
      <c r="D1746" s="47" t="s">
        <v>95</v>
      </c>
      <c r="E1746" s="12">
        <v>46129</v>
      </c>
      <c r="F1746" s="20">
        <f t="shared" si="27"/>
        <v>46113</v>
      </c>
    </row>
    <row r="1747" spans="1:6" ht="20.25">
      <c r="A1747" s="49"/>
      <c r="B1747" s="47" t="s">
        <v>813</v>
      </c>
      <c r="C1747" s="47">
        <v>84</v>
      </c>
      <c r="D1747" s="47" t="s">
        <v>95</v>
      </c>
      <c r="E1747" s="12">
        <v>46129</v>
      </c>
      <c r="F1747" s="20">
        <f t="shared" si="27"/>
        <v>46113</v>
      </c>
    </row>
    <row r="1748" spans="1:6" ht="20.25">
      <c r="A1748" s="49"/>
      <c r="B1748" s="47" t="s">
        <v>810</v>
      </c>
      <c r="C1748" s="47">
        <v>66</v>
      </c>
      <c r="D1748" s="47" t="s">
        <v>95</v>
      </c>
      <c r="E1748" s="12">
        <v>46129</v>
      </c>
      <c r="F1748" s="20">
        <f t="shared" si="27"/>
        <v>46113</v>
      </c>
    </row>
    <row r="1749" spans="1:6" ht="20.25">
      <c r="A1749" s="49"/>
      <c r="B1749" s="47" t="s">
        <v>1549</v>
      </c>
      <c r="C1749" s="47">
        <v>225</v>
      </c>
      <c r="D1749" s="47" t="s">
        <v>95</v>
      </c>
      <c r="E1749" s="12">
        <v>46129</v>
      </c>
      <c r="F1749" s="20">
        <f t="shared" si="27"/>
        <v>46113</v>
      </c>
    </row>
    <row r="1750" spans="1:6" ht="20.25">
      <c r="A1750" s="49"/>
      <c r="B1750" s="47" t="s">
        <v>1549</v>
      </c>
      <c r="C1750" s="47">
        <v>1000</v>
      </c>
      <c r="D1750" s="47" t="s">
        <v>95</v>
      </c>
      <c r="E1750" s="12">
        <v>46129</v>
      </c>
      <c r="F1750" s="20">
        <f t="shared" si="27"/>
        <v>46113</v>
      </c>
    </row>
    <row r="1751" spans="1:6" ht="20.25">
      <c r="A1751" s="49"/>
      <c r="B1751" s="47" t="s">
        <v>1549</v>
      </c>
      <c r="C1751" s="47">
        <v>1000</v>
      </c>
      <c r="D1751" s="47" t="s">
        <v>95</v>
      </c>
      <c r="E1751" s="12">
        <v>46129</v>
      </c>
      <c r="F1751" s="20">
        <f t="shared" si="27"/>
        <v>46113</v>
      </c>
    </row>
    <row r="1752" spans="1:6" ht="20.25">
      <c r="A1752" s="49"/>
      <c r="B1752" s="47" t="s">
        <v>728</v>
      </c>
      <c r="C1752" s="47">
        <v>114</v>
      </c>
      <c r="D1752" s="47" t="s">
        <v>72</v>
      </c>
      <c r="E1752" s="12">
        <v>46129</v>
      </c>
      <c r="F1752" s="20">
        <f t="shared" si="27"/>
        <v>46113</v>
      </c>
    </row>
    <row r="1753" spans="1:6" ht="20.25">
      <c r="A1753" s="49"/>
      <c r="B1753" s="47" t="s">
        <v>917</v>
      </c>
      <c r="C1753" s="47">
        <v>513</v>
      </c>
      <c r="D1753" s="47" t="s">
        <v>72</v>
      </c>
      <c r="E1753" s="12">
        <v>46129</v>
      </c>
      <c r="F1753" s="20">
        <f t="shared" si="27"/>
        <v>46113</v>
      </c>
    </row>
    <row r="1754" spans="1:6" ht="20.25">
      <c r="A1754" s="49"/>
      <c r="B1754" s="47" t="s">
        <v>1038</v>
      </c>
      <c r="C1754" s="47">
        <v>322</v>
      </c>
      <c r="D1754" s="47" t="s">
        <v>72</v>
      </c>
      <c r="E1754" s="12">
        <v>46129</v>
      </c>
      <c r="F1754" s="20">
        <f t="shared" si="27"/>
        <v>46113</v>
      </c>
    </row>
    <row r="1755" spans="1:6" ht="20.25">
      <c r="A1755" s="49"/>
      <c r="B1755" s="47" t="s">
        <v>709</v>
      </c>
      <c r="C1755" s="47">
        <v>319</v>
      </c>
      <c r="D1755" s="47" t="s">
        <v>72</v>
      </c>
      <c r="E1755" s="12">
        <v>46129</v>
      </c>
      <c r="F1755" s="20">
        <f t="shared" si="27"/>
        <v>46113</v>
      </c>
    </row>
    <row r="1756" spans="1:6" ht="20.25">
      <c r="A1756" s="49"/>
      <c r="B1756" s="47" t="s">
        <v>702</v>
      </c>
      <c r="C1756" s="47">
        <v>43</v>
      </c>
      <c r="D1756" s="47" t="s">
        <v>72</v>
      </c>
      <c r="E1756" s="12">
        <v>46129</v>
      </c>
      <c r="F1756" s="20">
        <f t="shared" si="27"/>
        <v>46113</v>
      </c>
    </row>
    <row r="1757" spans="1:6" ht="20.25">
      <c r="A1757" s="49"/>
      <c r="B1757" s="47" t="s">
        <v>1526</v>
      </c>
      <c r="C1757" s="47">
        <v>162</v>
      </c>
      <c r="D1757" s="47" t="s">
        <v>72</v>
      </c>
      <c r="E1757" s="12">
        <v>46129</v>
      </c>
      <c r="F1757" s="20">
        <f t="shared" si="27"/>
        <v>46113</v>
      </c>
    </row>
    <row r="1758" spans="1:6" ht="20.25">
      <c r="A1758" s="49"/>
      <c r="B1758" s="47" t="s">
        <v>705</v>
      </c>
      <c r="C1758" s="47">
        <v>24</v>
      </c>
      <c r="D1758" s="47" t="s">
        <v>133</v>
      </c>
      <c r="E1758" s="12">
        <v>46129</v>
      </c>
      <c r="F1758" s="20">
        <f t="shared" si="27"/>
        <v>46113</v>
      </c>
    </row>
    <row r="1759" spans="1:6" ht="20.25">
      <c r="A1759" s="49"/>
      <c r="B1759" s="47" t="s">
        <v>1127</v>
      </c>
      <c r="C1759" s="47">
        <v>13</v>
      </c>
      <c r="D1759" s="47" t="s">
        <v>133</v>
      </c>
      <c r="E1759" s="12">
        <v>46129</v>
      </c>
      <c r="F1759" s="20">
        <f t="shared" si="27"/>
        <v>46113</v>
      </c>
    </row>
    <row r="1760" spans="1:6" ht="20.25">
      <c r="A1760" s="49"/>
      <c r="B1760" s="47" t="s">
        <v>734</v>
      </c>
      <c r="C1760" s="47">
        <v>44</v>
      </c>
      <c r="D1760" s="47" t="s">
        <v>1484</v>
      </c>
      <c r="E1760" s="12">
        <v>46129</v>
      </c>
      <c r="F1760" s="20">
        <f t="shared" si="27"/>
        <v>46113</v>
      </c>
    </row>
    <row r="1761" spans="1:6" ht="20.25">
      <c r="A1761" s="49"/>
      <c r="B1761" s="47" t="s">
        <v>1076</v>
      </c>
      <c r="C1761" s="47">
        <v>22</v>
      </c>
      <c r="D1761" s="47" t="s">
        <v>1484</v>
      </c>
      <c r="E1761" s="12">
        <v>46129</v>
      </c>
      <c r="F1761" s="20">
        <f t="shared" si="27"/>
        <v>46113</v>
      </c>
    </row>
    <row r="1762" spans="1:6" ht="20.25">
      <c r="A1762" s="49"/>
      <c r="B1762" s="47" t="s">
        <v>925</v>
      </c>
      <c r="C1762" s="47">
        <v>197</v>
      </c>
      <c r="D1762" s="47" t="s">
        <v>160</v>
      </c>
      <c r="E1762" s="12">
        <v>46129</v>
      </c>
      <c r="F1762" s="20">
        <f t="shared" si="27"/>
        <v>46113</v>
      </c>
    </row>
    <row r="1763" spans="1:6" ht="20.25">
      <c r="A1763" s="49"/>
      <c r="B1763" s="47" t="s">
        <v>922</v>
      </c>
      <c r="C1763" s="47">
        <v>64</v>
      </c>
      <c r="D1763" s="47" t="s">
        <v>160</v>
      </c>
      <c r="E1763" s="12">
        <v>46129</v>
      </c>
      <c r="F1763" s="20">
        <f t="shared" si="27"/>
        <v>46113</v>
      </c>
    </row>
    <row r="1764" spans="1:6" ht="20.25">
      <c r="A1764" s="49"/>
      <c r="B1764" s="47" t="s">
        <v>922</v>
      </c>
      <c r="C1764" s="47">
        <v>163</v>
      </c>
      <c r="D1764" s="47" t="s">
        <v>160</v>
      </c>
      <c r="E1764" s="12">
        <v>46129</v>
      </c>
      <c r="F1764" s="20">
        <f t="shared" si="27"/>
        <v>46113</v>
      </c>
    </row>
    <row r="1765" spans="1:6" ht="20.25">
      <c r="A1765" s="49"/>
      <c r="B1765" s="47" t="s">
        <v>922</v>
      </c>
      <c r="C1765" s="47">
        <v>90</v>
      </c>
      <c r="D1765" s="47" t="s">
        <v>160</v>
      </c>
      <c r="E1765" s="12">
        <v>46129</v>
      </c>
      <c r="F1765" s="20">
        <f t="shared" si="27"/>
        <v>46113</v>
      </c>
    </row>
    <row r="1766" spans="1:6" ht="20.25">
      <c r="A1766" s="49"/>
      <c r="B1766" s="47" t="s">
        <v>1278</v>
      </c>
      <c r="C1766" s="47">
        <v>31</v>
      </c>
      <c r="D1766" s="47" t="s">
        <v>160</v>
      </c>
      <c r="E1766" s="12">
        <v>46129</v>
      </c>
      <c r="F1766" s="20">
        <f t="shared" si="27"/>
        <v>46113</v>
      </c>
    </row>
    <row r="1767" spans="1:6" ht="20.25">
      <c r="A1767" s="49"/>
      <c r="B1767" s="47" t="s">
        <v>1278</v>
      </c>
      <c r="C1767" s="47">
        <v>12</v>
      </c>
      <c r="D1767" s="47" t="s">
        <v>160</v>
      </c>
      <c r="E1767" s="12">
        <v>46129</v>
      </c>
      <c r="F1767" s="20">
        <f t="shared" si="27"/>
        <v>46113</v>
      </c>
    </row>
    <row r="1768" spans="1:6" ht="20.25">
      <c r="A1768" s="49"/>
      <c r="B1768" s="47" t="s">
        <v>828</v>
      </c>
      <c r="C1768" s="47">
        <v>78</v>
      </c>
      <c r="D1768" s="47" t="s">
        <v>160</v>
      </c>
      <c r="E1768" s="12">
        <v>46129</v>
      </c>
      <c r="F1768" s="20">
        <f t="shared" si="27"/>
        <v>46113</v>
      </c>
    </row>
    <row r="1769" spans="1:6" ht="20.25">
      <c r="A1769" s="49"/>
      <c r="B1769" s="47" t="s">
        <v>777</v>
      </c>
      <c r="C1769" s="47">
        <v>20</v>
      </c>
      <c r="D1769" s="47" t="s">
        <v>160</v>
      </c>
      <c r="E1769" s="12">
        <v>46129</v>
      </c>
      <c r="F1769" s="20">
        <f t="shared" si="27"/>
        <v>46113</v>
      </c>
    </row>
    <row r="1770" spans="1:6" ht="20.25">
      <c r="A1770" s="49"/>
      <c r="B1770" s="47" t="s">
        <v>986</v>
      </c>
      <c r="C1770" s="47">
        <v>55</v>
      </c>
      <c r="D1770" s="47" t="s">
        <v>160</v>
      </c>
      <c r="E1770" s="12">
        <v>46129</v>
      </c>
      <c r="F1770" s="20">
        <f t="shared" si="27"/>
        <v>46113</v>
      </c>
    </row>
    <row r="1771" spans="1:6" ht="20.25">
      <c r="A1771" s="49"/>
      <c r="B1771" s="47" t="s">
        <v>1017</v>
      </c>
      <c r="C1771" s="47">
        <v>449</v>
      </c>
      <c r="D1771" s="47" t="s">
        <v>63</v>
      </c>
      <c r="E1771" s="12">
        <v>46129</v>
      </c>
      <c r="F1771" s="20">
        <f t="shared" si="27"/>
        <v>46113</v>
      </c>
    </row>
    <row r="1772" spans="1:6" ht="20.25">
      <c r="A1772" s="49"/>
      <c r="B1772" s="47" t="s">
        <v>752</v>
      </c>
      <c r="C1772" s="47">
        <v>300</v>
      </c>
      <c r="D1772" s="47" t="s">
        <v>46</v>
      </c>
      <c r="E1772" s="12">
        <v>46129</v>
      </c>
      <c r="F1772" s="20">
        <f t="shared" si="27"/>
        <v>46113</v>
      </c>
    </row>
    <row r="1773" spans="1:6" ht="20.25">
      <c r="A1773" s="49"/>
      <c r="B1773" s="47" t="s">
        <v>931</v>
      </c>
      <c r="C1773" s="47">
        <v>128</v>
      </c>
      <c r="D1773" s="47" t="s">
        <v>46</v>
      </c>
      <c r="E1773" s="12">
        <v>46129</v>
      </c>
      <c r="F1773" s="20">
        <f t="shared" si="27"/>
        <v>46113</v>
      </c>
    </row>
    <row r="1774" spans="1:6" ht="20.25">
      <c r="A1774" s="49"/>
      <c r="B1774" s="47" t="s">
        <v>1019</v>
      </c>
      <c r="C1774" s="47">
        <v>131</v>
      </c>
      <c r="D1774" s="47" t="s">
        <v>46</v>
      </c>
      <c r="E1774" s="12">
        <v>46129</v>
      </c>
      <c r="F1774" s="20">
        <f t="shared" si="27"/>
        <v>46113</v>
      </c>
    </row>
    <row r="1775" spans="1:6" ht="20.25">
      <c r="A1775" s="49"/>
      <c r="B1775" s="47" t="s">
        <v>804</v>
      </c>
      <c r="C1775" s="47">
        <v>103</v>
      </c>
      <c r="D1775" s="47" t="s">
        <v>46</v>
      </c>
      <c r="E1775" s="12">
        <v>46129</v>
      </c>
      <c r="F1775" s="20">
        <f t="shared" si="27"/>
        <v>46113</v>
      </c>
    </row>
    <row r="1776" spans="1:6" ht="20.25">
      <c r="A1776" s="49"/>
      <c r="B1776" s="47" t="s">
        <v>804</v>
      </c>
      <c r="C1776" s="47">
        <v>101</v>
      </c>
      <c r="D1776" s="47" t="s">
        <v>46</v>
      </c>
      <c r="E1776" s="12">
        <v>46129</v>
      </c>
      <c r="F1776" s="20">
        <f t="shared" si="27"/>
        <v>46113</v>
      </c>
    </row>
    <row r="1777" spans="1:6" ht="20.25">
      <c r="A1777" s="49"/>
      <c r="B1777" s="47" t="s">
        <v>804</v>
      </c>
      <c r="C1777" s="47">
        <v>131</v>
      </c>
      <c r="D1777" s="47" t="s">
        <v>46</v>
      </c>
      <c r="E1777" s="12">
        <v>46129</v>
      </c>
      <c r="F1777" s="20">
        <f t="shared" si="27"/>
        <v>46113</v>
      </c>
    </row>
    <row r="1778" spans="1:6" ht="20.25">
      <c r="A1778" s="49"/>
      <c r="B1778" s="47" t="s">
        <v>1549</v>
      </c>
      <c r="C1778" s="47">
        <v>172</v>
      </c>
      <c r="D1778" s="47" t="s">
        <v>46</v>
      </c>
      <c r="E1778" s="12">
        <v>46129</v>
      </c>
      <c r="F1778" s="20">
        <f t="shared" si="27"/>
        <v>46113</v>
      </c>
    </row>
    <row r="1779" spans="1:6" ht="20.25">
      <c r="A1779" s="49"/>
      <c r="B1779" s="47" t="s">
        <v>843</v>
      </c>
      <c r="C1779" s="47">
        <v>80</v>
      </c>
      <c r="D1779" s="47" t="s">
        <v>46</v>
      </c>
      <c r="E1779" s="12">
        <v>46129</v>
      </c>
      <c r="F1779" s="20">
        <f t="shared" si="27"/>
        <v>46113</v>
      </c>
    </row>
    <row r="1780" spans="1:6" ht="20.25">
      <c r="A1780" s="49"/>
      <c r="B1780" s="47" t="s">
        <v>1590</v>
      </c>
      <c r="C1780" s="47">
        <v>200</v>
      </c>
      <c r="D1780" s="47" t="s">
        <v>46</v>
      </c>
      <c r="E1780" s="12">
        <v>46129</v>
      </c>
      <c r="F1780" s="20">
        <f t="shared" si="27"/>
        <v>46113</v>
      </c>
    </row>
    <row r="1781" spans="1:6" ht="20.25">
      <c r="A1781" s="49"/>
      <c r="B1781" s="47" t="s">
        <v>1549</v>
      </c>
      <c r="C1781" s="47">
        <v>300</v>
      </c>
      <c r="D1781" s="47" t="s">
        <v>46</v>
      </c>
      <c r="E1781" s="12">
        <v>46129</v>
      </c>
      <c r="F1781" s="20">
        <f t="shared" si="27"/>
        <v>46113</v>
      </c>
    </row>
    <row r="1782" spans="1:6" ht="20.25">
      <c r="A1782" s="49"/>
      <c r="B1782" s="47" t="s">
        <v>742</v>
      </c>
      <c r="C1782" s="47">
        <v>129</v>
      </c>
      <c r="D1782" s="47" t="s">
        <v>62</v>
      </c>
      <c r="E1782" s="12">
        <v>46129</v>
      </c>
      <c r="F1782" s="20">
        <f t="shared" si="27"/>
        <v>46113</v>
      </c>
    </row>
    <row r="1783" spans="1:6" ht="20.25">
      <c r="A1783" s="49"/>
      <c r="B1783" s="47" t="s">
        <v>630</v>
      </c>
      <c r="C1783" s="47">
        <v>225</v>
      </c>
      <c r="D1783" s="47" t="s">
        <v>62</v>
      </c>
      <c r="E1783" s="12">
        <v>46129</v>
      </c>
      <c r="F1783" s="20">
        <f t="shared" si="27"/>
        <v>46113</v>
      </c>
    </row>
    <row r="1784" spans="1:6" ht="20.25">
      <c r="A1784" s="49"/>
      <c r="B1784" s="47" t="s">
        <v>921</v>
      </c>
      <c r="C1784" s="47">
        <v>284</v>
      </c>
      <c r="D1784" s="47" t="s">
        <v>62</v>
      </c>
      <c r="E1784" s="12">
        <v>46129</v>
      </c>
      <c r="F1784" s="20">
        <f t="shared" si="27"/>
        <v>46113</v>
      </c>
    </row>
    <row r="1785" spans="1:6" ht="20.25">
      <c r="A1785" s="49"/>
      <c r="B1785" s="47" t="s">
        <v>971</v>
      </c>
      <c r="C1785" s="47">
        <v>60</v>
      </c>
      <c r="D1785" s="47" t="s">
        <v>62</v>
      </c>
      <c r="E1785" s="12">
        <v>46129</v>
      </c>
      <c r="F1785" s="20">
        <f t="shared" si="27"/>
        <v>46113</v>
      </c>
    </row>
    <row r="1786" spans="1:6" ht="20.25">
      <c r="A1786" s="49"/>
      <c r="B1786" s="47" t="s">
        <v>687</v>
      </c>
      <c r="C1786" s="47">
        <v>186</v>
      </c>
      <c r="D1786" s="47" t="s">
        <v>62</v>
      </c>
      <c r="E1786" s="12">
        <v>46129</v>
      </c>
      <c r="F1786" s="20">
        <f t="shared" si="27"/>
        <v>46113</v>
      </c>
    </row>
    <row r="1787" spans="1:6" ht="20.25">
      <c r="A1787" s="49"/>
      <c r="B1787" s="47" t="s">
        <v>1081</v>
      </c>
      <c r="C1787" s="47">
        <v>170</v>
      </c>
      <c r="D1787" s="47" t="s">
        <v>62</v>
      </c>
      <c r="E1787" s="12">
        <v>46129</v>
      </c>
      <c r="F1787" s="20">
        <f t="shared" si="27"/>
        <v>46113</v>
      </c>
    </row>
    <row r="1788" spans="1:6" ht="20.25">
      <c r="A1788" s="49"/>
      <c r="B1788" s="47" t="s">
        <v>744</v>
      </c>
      <c r="C1788" s="47">
        <v>284</v>
      </c>
      <c r="D1788" s="47" t="s">
        <v>62</v>
      </c>
      <c r="E1788" s="12">
        <v>46129</v>
      </c>
      <c r="F1788" s="20">
        <f t="shared" si="27"/>
        <v>46113</v>
      </c>
    </row>
    <row r="1789" spans="1:6" ht="20.25">
      <c r="A1789" s="49"/>
      <c r="B1789" s="47" t="s">
        <v>853</v>
      </c>
      <c r="C1789" s="47">
        <v>205</v>
      </c>
      <c r="D1789" s="47" t="s">
        <v>62</v>
      </c>
      <c r="E1789" s="12">
        <v>46129</v>
      </c>
      <c r="F1789" s="20">
        <f t="shared" si="27"/>
        <v>46113</v>
      </c>
    </row>
    <row r="1790" spans="1:6" ht="20.25">
      <c r="A1790" s="49"/>
      <c r="B1790" s="47" t="s">
        <v>651</v>
      </c>
      <c r="C1790" s="47">
        <v>207</v>
      </c>
      <c r="D1790" s="47" t="s">
        <v>62</v>
      </c>
      <c r="E1790" s="12">
        <v>46129</v>
      </c>
      <c r="F1790" s="20">
        <f t="shared" si="27"/>
        <v>46113</v>
      </c>
    </row>
    <row r="1791" spans="1:6" ht="20.25">
      <c r="A1791" s="49"/>
      <c r="B1791" s="47" t="s">
        <v>1060</v>
      </c>
      <c r="C1791" s="47">
        <v>137</v>
      </c>
      <c r="D1791" s="47" t="s">
        <v>160</v>
      </c>
      <c r="E1791" s="12">
        <v>46129</v>
      </c>
      <c r="F1791" s="20">
        <f t="shared" si="27"/>
        <v>46113</v>
      </c>
    </row>
    <row r="1792" spans="1:6" ht="20.25">
      <c r="A1792" s="49"/>
      <c r="B1792" s="47" t="s">
        <v>1241</v>
      </c>
      <c r="C1792" s="47">
        <v>102</v>
      </c>
      <c r="D1792" s="47" t="s">
        <v>160</v>
      </c>
      <c r="E1792" s="12">
        <v>46129</v>
      </c>
      <c r="F1792" s="20">
        <f t="shared" si="27"/>
        <v>46113</v>
      </c>
    </row>
    <row r="1793" spans="1:6" ht="20.25">
      <c r="A1793" s="49"/>
      <c r="B1793" s="47" t="s">
        <v>728</v>
      </c>
      <c r="C1793" s="47">
        <v>244</v>
      </c>
      <c r="D1793" s="47" t="s">
        <v>72</v>
      </c>
      <c r="E1793" s="12">
        <v>46129</v>
      </c>
      <c r="F1793" s="20">
        <f t="shared" si="27"/>
        <v>46113</v>
      </c>
    </row>
    <row r="1794" spans="1:6" ht="20.25">
      <c r="A1794" s="49"/>
      <c r="B1794" s="47" t="s">
        <v>1353</v>
      </c>
      <c r="C1794" s="47">
        <v>59</v>
      </c>
      <c r="D1794" s="47" t="s">
        <v>55</v>
      </c>
      <c r="E1794" s="12">
        <v>46129</v>
      </c>
      <c r="F1794" s="20">
        <f t="shared" ref="F1794:F1857" si="28">EOMONTH(E1794,-1)+1</f>
        <v>46113</v>
      </c>
    </row>
    <row r="1795" spans="1:6" ht="20.25">
      <c r="A1795" s="49"/>
      <c r="B1795" s="47" t="s">
        <v>1042</v>
      </c>
      <c r="C1795" s="47">
        <v>76</v>
      </c>
      <c r="D1795" s="47" t="s">
        <v>95</v>
      </c>
      <c r="E1795" s="12">
        <v>46129</v>
      </c>
      <c r="F1795" s="20">
        <f t="shared" si="28"/>
        <v>46113</v>
      </c>
    </row>
    <row r="1796" spans="1:6" ht="20.25">
      <c r="A1796" s="49"/>
      <c r="B1796" s="47" t="s">
        <v>988</v>
      </c>
      <c r="C1796" s="47">
        <v>190</v>
      </c>
      <c r="D1796" s="47" t="s">
        <v>160</v>
      </c>
      <c r="E1796" s="12">
        <v>46129</v>
      </c>
      <c r="F1796" s="20">
        <f t="shared" si="28"/>
        <v>46113</v>
      </c>
    </row>
    <row r="1797" spans="1:6" ht="20.25">
      <c r="A1797" s="49"/>
      <c r="B1797" s="47" t="s">
        <v>715</v>
      </c>
      <c r="C1797" s="47">
        <v>951</v>
      </c>
      <c r="D1797" s="47" t="s">
        <v>82</v>
      </c>
      <c r="E1797" s="12">
        <v>46129</v>
      </c>
      <c r="F1797" s="20">
        <f t="shared" si="28"/>
        <v>46113</v>
      </c>
    </row>
    <row r="1798" spans="1:6" ht="20.25">
      <c r="A1798" s="49"/>
      <c r="B1798" s="47" t="s">
        <v>1329</v>
      </c>
      <c r="C1798" s="47">
        <v>71</v>
      </c>
      <c r="D1798" s="47" t="s">
        <v>82</v>
      </c>
      <c r="E1798" s="12">
        <v>46129</v>
      </c>
      <c r="F1798" s="20">
        <f t="shared" si="28"/>
        <v>46113</v>
      </c>
    </row>
    <row r="1799" spans="1:6" ht="20.25">
      <c r="A1799" s="49"/>
      <c r="B1799" s="47" t="s">
        <v>697</v>
      </c>
      <c r="C1799" s="47">
        <v>265</v>
      </c>
      <c r="D1799" s="47" t="s">
        <v>82</v>
      </c>
      <c r="E1799" s="12">
        <v>46129</v>
      </c>
      <c r="F1799" s="20">
        <f t="shared" si="28"/>
        <v>46113</v>
      </c>
    </row>
    <row r="1800" spans="1:6" ht="20.25">
      <c r="A1800" s="49"/>
      <c r="B1800" s="47" t="s">
        <v>745</v>
      </c>
      <c r="C1800" s="47">
        <v>178</v>
      </c>
      <c r="D1800" s="47" t="s">
        <v>82</v>
      </c>
      <c r="E1800" s="12">
        <v>46129</v>
      </c>
      <c r="F1800" s="20">
        <f t="shared" si="28"/>
        <v>46113</v>
      </c>
    </row>
    <row r="1801" spans="1:6" ht="20.25">
      <c r="A1801" s="49"/>
      <c r="B1801" s="47" t="s">
        <v>633</v>
      </c>
      <c r="C1801" s="47">
        <v>70</v>
      </c>
      <c r="D1801" s="47" t="s">
        <v>82</v>
      </c>
      <c r="E1801" s="12">
        <v>46129</v>
      </c>
      <c r="F1801" s="20">
        <f t="shared" si="28"/>
        <v>46113</v>
      </c>
    </row>
    <row r="1802" spans="1:6" ht="20.25">
      <c r="A1802" s="49"/>
      <c r="B1802" s="47" t="s">
        <v>633</v>
      </c>
      <c r="C1802" s="47">
        <v>213</v>
      </c>
      <c r="D1802" s="47" t="s">
        <v>82</v>
      </c>
      <c r="E1802" s="12">
        <v>46129</v>
      </c>
      <c r="F1802" s="20">
        <f t="shared" si="28"/>
        <v>46113</v>
      </c>
    </row>
    <row r="1803" spans="1:6" ht="20.25">
      <c r="A1803" s="49"/>
      <c r="B1803" s="47" t="s">
        <v>1602</v>
      </c>
      <c r="C1803" s="47">
        <v>528</v>
      </c>
      <c r="D1803" s="47" t="s">
        <v>133</v>
      </c>
      <c r="E1803" s="12">
        <v>46129</v>
      </c>
      <c r="F1803" s="20">
        <f t="shared" si="28"/>
        <v>46113</v>
      </c>
    </row>
    <row r="1804" spans="1:6" ht="20.25">
      <c r="A1804" s="49"/>
      <c r="B1804" s="47" t="s">
        <v>972</v>
      </c>
      <c r="C1804" s="47">
        <v>103</v>
      </c>
      <c r="D1804" s="47" t="s">
        <v>82</v>
      </c>
      <c r="E1804" s="12">
        <v>46129</v>
      </c>
      <c r="F1804" s="20">
        <f t="shared" si="28"/>
        <v>46113</v>
      </c>
    </row>
    <row r="1805" spans="1:6" ht="20.25">
      <c r="A1805" s="49"/>
      <c r="B1805" s="47" t="s">
        <v>1111</v>
      </c>
      <c r="C1805" s="47">
        <v>38</v>
      </c>
      <c r="D1805" s="47" t="s">
        <v>82</v>
      </c>
      <c r="E1805" s="12">
        <v>46129</v>
      </c>
      <c r="F1805" s="20">
        <f t="shared" si="28"/>
        <v>46113</v>
      </c>
    </row>
    <row r="1806" spans="1:6" ht="20.25">
      <c r="A1806" s="49"/>
      <c r="B1806" s="47" t="s">
        <v>698</v>
      </c>
      <c r="C1806" s="47">
        <v>10</v>
      </c>
      <c r="D1806" s="47" t="s">
        <v>82</v>
      </c>
      <c r="E1806" s="12">
        <v>46129</v>
      </c>
      <c r="F1806" s="20">
        <f t="shared" si="28"/>
        <v>46113</v>
      </c>
    </row>
    <row r="1807" spans="1:6" ht="20.25">
      <c r="A1807" s="49"/>
      <c r="B1807" s="47" t="s">
        <v>1237</v>
      </c>
      <c r="C1807" s="47">
        <v>7</v>
      </c>
      <c r="D1807" s="47" t="s">
        <v>82</v>
      </c>
      <c r="E1807" s="12">
        <v>46129</v>
      </c>
      <c r="F1807" s="20">
        <f t="shared" si="28"/>
        <v>46113</v>
      </c>
    </row>
    <row r="1808" spans="1:6" ht="20.25">
      <c r="A1808" s="49"/>
      <c r="B1808" s="47" t="s">
        <v>1234</v>
      </c>
      <c r="C1808" s="47">
        <v>154</v>
      </c>
      <c r="D1808" s="47" t="s">
        <v>82</v>
      </c>
      <c r="E1808" s="12">
        <v>46129</v>
      </c>
      <c r="F1808" s="20">
        <f t="shared" si="28"/>
        <v>46113</v>
      </c>
    </row>
    <row r="1809" spans="1:6" ht="20.25">
      <c r="A1809" s="49"/>
      <c r="B1809" s="47" t="s">
        <v>1080</v>
      </c>
      <c r="C1809" s="47">
        <v>150</v>
      </c>
      <c r="D1809" s="47" t="s">
        <v>82</v>
      </c>
      <c r="E1809" s="12">
        <v>46129</v>
      </c>
      <c r="F1809" s="20">
        <f t="shared" si="28"/>
        <v>46113</v>
      </c>
    </row>
    <row r="1810" spans="1:6" ht="20.25">
      <c r="A1810" s="49"/>
      <c r="B1810" s="47" t="s">
        <v>1082</v>
      </c>
      <c r="C1810" s="47">
        <v>79</v>
      </c>
      <c r="D1810" s="47" t="s">
        <v>82</v>
      </c>
      <c r="E1810" s="12">
        <v>46129</v>
      </c>
      <c r="F1810" s="20">
        <f t="shared" si="28"/>
        <v>46113</v>
      </c>
    </row>
    <row r="1811" spans="1:6" ht="20.25">
      <c r="A1811" s="49"/>
      <c r="B1811" s="47" t="s">
        <v>845</v>
      </c>
      <c r="C1811" s="47">
        <v>187</v>
      </c>
      <c r="D1811" s="47" t="s">
        <v>82</v>
      </c>
      <c r="E1811" s="12">
        <v>46129</v>
      </c>
      <c r="F1811" s="20">
        <f t="shared" si="28"/>
        <v>46113</v>
      </c>
    </row>
    <row r="1812" spans="1:6" ht="20.25">
      <c r="A1812" s="49"/>
      <c r="B1812" s="47" t="s">
        <v>603</v>
      </c>
      <c r="C1812" s="47">
        <v>193</v>
      </c>
      <c r="D1812" s="47" t="s">
        <v>82</v>
      </c>
      <c r="E1812" s="12">
        <v>46129</v>
      </c>
      <c r="F1812" s="20">
        <f t="shared" si="28"/>
        <v>46113</v>
      </c>
    </row>
    <row r="1813" spans="1:6" ht="20.25">
      <c r="A1813" s="49"/>
      <c r="B1813" s="47" t="s">
        <v>851</v>
      </c>
      <c r="C1813" s="47">
        <v>209</v>
      </c>
      <c r="D1813" s="47" t="s">
        <v>82</v>
      </c>
      <c r="E1813" s="12">
        <v>46129</v>
      </c>
      <c r="F1813" s="20">
        <f t="shared" si="28"/>
        <v>46113</v>
      </c>
    </row>
    <row r="1814" spans="1:6" ht="20.25">
      <c r="A1814" s="49"/>
      <c r="B1814" s="47" t="s">
        <v>800</v>
      </c>
      <c r="C1814" s="47">
        <v>52</v>
      </c>
      <c r="D1814" s="47" t="s">
        <v>55</v>
      </c>
      <c r="E1814" s="12">
        <v>46129</v>
      </c>
      <c r="F1814" s="20">
        <f t="shared" si="28"/>
        <v>46113</v>
      </c>
    </row>
    <row r="1815" spans="1:6" ht="20.25">
      <c r="A1815" s="49"/>
      <c r="B1815" s="47" t="s">
        <v>1549</v>
      </c>
      <c r="C1815" s="47">
        <v>1000</v>
      </c>
      <c r="D1815" s="47" t="s">
        <v>66</v>
      </c>
      <c r="E1815" s="12">
        <v>46129</v>
      </c>
      <c r="F1815" s="20">
        <f t="shared" si="28"/>
        <v>46113</v>
      </c>
    </row>
    <row r="1816" spans="1:6" ht="20.25">
      <c r="A1816" s="49"/>
      <c r="B1816" s="47" t="s">
        <v>607</v>
      </c>
      <c r="C1816" s="47">
        <v>41</v>
      </c>
      <c r="D1816" s="47" t="s">
        <v>66</v>
      </c>
      <c r="E1816" s="12">
        <v>46129</v>
      </c>
      <c r="F1816" s="20">
        <f t="shared" si="28"/>
        <v>46113</v>
      </c>
    </row>
    <row r="1817" spans="1:6" ht="20.25">
      <c r="A1817" s="49"/>
      <c r="B1817" s="47" t="s">
        <v>1097</v>
      </c>
      <c r="C1817" s="47">
        <v>159</v>
      </c>
      <c r="D1817" s="47" t="s">
        <v>66</v>
      </c>
      <c r="E1817" s="12">
        <v>46129</v>
      </c>
      <c r="F1817" s="20">
        <f t="shared" si="28"/>
        <v>46113</v>
      </c>
    </row>
    <row r="1818" spans="1:6" ht="20.25">
      <c r="A1818" s="49"/>
      <c r="B1818" s="47" t="s">
        <v>1158</v>
      </c>
      <c r="C1818" s="47">
        <v>43</v>
      </c>
      <c r="D1818" s="47" t="s">
        <v>66</v>
      </c>
      <c r="E1818" s="12">
        <v>46129</v>
      </c>
      <c r="F1818" s="20">
        <f t="shared" si="28"/>
        <v>46113</v>
      </c>
    </row>
    <row r="1819" spans="1:6" ht="20.25">
      <c r="A1819" s="49"/>
      <c r="B1819" s="47" t="s">
        <v>735</v>
      </c>
      <c r="C1819" s="47">
        <v>283</v>
      </c>
      <c r="D1819" s="47" t="s">
        <v>66</v>
      </c>
      <c r="E1819" s="12">
        <v>46129</v>
      </c>
      <c r="F1819" s="20">
        <f t="shared" si="28"/>
        <v>46113</v>
      </c>
    </row>
    <row r="1820" spans="1:6" ht="20.25">
      <c r="A1820" s="49"/>
      <c r="B1820" s="47" t="s">
        <v>985</v>
      </c>
      <c r="C1820" s="47">
        <v>112</v>
      </c>
      <c r="D1820" s="47" t="s">
        <v>66</v>
      </c>
      <c r="E1820" s="12">
        <v>46129</v>
      </c>
      <c r="F1820" s="20">
        <f t="shared" si="28"/>
        <v>46113</v>
      </c>
    </row>
    <row r="1821" spans="1:6" ht="20.25">
      <c r="A1821" s="49"/>
      <c r="B1821" s="47" t="s">
        <v>734</v>
      </c>
      <c r="C1821" s="47">
        <v>42</v>
      </c>
      <c r="D1821" s="47" t="s">
        <v>66</v>
      </c>
      <c r="E1821" s="12">
        <v>46129</v>
      </c>
      <c r="F1821" s="20">
        <f t="shared" si="28"/>
        <v>46113</v>
      </c>
    </row>
    <row r="1822" spans="1:6" ht="20.25">
      <c r="A1822" s="49"/>
      <c r="B1822" s="47" t="s">
        <v>1525</v>
      </c>
      <c r="C1822" s="47">
        <v>304</v>
      </c>
      <c r="D1822" s="47" t="s">
        <v>46</v>
      </c>
      <c r="E1822" s="12">
        <v>46129</v>
      </c>
      <c r="F1822" s="20">
        <f t="shared" si="28"/>
        <v>46113</v>
      </c>
    </row>
    <row r="1823" spans="1:6" ht="20.25">
      <c r="A1823" s="49"/>
      <c r="B1823" s="47" t="s">
        <v>1086</v>
      </c>
      <c r="C1823" s="47">
        <v>115</v>
      </c>
      <c r="D1823" s="47" t="s">
        <v>114</v>
      </c>
      <c r="E1823" s="12">
        <v>46129</v>
      </c>
      <c r="F1823" s="20">
        <f t="shared" si="28"/>
        <v>46113</v>
      </c>
    </row>
    <row r="1824" spans="1:6" ht="20.25">
      <c r="A1824" s="49"/>
      <c r="B1824" s="47" t="s">
        <v>1486</v>
      </c>
      <c r="C1824" s="47">
        <v>83</v>
      </c>
      <c r="D1824" s="47" t="s">
        <v>114</v>
      </c>
      <c r="E1824" s="12">
        <v>46129</v>
      </c>
      <c r="F1824" s="20">
        <f t="shared" si="28"/>
        <v>46113</v>
      </c>
    </row>
    <row r="1825" spans="1:6" ht="20.25">
      <c r="A1825" s="49"/>
      <c r="B1825" s="47" t="s">
        <v>1064</v>
      </c>
      <c r="C1825" s="47">
        <v>23</v>
      </c>
      <c r="D1825" s="47" t="s">
        <v>114</v>
      </c>
      <c r="E1825" s="12">
        <v>46129</v>
      </c>
      <c r="F1825" s="20">
        <f t="shared" si="28"/>
        <v>46113</v>
      </c>
    </row>
    <row r="1826" spans="1:6" ht="20.25">
      <c r="A1826" s="49"/>
      <c r="B1826" s="47" t="s">
        <v>1254</v>
      </c>
      <c r="C1826" s="47">
        <v>24</v>
      </c>
      <c r="D1826" s="47" t="s">
        <v>114</v>
      </c>
      <c r="E1826" s="12">
        <v>46129</v>
      </c>
      <c r="F1826" s="20">
        <f t="shared" si="28"/>
        <v>46113</v>
      </c>
    </row>
    <row r="1827" spans="1:6" ht="20.25">
      <c r="A1827" s="49"/>
      <c r="B1827" s="47" t="s">
        <v>1281</v>
      </c>
      <c r="C1827" s="47">
        <v>131</v>
      </c>
      <c r="D1827" s="47" t="s">
        <v>114</v>
      </c>
      <c r="E1827" s="12">
        <v>46129</v>
      </c>
      <c r="F1827" s="20">
        <f t="shared" si="28"/>
        <v>46113</v>
      </c>
    </row>
    <row r="1828" spans="1:6" ht="20.25">
      <c r="A1828" s="49"/>
      <c r="B1828" s="47" t="s">
        <v>769</v>
      </c>
      <c r="C1828" s="47">
        <v>38</v>
      </c>
      <c r="D1828" s="47" t="s">
        <v>114</v>
      </c>
      <c r="E1828" s="12">
        <v>46129</v>
      </c>
      <c r="F1828" s="20">
        <f t="shared" si="28"/>
        <v>46113</v>
      </c>
    </row>
    <row r="1829" spans="1:6" ht="20.25">
      <c r="A1829" s="49"/>
      <c r="B1829" s="47" t="s">
        <v>1462</v>
      </c>
      <c r="C1829" s="47">
        <v>60</v>
      </c>
      <c r="D1829" s="47" t="s">
        <v>114</v>
      </c>
      <c r="E1829" s="12">
        <v>46129</v>
      </c>
      <c r="F1829" s="20">
        <f t="shared" si="28"/>
        <v>46113</v>
      </c>
    </row>
    <row r="1830" spans="1:6" ht="20.25">
      <c r="A1830" s="49"/>
      <c r="B1830" s="47" t="s">
        <v>775</v>
      </c>
      <c r="C1830" s="47">
        <v>223</v>
      </c>
      <c r="D1830" s="47" t="s">
        <v>114</v>
      </c>
      <c r="E1830" s="12">
        <v>46129</v>
      </c>
      <c r="F1830" s="20">
        <f t="shared" si="28"/>
        <v>46113</v>
      </c>
    </row>
    <row r="1831" spans="1:6" ht="20.25">
      <c r="A1831" s="49"/>
      <c r="B1831" s="47" t="s">
        <v>1002</v>
      </c>
      <c r="C1831" s="47">
        <v>145</v>
      </c>
      <c r="D1831" s="47" t="s">
        <v>114</v>
      </c>
      <c r="E1831" s="12">
        <v>46129</v>
      </c>
      <c r="F1831" s="20">
        <f t="shared" si="28"/>
        <v>46113</v>
      </c>
    </row>
    <row r="1832" spans="1:6" ht="20.25">
      <c r="A1832" s="49"/>
      <c r="B1832" s="47" t="s">
        <v>723</v>
      </c>
      <c r="C1832" s="47">
        <v>32</v>
      </c>
      <c r="D1832" s="47" t="s">
        <v>114</v>
      </c>
      <c r="E1832" s="12">
        <v>46129</v>
      </c>
      <c r="F1832" s="20">
        <f t="shared" si="28"/>
        <v>46113</v>
      </c>
    </row>
    <row r="1833" spans="1:6" ht="20.25">
      <c r="A1833" s="49"/>
      <c r="B1833" s="47" t="s">
        <v>899</v>
      </c>
      <c r="C1833" s="47">
        <v>48</v>
      </c>
      <c r="D1833" s="47" t="s">
        <v>114</v>
      </c>
      <c r="E1833" s="12">
        <v>46129</v>
      </c>
      <c r="F1833" s="20">
        <f t="shared" si="28"/>
        <v>46113</v>
      </c>
    </row>
    <row r="1834" spans="1:6" ht="20.25">
      <c r="A1834" s="49"/>
      <c r="B1834" s="47" t="s">
        <v>1605</v>
      </c>
      <c r="C1834" s="47">
        <v>5</v>
      </c>
      <c r="D1834" s="47" t="s">
        <v>133</v>
      </c>
      <c r="E1834" s="12">
        <v>46129</v>
      </c>
      <c r="F1834" s="20">
        <f t="shared" si="28"/>
        <v>46113</v>
      </c>
    </row>
    <row r="1835" spans="1:6" ht="20.25">
      <c r="A1835" s="49"/>
      <c r="B1835" s="47" t="s">
        <v>718</v>
      </c>
      <c r="C1835" s="47">
        <v>83</v>
      </c>
      <c r="D1835" s="47" t="s">
        <v>63</v>
      </c>
      <c r="E1835" s="12">
        <v>46129</v>
      </c>
      <c r="F1835" s="20">
        <f t="shared" si="28"/>
        <v>46113</v>
      </c>
    </row>
    <row r="1836" spans="1:6" ht="20.25">
      <c r="A1836" s="49"/>
      <c r="B1836" s="47" t="s">
        <v>963</v>
      </c>
      <c r="C1836" s="47">
        <v>292</v>
      </c>
      <c r="D1836" s="47" t="s">
        <v>63</v>
      </c>
      <c r="E1836" s="12">
        <v>46129</v>
      </c>
      <c r="F1836" s="20">
        <f t="shared" si="28"/>
        <v>46113</v>
      </c>
    </row>
    <row r="1837" spans="1:6" ht="20.25">
      <c r="A1837" s="49"/>
      <c r="B1837" s="47" t="s">
        <v>1063</v>
      </c>
      <c r="C1837" s="47">
        <v>66</v>
      </c>
      <c r="D1837" s="47" t="s">
        <v>160</v>
      </c>
      <c r="E1837" s="12">
        <v>46129</v>
      </c>
      <c r="F1837" s="20">
        <f t="shared" si="28"/>
        <v>46113</v>
      </c>
    </row>
    <row r="1838" spans="1:6" ht="20.25">
      <c r="A1838" s="49"/>
      <c r="B1838" s="47" t="s">
        <v>882</v>
      </c>
      <c r="C1838" s="47">
        <v>64</v>
      </c>
      <c r="D1838" s="47" t="s">
        <v>63</v>
      </c>
      <c r="E1838" s="12">
        <v>46129</v>
      </c>
      <c r="F1838" s="20">
        <f t="shared" si="28"/>
        <v>46113</v>
      </c>
    </row>
    <row r="1839" spans="1:6" ht="20.25">
      <c r="A1839" s="49"/>
      <c r="B1839" s="47" t="s">
        <v>1351</v>
      </c>
      <c r="C1839" s="47">
        <v>519</v>
      </c>
      <c r="D1839" s="47" t="s">
        <v>63</v>
      </c>
      <c r="E1839" s="12">
        <v>46129</v>
      </c>
      <c r="F1839" s="20">
        <f t="shared" si="28"/>
        <v>46113</v>
      </c>
    </row>
    <row r="1840" spans="1:6" ht="20.25">
      <c r="A1840" s="49"/>
      <c r="B1840" s="47" t="s">
        <v>1549</v>
      </c>
      <c r="C1840" s="47">
        <v>102</v>
      </c>
      <c r="D1840" s="47" t="s">
        <v>66</v>
      </c>
      <c r="E1840" s="12">
        <v>46129</v>
      </c>
      <c r="F1840" s="20">
        <f t="shared" si="28"/>
        <v>46113</v>
      </c>
    </row>
    <row r="1841" spans="1:6" ht="20.25">
      <c r="A1841" s="49"/>
      <c r="B1841" s="47" t="s">
        <v>773</v>
      </c>
      <c r="C1841" s="47">
        <v>135</v>
      </c>
      <c r="D1841" s="47" t="s">
        <v>66</v>
      </c>
      <c r="E1841" s="12">
        <v>46129</v>
      </c>
      <c r="F1841" s="20">
        <f t="shared" si="28"/>
        <v>46113</v>
      </c>
    </row>
    <row r="1842" spans="1:6" ht="20.25">
      <c r="A1842" s="49"/>
      <c r="B1842" s="47" t="s">
        <v>695</v>
      </c>
      <c r="C1842" s="47">
        <v>85</v>
      </c>
      <c r="D1842" s="47" t="s">
        <v>66</v>
      </c>
      <c r="E1842" s="12">
        <v>46129</v>
      </c>
      <c r="F1842" s="20">
        <f t="shared" si="28"/>
        <v>46113</v>
      </c>
    </row>
    <row r="1843" spans="1:6" ht="20.25">
      <c r="A1843" s="49"/>
      <c r="B1843" s="47" t="s">
        <v>695</v>
      </c>
      <c r="C1843" s="47">
        <v>60</v>
      </c>
      <c r="D1843" s="47" t="s">
        <v>66</v>
      </c>
      <c r="E1843" s="12">
        <v>46129</v>
      </c>
      <c r="F1843" s="20">
        <f t="shared" si="28"/>
        <v>46113</v>
      </c>
    </row>
    <row r="1844" spans="1:6" ht="20.25">
      <c r="A1844" s="49"/>
      <c r="B1844" s="47" t="s">
        <v>731</v>
      </c>
      <c r="C1844" s="47">
        <v>282</v>
      </c>
      <c r="D1844" s="47" t="s">
        <v>97</v>
      </c>
      <c r="E1844" s="12">
        <v>46129</v>
      </c>
      <c r="F1844" s="20">
        <f t="shared" si="28"/>
        <v>46113</v>
      </c>
    </row>
    <row r="1845" spans="1:6" ht="20.25">
      <c r="A1845" s="49"/>
      <c r="B1845" s="47" t="s">
        <v>731</v>
      </c>
      <c r="C1845" s="47">
        <v>116</v>
      </c>
      <c r="D1845" s="47" t="s">
        <v>97</v>
      </c>
      <c r="E1845" s="12">
        <v>46129</v>
      </c>
      <c r="F1845" s="20">
        <f t="shared" si="28"/>
        <v>46113</v>
      </c>
    </row>
    <row r="1846" spans="1:6" ht="20.25">
      <c r="A1846" s="49"/>
      <c r="B1846" s="47" t="s">
        <v>725</v>
      </c>
      <c r="C1846" s="47">
        <v>321</v>
      </c>
      <c r="D1846" s="47" t="s">
        <v>97</v>
      </c>
      <c r="E1846" s="12">
        <v>46129</v>
      </c>
      <c r="F1846" s="20">
        <f t="shared" si="28"/>
        <v>46113</v>
      </c>
    </row>
    <row r="1847" spans="1:6" ht="20.25">
      <c r="A1847" s="49"/>
      <c r="B1847" s="47" t="s">
        <v>758</v>
      </c>
      <c r="C1847" s="47">
        <v>152</v>
      </c>
      <c r="D1847" s="47" t="s">
        <v>97</v>
      </c>
      <c r="E1847" s="12">
        <v>46129</v>
      </c>
      <c r="F1847" s="20">
        <f t="shared" si="28"/>
        <v>46113</v>
      </c>
    </row>
    <row r="1848" spans="1:6" ht="20.25">
      <c r="A1848" s="49"/>
      <c r="B1848" s="47" t="s">
        <v>758</v>
      </c>
      <c r="C1848" s="47">
        <v>110</v>
      </c>
      <c r="D1848" s="47" t="s">
        <v>97</v>
      </c>
      <c r="E1848" s="12">
        <v>46129</v>
      </c>
      <c r="F1848" s="20">
        <f t="shared" si="28"/>
        <v>46113</v>
      </c>
    </row>
    <row r="1849" spans="1:6" ht="20.25">
      <c r="A1849" s="49"/>
      <c r="B1849" s="47" t="s">
        <v>1549</v>
      </c>
      <c r="C1849" s="47">
        <v>23</v>
      </c>
      <c r="D1849" s="47" t="s">
        <v>97</v>
      </c>
      <c r="E1849" s="12">
        <v>46129</v>
      </c>
      <c r="F1849" s="20">
        <f t="shared" si="28"/>
        <v>46113</v>
      </c>
    </row>
    <row r="1850" spans="1:6" ht="20.25">
      <c r="A1850" s="49"/>
      <c r="B1850" s="47" t="s">
        <v>1045</v>
      </c>
      <c r="C1850" s="47">
        <v>367</v>
      </c>
      <c r="D1850" s="47" t="s">
        <v>97</v>
      </c>
      <c r="E1850" s="12">
        <v>46129</v>
      </c>
      <c r="F1850" s="20">
        <f t="shared" si="28"/>
        <v>46113</v>
      </c>
    </row>
    <row r="1851" spans="1:6" ht="20.25">
      <c r="A1851" s="49"/>
      <c r="B1851" s="47" t="s">
        <v>1357</v>
      </c>
      <c r="C1851" s="47">
        <v>353</v>
      </c>
      <c r="D1851" s="47" t="s">
        <v>97</v>
      </c>
      <c r="E1851" s="12">
        <v>46129</v>
      </c>
      <c r="F1851" s="20">
        <f t="shared" si="28"/>
        <v>46113</v>
      </c>
    </row>
    <row r="1852" spans="1:6" ht="20.25">
      <c r="A1852" s="49"/>
      <c r="B1852" s="47" t="s">
        <v>958</v>
      </c>
      <c r="C1852" s="47">
        <v>344</v>
      </c>
      <c r="D1852" s="47" t="s">
        <v>62</v>
      </c>
      <c r="E1852" s="12">
        <v>46129</v>
      </c>
      <c r="F1852" s="20">
        <f t="shared" si="28"/>
        <v>46113</v>
      </c>
    </row>
    <row r="1853" spans="1:6" ht="20.25">
      <c r="A1853" s="49"/>
      <c r="B1853" s="47" t="s">
        <v>742</v>
      </c>
      <c r="C1853" s="47">
        <v>232</v>
      </c>
      <c r="D1853" s="47" t="s">
        <v>63</v>
      </c>
      <c r="E1853" s="12">
        <v>46129</v>
      </c>
      <c r="F1853" s="20">
        <f t="shared" si="28"/>
        <v>46113</v>
      </c>
    </row>
    <row r="1854" spans="1:6" ht="20.25">
      <c r="A1854" s="49"/>
      <c r="B1854" s="47" t="s">
        <v>677</v>
      </c>
      <c r="C1854" s="47">
        <v>520</v>
      </c>
      <c r="D1854" s="47" t="s">
        <v>62</v>
      </c>
      <c r="E1854" s="12">
        <v>46129</v>
      </c>
      <c r="F1854" s="20">
        <f t="shared" si="28"/>
        <v>46113</v>
      </c>
    </row>
    <row r="1855" spans="1:6" ht="20.25">
      <c r="A1855" s="49"/>
      <c r="B1855" s="47" t="s">
        <v>1088</v>
      </c>
      <c r="C1855" s="47">
        <v>20</v>
      </c>
      <c r="D1855" s="47" t="s">
        <v>114</v>
      </c>
      <c r="E1855" s="12">
        <v>46129</v>
      </c>
      <c r="F1855" s="20">
        <f t="shared" si="28"/>
        <v>46113</v>
      </c>
    </row>
    <row r="1856" spans="1:6" ht="20.25">
      <c r="A1856" s="49"/>
      <c r="B1856" s="47" t="s">
        <v>1064</v>
      </c>
      <c r="C1856" s="47">
        <v>64</v>
      </c>
      <c r="D1856" s="47" t="s">
        <v>114</v>
      </c>
      <c r="E1856" s="12">
        <v>46129</v>
      </c>
      <c r="F1856" s="20">
        <f t="shared" si="28"/>
        <v>46113</v>
      </c>
    </row>
    <row r="1857" spans="1:6" ht="20.25">
      <c r="A1857" s="49"/>
      <c r="B1857" s="47" t="s">
        <v>946</v>
      </c>
      <c r="C1857" s="47">
        <v>6</v>
      </c>
      <c r="D1857" s="47" t="s">
        <v>95</v>
      </c>
      <c r="E1857" s="12">
        <v>46130</v>
      </c>
      <c r="F1857" s="20">
        <f t="shared" si="28"/>
        <v>46113</v>
      </c>
    </row>
    <row r="1858" spans="1:6" ht="20.25">
      <c r="A1858" s="49"/>
      <c r="B1858" s="47" t="s">
        <v>998</v>
      </c>
      <c r="C1858" s="47">
        <v>44</v>
      </c>
      <c r="D1858" s="47" t="s">
        <v>95</v>
      </c>
      <c r="E1858" s="12">
        <v>46130</v>
      </c>
      <c r="F1858" s="20">
        <f t="shared" ref="F1858:F1921" si="29">EOMONTH(E1858,-1)+1</f>
        <v>46113</v>
      </c>
    </row>
    <row r="1859" spans="1:6" ht="20.25">
      <c r="A1859" s="49"/>
      <c r="B1859" s="47" t="s">
        <v>1341</v>
      </c>
      <c r="C1859" s="47">
        <v>35</v>
      </c>
      <c r="D1859" s="47" t="s">
        <v>95</v>
      </c>
      <c r="E1859" s="12">
        <v>46130</v>
      </c>
      <c r="F1859" s="20">
        <f t="shared" si="29"/>
        <v>46113</v>
      </c>
    </row>
    <row r="1860" spans="1:6" ht="20.25">
      <c r="A1860" s="49"/>
      <c r="B1860" s="47" t="s">
        <v>1444</v>
      </c>
      <c r="C1860" s="47">
        <v>53</v>
      </c>
      <c r="D1860" s="47" t="s">
        <v>95</v>
      </c>
      <c r="E1860" s="12">
        <v>46130</v>
      </c>
      <c r="F1860" s="20">
        <f t="shared" si="29"/>
        <v>46113</v>
      </c>
    </row>
    <row r="1861" spans="1:6" ht="20.25">
      <c r="A1861" s="49"/>
      <c r="B1861" s="47" t="s">
        <v>820</v>
      </c>
      <c r="C1861" s="47">
        <v>131</v>
      </c>
      <c r="D1861" s="47" t="s">
        <v>95</v>
      </c>
      <c r="E1861" s="12">
        <v>46130</v>
      </c>
      <c r="F1861" s="20">
        <f t="shared" si="29"/>
        <v>46113</v>
      </c>
    </row>
    <row r="1862" spans="1:6" ht="20.25">
      <c r="A1862" s="49"/>
      <c r="B1862" s="47" t="s">
        <v>820</v>
      </c>
      <c r="C1862" s="47">
        <v>52</v>
      </c>
      <c r="D1862" s="47" t="s">
        <v>95</v>
      </c>
      <c r="E1862" s="12">
        <v>46130</v>
      </c>
      <c r="F1862" s="20">
        <f t="shared" si="29"/>
        <v>46113</v>
      </c>
    </row>
    <row r="1863" spans="1:6" ht="20.25">
      <c r="A1863" s="49"/>
      <c r="B1863" s="47" t="s">
        <v>814</v>
      </c>
      <c r="C1863" s="47">
        <v>33</v>
      </c>
      <c r="D1863" s="47" t="s">
        <v>95</v>
      </c>
      <c r="E1863" s="12">
        <v>46130</v>
      </c>
      <c r="F1863" s="20">
        <f t="shared" si="29"/>
        <v>46113</v>
      </c>
    </row>
    <row r="1864" spans="1:6" ht="20.25">
      <c r="A1864" s="49"/>
      <c r="B1864" s="47" t="s">
        <v>814</v>
      </c>
      <c r="C1864" s="47">
        <v>1000</v>
      </c>
      <c r="D1864" s="47" t="s">
        <v>95</v>
      </c>
      <c r="E1864" s="12">
        <v>46130</v>
      </c>
      <c r="F1864" s="20">
        <f t="shared" si="29"/>
        <v>46113</v>
      </c>
    </row>
    <row r="1865" spans="1:6" ht="20.25">
      <c r="A1865" s="49"/>
      <c r="B1865" s="47" t="s">
        <v>818</v>
      </c>
      <c r="C1865" s="47">
        <v>124</v>
      </c>
      <c r="D1865" s="47" t="s">
        <v>114</v>
      </c>
      <c r="E1865" s="12">
        <v>46130</v>
      </c>
      <c r="F1865" s="20">
        <f t="shared" si="29"/>
        <v>46113</v>
      </c>
    </row>
    <row r="1866" spans="1:6" ht="20.25">
      <c r="A1866" s="49"/>
      <c r="B1866" s="47" t="s">
        <v>1166</v>
      </c>
      <c r="C1866" s="47">
        <v>130</v>
      </c>
      <c r="D1866" s="47" t="s">
        <v>114</v>
      </c>
      <c r="E1866" s="12">
        <v>46130</v>
      </c>
      <c r="F1866" s="20">
        <f t="shared" si="29"/>
        <v>46113</v>
      </c>
    </row>
    <row r="1867" spans="1:6" ht="20.25">
      <c r="A1867" s="49"/>
      <c r="B1867" s="47" t="s">
        <v>1088</v>
      </c>
      <c r="C1867" s="47">
        <v>1</v>
      </c>
      <c r="D1867" s="47" t="s">
        <v>114</v>
      </c>
      <c r="E1867" s="12">
        <v>46130</v>
      </c>
      <c r="F1867" s="20">
        <f t="shared" si="29"/>
        <v>46113</v>
      </c>
    </row>
    <row r="1868" spans="1:6" ht="20.25">
      <c r="A1868" s="49"/>
      <c r="B1868" s="47" t="s">
        <v>1086</v>
      </c>
      <c r="C1868" s="47">
        <v>17</v>
      </c>
      <c r="D1868" s="47" t="s">
        <v>114</v>
      </c>
      <c r="E1868" s="12">
        <v>46130</v>
      </c>
      <c r="F1868" s="20">
        <f t="shared" si="29"/>
        <v>46113</v>
      </c>
    </row>
    <row r="1869" spans="1:6" ht="20.25">
      <c r="A1869" s="49"/>
      <c r="B1869" s="47" t="s">
        <v>1086</v>
      </c>
      <c r="C1869" s="47">
        <v>81</v>
      </c>
      <c r="D1869" s="47" t="s">
        <v>114</v>
      </c>
      <c r="E1869" s="12">
        <v>46130</v>
      </c>
      <c r="F1869" s="20">
        <f t="shared" si="29"/>
        <v>46113</v>
      </c>
    </row>
    <row r="1870" spans="1:6" ht="20.25">
      <c r="A1870" s="49"/>
      <c r="B1870" s="47" t="s">
        <v>1607</v>
      </c>
      <c r="C1870" s="47">
        <v>136</v>
      </c>
      <c r="D1870" s="47" t="s">
        <v>114</v>
      </c>
      <c r="E1870" s="12">
        <v>46130</v>
      </c>
      <c r="F1870" s="20">
        <f t="shared" si="29"/>
        <v>46113</v>
      </c>
    </row>
    <row r="1871" spans="1:6" ht="20.25">
      <c r="A1871" s="49"/>
      <c r="B1871" s="47" t="s">
        <v>1460</v>
      </c>
      <c r="C1871" s="47">
        <v>68</v>
      </c>
      <c r="D1871" s="47" t="s">
        <v>114</v>
      </c>
      <c r="E1871" s="12">
        <v>46130</v>
      </c>
      <c r="F1871" s="20">
        <f t="shared" si="29"/>
        <v>46113</v>
      </c>
    </row>
    <row r="1872" spans="1:6" ht="20.25">
      <c r="A1872" s="49"/>
      <c r="B1872" s="47" t="s">
        <v>1068</v>
      </c>
      <c r="C1872" s="47">
        <v>152</v>
      </c>
      <c r="D1872" s="47" t="s">
        <v>114</v>
      </c>
      <c r="E1872" s="12">
        <v>46130</v>
      </c>
      <c r="F1872" s="20">
        <f t="shared" si="29"/>
        <v>46113</v>
      </c>
    </row>
    <row r="1873" spans="1:6" ht="20.25">
      <c r="A1873" s="49"/>
      <c r="B1873" s="47" t="s">
        <v>1546</v>
      </c>
      <c r="C1873" s="47">
        <v>125</v>
      </c>
      <c r="D1873" s="47" t="s">
        <v>63</v>
      </c>
      <c r="E1873" s="12">
        <v>46130</v>
      </c>
      <c r="F1873" s="20">
        <f t="shared" si="29"/>
        <v>46113</v>
      </c>
    </row>
    <row r="1874" spans="1:6" ht="20.25">
      <c r="A1874" s="49"/>
      <c r="B1874" s="47" t="s">
        <v>1549</v>
      </c>
      <c r="C1874" s="47">
        <v>876</v>
      </c>
      <c r="D1874" s="47" t="s">
        <v>63</v>
      </c>
      <c r="E1874" s="12">
        <v>46130</v>
      </c>
      <c r="F1874" s="20">
        <f t="shared" si="29"/>
        <v>46113</v>
      </c>
    </row>
    <row r="1875" spans="1:6" ht="20.25">
      <c r="A1875" s="49"/>
      <c r="B1875" s="47" t="s">
        <v>1463</v>
      </c>
      <c r="C1875" s="47">
        <v>62</v>
      </c>
      <c r="D1875" s="47" t="s">
        <v>63</v>
      </c>
      <c r="E1875" s="12">
        <v>46130</v>
      </c>
      <c r="F1875" s="20">
        <f t="shared" si="29"/>
        <v>46113</v>
      </c>
    </row>
    <row r="1876" spans="1:6" ht="20.25">
      <c r="A1876" s="49"/>
      <c r="B1876" s="47" t="s">
        <v>717</v>
      </c>
      <c r="C1876" s="47">
        <v>56</v>
      </c>
      <c r="D1876" s="47" t="s">
        <v>63</v>
      </c>
      <c r="E1876" s="12">
        <v>46130</v>
      </c>
      <c r="F1876" s="20">
        <f t="shared" si="29"/>
        <v>46113</v>
      </c>
    </row>
    <row r="1877" spans="1:6" ht="20.25">
      <c r="A1877" s="49"/>
      <c r="B1877" s="47" t="s">
        <v>631</v>
      </c>
      <c r="C1877" s="47">
        <v>41</v>
      </c>
      <c r="D1877" s="47" t="s">
        <v>63</v>
      </c>
      <c r="E1877" s="12">
        <v>46130</v>
      </c>
      <c r="F1877" s="20">
        <f t="shared" si="29"/>
        <v>46113</v>
      </c>
    </row>
    <row r="1878" spans="1:6" ht="20.25">
      <c r="A1878" s="49"/>
      <c r="B1878" s="47" t="s">
        <v>718</v>
      </c>
      <c r="C1878" s="47">
        <v>36</v>
      </c>
      <c r="D1878" s="47" t="s">
        <v>63</v>
      </c>
      <c r="E1878" s="12">
        <v>46130</v>
      </c>
      <c r="F1878" s="20">
        <f t="shared" si="29"/>
        <v>46113</v>
      </c>
    </row>
    <row r="1879" spans="1:6" ht="20.25">
      <c r="A1879" s="49"/>
      <c r="B1879" s="47" t="s">
        <v>946</v>
      </c>
      <c r="C1879" s="47">
        <v>410</v>
      </c>
      <c r="D1879" s="47" t="s">
        <v>63</v>
      </c>
      <c r="E1879" s="12">
        <v>46130</v>
      </c>
      <c r="F1879" s="20">
        <f t="shared" si="29"/>
        <v>46113</v>
      </c>
    </row>
    <row r="1880" spans="1:6" ht="20.25">
      <c r="A1880" s="49"/>
      <c r="B1880" s="47" t="s">
        <v>1463</v>
      </c>
      <c r="C1880" s="47">
        <v>34</v>
      </c>
      <c r="D1880" s="47" t="s">
        <v>63</v>
      </c>
      <c r="E1880" s="12">
        <v>46130</v>
      </c>
      <c r="F1880" s="20">
        <f t="shared" si="29"/>
        <v>46113</v>
      </c>
    </row>
    <row r="1881" spans="1:6" ht="20.25">
      <c r="A1881" s="49"/>
      <c r="B1881" s="47" t="s">
        <v>912</v>
      </c>
      <c r="C1881" s="47">
        <v>144</v>
      </c>
      <c r="D1881" s="47" t="s">
        <v>66</v>
      </c>
      <c r="E1881" s="12">
        <v>46130</v>
      </c>
      <c r="F1881" s="20">
        <f t="shared" si="29"/>
        <v>46113</v>
      </c>
    </row>
    <row r="1882" spans="1:6" ht="20.25">
      <c r="A1882" s="49"/>
      <c r="B1882" s="47" t="s">
        <v>955</v>
      </c>
      <c r="C1882" s="47">
        <v>151</v>
      </c>
      <c r="D1882" s="47" t="s">
        <v>66</v>
      </c>
      <c r="E1882" s="12">
        <v>46130</v>
      </c>
      <c r="F1882" s="20">
        <f t="shared" si="29"/>
        <v>46113</v>
      </c>
    </row>
    <row r="1883" spans="1:6" ht="20.25">
      <c r="A1883" s="49"/>
      <c r="B1883" s="47" t="s">
        <v>1459</v>
      </c>
      <c r="C1883" s="47">
        <v>175</v>
      </c>
      <c r="D1883" s="47" t="s">
        <v>66</v>
      </c>
      <c r="E1883" s="12">
        <v>46130</v>
      </c>
      <c r="F1883" s="20">
        <f t="shared" si="29"/>
        <v>46113</v>
      </c>
    </row>
    <row r="1884" spans="1:6" ht="20.25">
      <c r="A1884" s="49"/>
      <c r="B1884" s="47" t="s">
        <v>1549</v>
      </c>
      <c r="C1884" s="47">
        <v>210</v>
      </c>
      <c r="D1884" s="47" t="s">
        <v>66</v>
      </c>
      <c r="E1884" s="12">
        <v>46130</v>
      </c>
      <c r="F1884" s="20">
        <f t="shared" si="29"/>
        <v>46113</v>
      </c>
    </row>
    <row r="1885" spans="1:6" ht="20.25">
      <c r="A1885" s="49"/>
      <c r="B1885" s="47" t="s">
        <v>1549</v>
      </c>
      <c r="C1885" s="47">
        <v>642</v>
      </c>
      <c r="D1885" s="47" t="s">
        <v>66</v>
      </c>
      <c r="E1885" s="12">
        <v>46130</v>
      </c>
      <c r="F1885" s="20">
        <f t="shared" si="29"/>
        <v>46113</v>
      </c>
    </row>
    <row r="1886" spans="1:6" ht="20.25">
      <c r="A1886" s="49"/>
      <c r="B1886" s="47" t="s">
        <v>743</v>
      </c>
      <c r="C1886" s="47">
        <v>89</v>
      </c>
      <c r="D1886" s="47" t="s">
        <v>62</v>
      </c>
      <c r="E1886" s="12">
        <v>46130</v>
      </c>
      <c r="F1886" s="20">
        <f t="shared" si="29"/>
        <v>46113</v>
      </c>
    </row>
    <row r="1887" spans="1:6" ht="20.25">
      <c r="A1887" s="49"/>
      <c r="B1887" s="47" t="s">
        <v>1264</v>
      </c>
      <c r="C1887" s="47">
        <v>71</v>
      </c>
      <c r="D1887" s="47" t="s">
        <v>62</v>
      </c>
      <c r="E1887" s="12">
        <v>46130</v>
      </c>
      <c r="F1887" s="20">
        <f t="shared" si="29"/>
        <v>46113</v>
      </c>
    </row>
    <row r="1888" spans="1:6" ht="20.25">
      <c r="A1888" s="49"/>
      <c r="B1888" s="47" t="s">
        <v>1081</v>
      </c>
      <c r="C1888" s="47">
        <v>164</v>
      </c>
      <c r="D1888" s="47" t="s">
        <v>62</v>
      </c>
      <c r="E1888" s="12">
        <v>46130</v>
      </c>
      <c r="F1888" s="20">
        <f t="shared" si="29"/>
        <v>46113</v>
      </c>
    </row>
    <row r="1889" spans="1:6" ht="20.25">
      <c r="A1889" s="49"/>
      <c r="B1889" s="47" t="s">
        <v>711</v>
      </c>
      <c r="C1889" s="47">
        <v>132</v>
      </c>
      <c r="D1889" s="47" t="s">
        <v>62</v>
      </c>
      <c r="E1889" s="12">
        <v>46130</v>
      </c>
      <c r="F1889" s="20">
        <f t="shared" si="29"/>
        <v>46113</v>
      </c>
    </row>
    <row r="1890" spans="1:6" ht="20.25">
      <c r="A1890" s="49"/>
      <c r="B1890" s="47" t="s">
        <v>1324</v>
      </c>
      <c r="C1890" s="47">
        <v>123</v>
      </c>
      <c r="D1890" s="47" t="s">
        <v>62</v>
      </c>
      <c r="E1890" s="12">
        <v>46130</v>
      </c>
      <c r="F1890" s="20">
        <f t="shared" si="29"/>
        <v>46113</v>
      </c>
    </row>
    <row r="1891" spans="1:6" ht="20.25">
      <c r="A1891" s="49"/>
      <c r="B1891" s="47" t="s">
        <v>1429</v>
      </c>
      <c r="C1891" s="47">
        <v>183</v>
      </c>
      <c r="D1891" s="47" t="s">
        <v>62</v>
      </c>
      <c r="E1891" s="12">
        <v>46130</v>
      </c>
      <c r="F1891" s="20">
        <f t="shared" si="29"/>
        <v>46113</v>
      </c>
    </row>
    <row r="1892" spans="1:6" ht="20.25">
      <c r="A1892" s="49"/>
      <c r="B1892" s="47" t="s">
        <v>649</v>
      </c>
      <c r="C1892" s="47">
        <v>57</v>
      </c>
      <c r="D1892" s="47" t="s">
        <v>62</v>
      </c>
      <c r="E1892" s="12">
        <v>46130</v>
      </c>
      <c r="F1892" s="20">
        <f t="shared" si="29"/>
        <v>46113</v>
      </c>
    </row>
    <row r="1893" spans="1:6" ht="20.25">
      <c r="A1893" s="49"/>
      <c r="B1893" s="47" t="s">
        <v>649</v>
      </c>
      <c r="C1893" s="47">
        <v>575</v>
      </c>
      <c r="D1893" s="47" t="s">
        <v>62</v>
      </c>
      <c r="E1893" s="12">
        <v>46130</v>
      </c>
      <c r="F1893" s="20">
        <f t="shared" si="29"/>
        <v>46113</v>
      </c>
    </row>
    <row r="1894" spans="1:6" ht="20.25">
      <c r="A1894" s="49"/>
      <c r="B1894" s="47" t="s">
        <v>1326</v>
      </c>
      <c r="C1894" s="47">
        <v>32</v>
      </c>
      <c r="D1894" s="47" t="s">
        <v>62</v>
      </c>
      <c r="E1894" s="12">
        <v>46130</v>
      </c>
      <c r="F1894" s="20">
        <f t="shared" si="29"/>
        <v>46113</v>
      </c>
    </row>
    <row r="1895" spans="1:6" ht="20.25">
      <c r="A1895" s="49"/>
      <c r="B1895" s="47" t="s">
        <v>948</v>
      </c>
      <c r="C1895" s="47">
        <v>252</v>
      </c>
      <c r="D1895" s="47" t="s">
        <v>97</v>
      </c>
      <c r="E1895" s="12">
        <v>46130</v>
      </c>
      <c r="F1895" s="20">
        <f t="shared" si="29"/>
        <v>46113</v>
      </c>
    </row>
    <row r="1896" spans="1:6" ht="20.25">
      <c r="A1896" s="49"/>
      <c r="B1896" s="47" t="s">
        <v>1154</v>
      </c>
      <c r="C1896" s="47">
        <v>61</v>
      </c>
      <c r="D1896" s="47" t="s">
        <v>97</v>
      </c>
      <c r="E1896" s="12">
        <v>46130</v>
      </c>
      <c r="F1896" s="20">
        <f t="shared" si="29"/>
        <v>46113</v>
      </c>
    </row>
    <row r="1897" spans="1:6" ht="20.25">
      <c r="A1897" s="49"/>
      <c r="B1897" s="47" t="s">
        <v>1154</v>
      </c>
      <c r="C1897" s="47">
        <v>375</v>
      </c>
      <c r="D1897" s="47" t="s">
        <v>97</v>
      </c>
      <c r="E1897" s="12">
        <v>46130</v>
      </c>
      <c r="F1897" s="20">
        <f t="shared" si="29"/>
        <v>46113</v>
      </c>
    </row>
    <row r="1898" spans="1:6" ht="20.25">
      <c r="A1898" s="49"/>
      <c r="B1898" s="47" t="s">
        <v>1045</v>
      </c>
      <c r="C1898" s="47">
        <v>24</v>
      </c>
      <c r="D1898" s="47" t="s">
        <v>97</v>
      </c>
      <c r="E1898" s="12">
        <v>46130</v>
      </c>
      <c r="F1898" s="20">
        <f t="shared" si="29"/>
        <v>46113</v>
      </c>
    </row>
    <row r="1899" spans="1:6" ht="20.25">
      <c r="A1899" s="49"/>
      <c r="B1899" s="47" t="s">
        <v>725</v>
      </c>
      <c r="C1899" s="47">
        <v>9</v>
      </c>
      <c r="D1899" s="47" t="s">
        <v>97</v>
      </c>
      <c r="E1899" s="12">
        <v>46130</v>
      </c>
      <c r="F1899" s="20">
        <f t="shared" si="29"/>
        <v>46113</v>
      </c>
    </row>
    <row r="1900" spans="1:6" ht="20.25">
      <c r="A1900" s="49"/>
      <c r="B1900" s="47" t="s">
        <v>740</v>
      </c>
      <c r="C1900" s="47">
        <v>106</v>
      </c>
      <c r="D1900" s="47" t="s">
        <v>97</v>
      </c>
      <c r="E1900" s="12">
        <v>46130</v>
      </c>
      <c r="F1900" s="20">
        <f t="shared" si="29"/>
        <v>46113</v>
      </c>
    </row>
    <row r="1901" spans="1:6" ht="20.25">
      <c r="A1901" s="49"/>
      <c r="B1901" s="47" t="s">
        <v>1045</v>
      </c>
      <c r="C1901" s="47">
        <v>21</v>
      </c>
      <c r="D1901" s="47" t="s">
        <v>97</v>
      </c>
      <c r="E1901" s="12">
        <v>46130</v>
      </c>
      <c r="F1901" s="20">
        <f t="shared" si="29"/>
        <v>46113</v>
      </c>
    </row>
    <row r="1902" spans="1:6" ht="20.25">
      <c r="A1902" s="49"/>
      <c r="B1902" s="47" t="s">
        <v>881</v>
      </c>
      <c r="C1902" s="47">
        <v>11</v>
      </c>
      <c r="D1902" s="47" t="s">
        <v>160</v>
      </c>
      <c r="E1902" s="12">
        <v>46130</v>
      </c>
      <c r="F1902" s="20">
        <f t="shared" si="29"/>
        <v>46113</v>
      </c>
    </row>
    <row r="1903" spans="1:6" ht="20.25">
      <c r="A1903" s="49"/>
      <c r="B1903" s="47" t="s">
        <v>986</v>
      </c>
      <c r="C1903" s="47">
        <v>2</v>
      </c>
      <c r="D1903" s="47" t="s">
        <v>160</v>
      </c>
      <c r="E1903" s="12">
        <v>46130</v>
      </c>
      <c r="F1903" s="20">
        <f t="shared" si="29"/>
        <v>46113</v>
      </c>
    </row>
    <row r="1904" spans="1:6" ht="20.25">
      <c r="A1904" s="49"/>
      <c r="B1904" s="47" t="s">
        <v>1278</v>
      </c>
      <c r="C1904" s="47">
        <v>18</v>
      </c>
      <c r="D1904" s="47" t="s">
        <v>160</v>
      </c>
      <c r="E1904" s="12">
        <v>46130</v>
      </c>
      <c r="F1904" s="20">
        <f t="shared" si="29"/>
        <v>46113</v>
      </c>
    </row>
    <row r="1905" spans="1:6" ht="20.25">
      <c r="A1905" s="49"/>
      <c r="B1905" s="47" t="s">
        <v>648</v>
      </c>
      <c r="C1905" s="47">
        <v>41</v>
      </c>
      <c r="D1905" s="47" t="s">
        <v>160</v>
      </c>
      <c r="E1905" s="12">
        <v>46130</v>
      </c>
      <c r="F1905" s="20">
        <f t="shared" si="29"/>
        <v>46113</v>
      </c>
    </row>
    <row r="1906" spans="1:6" ht="20.25">
      <c r="A1906" s="49"/>
      <c r="B1906" s="47" t="s">
        <v>877</v>
      </c>
      <c r="C1906" s="47">
        <v>500</v>
      </c>
      <c r="D1906" s="47" t="s">
        <v>160</v>
      </c>
      <c r="E1906" s="12">
        <v>46130</v>
      </c>
      <c r="F1906" s="20">
        <f t="shared" si="29"/>
        <v>46113</v>
      </c>
    </row>
    <row r="1907" spans="1:6" ht="20.25">
      <c r="A1907" s="49"/>
      <c r="B1907" s="47" t="s">
        <v>1604</v>
      </c>
      <c r="C1907" s="47">
        <v>9</v>
      </c>
      <c r="D1907" s="47" t="s">
        <v>133</v>
      </c>
      <c r="E1907" s="12">
        <v>46130</v>
      </c>
      <c r="F1907" s="20">
        <f t="shared" si="29"/>
        <v>46113</v>
      </c>
    </row>
    <row r="1908" spans="1:6" ht="20.25">
      <c r="A1908" s="49"/>
      <c r="B1908" s="47" t="s">
        <v>770</v>
      </c>
      <c r="C1908" s="47">
        <v>105</v>
      </c>
      <c r="D1908" s="47" t="s">
        <v>1484</v>
      </c>
      <c r="E1908" s="12">
        <v>46130</v>
      </c>
      <c r="F1908" s="20">
        <f t="shared" si="29"/>
        <v>46113</v>
      </c>
    </row>
    <row r="1909" spans="1:6" ht="20.25">
      <c r="A1909" s="49"/>
      <c r="B1909" s="47" t="s">
        <v>736</v>
      </c>
      <c r="C1909" s="47">
        <v>57</v>
      </c>
      <c r="D1909" s="47" t="s">
        <v>1484</v>
      </c>
      <c r="E1909" s="12">
        <v>46130</v>
      </c>
      <c r="F1909" s="20">
        <f t="shared" si="29"/>
        <v>46113</v>
      </c>
    </row>
    <row r="1910" spans="1:6" ht="20.25">
      <c r="A1910" s="49"/>
      <c r="B1910" s="47" t="s">
        <v>817</v>
      </c>
      <c r="C1910" s="47">
        <v>44</v>
      </c>
      <c r="D1910" s="47" t="s">
        <v>133</v>
      </c>
      <c r="E1910" s="12">
        <v>46130</v>
      </c>
      <c r="F1910" s="20">
        <f t="shared" si="29"/>
        <v>46113</v>
      </c>
    </row>
    <row r="1911" spans="1:6" ht="20.25">
      <c r="A1911" s="49"/>
      <c r="B1911" s="47" t="s">
        <v>817</v>
      </c>
      <c r="C1911" s="47">
        <v>60</v>
      </c>
      <c r="D1911" s="47" t="s">
        <v>133</v>
      </c>
      <c r="E1911" s="12">
        <v>46130</v>
      </c>
      <c r="F1911" s="20">
        <f t="shared" si="29"/>
        <v>46113</v>
      </c>
    </row>
    <row r="1912" spans="1:6" ht="20.25">
      <c r="A1912" s="49"/>
      <c r="B1912" s="47" t="s">
        <v>1258</v>
      </c>
      <c r="C1912" s="47">
        <v>263</v>
      </c>
      <c r="D1912" s="47" t="s">
        <v>55</v>
      </c>
      <c r="E1912" s="12">
        <v>46130</v>
      </c>
      <c r="F1912" s="20">
        <f t="shared" si="29"/>
        <v>46113</v>
      </c>
    </row>
    <row r="1913" spans="1:6" ht="20.25">
      <c r="A1913" s="49"/>
      <c r="B1913" s="47" t="s">
        <v>1332</v>
      </c>
      <c r="C1913" s="47">
        <v>168</v>
      </c>
      <c r="D1913" s="47" t="s">
        <v>55</v>
      </c>
      <c r="E1913" s="12">
        <v>46130</v>
      </c>
      <c r="F1913" s="20">
        <f t="shared" si="29"/>
        <v>46113</v>
      </c>
    </row>
    <row r="1914" spans="1:6" ht="20.25">
      <c r="A1914" s="49"/>
      <c r="B1914" s="47" t="s">
        <v>1267</v>
      </c>
      <c r="C1914" s="47">
        <v>65</v>
      </c>
      <c r="D1914" s="47" t="s">
        <v>55</v>
      </c>
      <c r="E1914" s="12">
        <v>46130</v>
      </c>
      <c r="F1914" s="20">
        <f t="shared" si="29"/>
        <v>46113</v>
      </c>
    </row>
    <row r="1915" spans="1:6" ht="20.25">
      <c r="A1915" s="49"/>
      <c r="B1915" s="47" t="s">
        <v>1160</v>
      </c>
      <c r="C1915" s="47">
        <v>12</v>
      </c>
      <c r="D1915" s="47" t="s">
        <v>55</v>
      </c>
      <c r="E1915" s="12">
        <v>46130</v>
      </c>
      <c r="F1915" s="20">
        <f t="shared" si="29"/>
        <v>46113</v>
      </c>
    </row>
    <row r="1916" spans="1:6" ht="20.25">
      <c r="A1916" s="49"/>
      <c r="B1916" s="47" t="s">
        <v>1549</v>
      </c>
      <c r="C1916" s="47">
        <v>360</v>
      </c>
      <c r="D1916" s="47" t="s">
        <v>55</v>
      </c>
      <c r="E1916" s="12">
        <v>46130</v>
      </c>
      <c r="F1916" s="20">
        <f t="shared" si="29"/>
        <v>46113</v>
      </c>
    </row>
    <row r="1917" spans="1:6" ht="20.25">
      <c r="A1917" s="49"/>
      <c r="B1917" s="47" t="s">
        <v>1353</v>
      </c>
      <c r="C1917" s="47">
        <v>1</v>
      </c>
      <c r="D1917" s="47" t="s">
        <v>55</v>
      </c>
      <c r="E1917" s="12">
        <v>46130</v>
      </c>
      <c r="F1917" s="20">
        <f t="shared" si="29"/>
        <v>46113</v>
      </c>
    </row>
    <row r="1918" spans="1:6" ht="20.25">
      <c r="A1918" s="49"/>
      <c r="B1918" s="47" t="s">
        <v>785</v>
      </c>
      <c r="C1918" s="47">
        <v>81</v>
      </c>
      <c r="D1918" s="47" t="s">
        <v>82</v>
      </c>
      <c r="E1918" s="12">
        <v>46130</v>
      </c>
      <c r="F1918" s="20">
        <f t="shared" si="29"/>
        <v>46113</v>
      </c>
    </row>
    <row r="1919" spans="1:6" ht="20.25">
      <c r="A1919" s="49"/>
      <c r="B1919" s="47" t="s">
        <v>785</v>
      </c>
      <c r="C1919" s="47">
        <v>217</v>
      </c>
      <c r="D1919" s="47" t="s">
        <v>82</v>
      </c>
      <c r="E1919" s="12">
        <v>46130</v>
      </c>
      <c r="F1919" s="20">
        <f t="shared" si="29"/>
        <v>46113</v>
      </c>
    </row>
    <row r="1920" spans="1:6" ht="20.25">
      <c r="A1920" s="49"/>
      <c r="B1920" s="47" t="s">
        <v>829</v>
      </c>
      <c r="C1920" s="47">
        <v>99</v>
      </c>
      <c r="D1920" s="47" t="s">
        <v>82</v>
      </c>
      <c r="E1920" s="12">
        <v>46130</v>
      </c>
      <c r="F1920" s="20">
        <f t="shared" si="29"/>
        <v>46113</v>
      </c>
    </row>
    <row r="1921" spans="1:6" ht="20.25">
      <c r="A1921" s="49"/>
      <c r="B1921" s="47" t="s">
        <v>709</v>
      </c>
      <c r="C1921" s="47">
        <v>366</v>
      </c>
      <c r="D1921" s="47" t="s">
        <v>82</v>
      </c>
      <c r="E1921" s="12">
        <v>46130</v>
      </c>
      <c r="F1921" s="20">
        <f t="shared" si="29"/>
        <v>46113</v>
      </c>
    </row>
    <row r="1922" spans="1:6" ht="20.25">
      <c r="A1922" s="49"/>
      <c r="B1922" s="47" t="s">
        <v>1549</v>
      </c>
      <c r="C1922" s="47">
        <v>511</v>
      </c>
      <c r="D1922" s="47" t="s">
        <v>82</v>
      </c>
      <c r="E1922" s="12">
        <v>46130</v>
      </c>
      <c r="F1922" s="20">
        <f t="shared" ref="F1922:F1985" si="30">EOMONTH(E1922,-1)+1</f>
        <v>46113</v>
      </c>
    </row>
    <row r="1923" spans="1:6" ht="20.25">
      <c r="A1923" s="49"/>
      <c r="B1923" s="47" t="s">
        <v>1234</v>
      </c>
      <c r="C1923" s="47">
        <v>45</v>
      </c>
      <c r="D1923" s="47" t="s">
        <v>82</v>
      </c>
      <c r="E1923" s="12">
        <v>46130</v>
      </c>
      <c r="F1923" s="20">
        <f t="shared" si="30"/>
        <v>46113</v>
      </c>
    </row>
    <row r="1924" spans="1:6" ht="20.25">
      <c r="A1924" s="49"/>
      <c r="B1924" s="47" t="s">
        <v>1126</v>
      </c>
      <c r="C1924" s="47">
        <v>115</v>
      </c>
      <c r="D1924" s="47" t="s">
        <v>82</v>
      </c>
      <c r="E1924" s="12">
        <v>46130</v>
      </c>
      <c r="F1924" s="20">
        <f t="shared" si="30"/>
        <v>46113</v>
      </c>
    </row>
    <row r="1925" spans="1:6" ht="20.25">
      <c r="A1925" s="49"/>
      <c r="B1925" s="47" t="s">
        <v>632</v>
      </c>
      <c r="C1925" s="47">
        <v>55</v>
      </c>
      <c r="D1925" s="47" t="s">
        <v>82</v>
      </c>
      <c r="E1925" s="12">
        <v>46130</v>
      </c>
      <c r="F1925" s="20">
        <f t="shared" si="30"/>
        <v>46113</v>
      </c>
    </row>
    <row r="1926" spans="1:6" ht="20.25">
      <c r="A1926" s="49"/>
      <c r="B1926" s="47" t="s">
        <v>918</v>
      </c>
      <c r="C1926" s="47">
        <v>685</v>
      </c>
      <c r="D1926" s="47" t="s">
        <v>72</v>
      </c>
      <c r="E1926" s="12">
        <v>46130</v>
      </c>
      <c r="F1926" s="20">
        <f t="shared" si="30"/>
        <v>46113</v>
      </c>
    </row>
    <row r="1927" spans="1:6" ht="20.25">
      <c r="A1927" s="49"/>
      <c r="B1927" s="47" t="s">
        <v>641</v>
      </c>
      <c r="C1927" s="47">
        <v>55</v>
      </c>
      <c r="D1927" s="47" t="s">
        <v>72</v>
      </c>
      <c r="E1927" s="12">
        <v>46130</v>
      </c>
      <c r="F1927" s="20">
        <f t="shared" si="30"/>
        <v>46113</v>
      </c>
    </row>
    <row r="1928" spans="1:6" ht="20.25">
      <c r="A1928" s="49"/>
      <c r="B1928" s="47" t="s">
        <v>617</v>
      </c>
      <c r="C1928" s="47">
        <v>806</v>
      </c>
      <c r="D1928" s="47" t="s">
        <v>72</v>
      </c>
      <c r="E1928" s="12">
        <v>46130</v>
      </c>
      <c r="F1928" s="20">
        <f t="shared" si="30"/>
        <v>46113</v>
      </c>
    </row>
    <row r="1929" spans="1:6" ht="20.25">
      <c r="A1929" s="49"/>
      <c r="B1929" s="47" t="s">
        <v>1149</v>
      </c>
      <c r="C1929" s="47">
        <v>60</v>
      </c>
      <c r="D1929" s="47" t="s">
        <v>72</v>
      </c>
      <c r="E1929" s="12">
        <v>46130</v>
      </c>
      <c r="F1929" s="20">
        <f t="shared" si="30"/>
        <v>46113</v>
      </c>
    </row>
    <row r="1930" spans="1:6" ht="20.25">
      <c r="A1930" s="49"/>
      <c r="B1930" s="47" t="s">
        <v>911</v>
      </c>
      <c r="C1930" s="47">
        <v>104</v>
      </c>
      <c r="D1930" s="47" t="s">
        <v>72</v>
      </c>
      <c r="E1930" s="12">
        <v>46130</v>
      </c>
      <c r="F1930" s="20">
        <f t="shared" si="30"/>
        <v>46113</v>
      </c>
    </row>
    <row r="1931" spans="1:6" ht="20.25">
      <c r="A1931" s="49"/>
      <c r="B1931" s="47" t="s">
        <v>1370</v>
      </c>
      <c r="C1931" s="47">
        <v>123</v>
      </c>
      <c r="D1931" s="47" t="s">
        <v>63</v>
      </c>
      <c r="E1931" s="12">
        <v>46130</v>
      </c>
      <c r="F1931" s="20">
        <f t="shared" si="30"/>
        <v>46113</v>
      </c>
    </row>
    <row r="1932" spans="1:6" ht="20.25">
      <c r="A1932" s="49"/>
      <c r="B1932" s="47" t="s">
        <v>668</v>
      </c>
      <c r="C1932" s="47">
        <v>244</v>
      </c>
      <c r="D1932" s="47" t="s">
        <v>72</v>
      </c>
      <c r="E1932" s="12">
        <v>46130</v>
      </c>
      <c r="F1932" s="20">
        <f t="shared" si="30"/>
        <v>46113</v>
      </c>
    </row>
    <row r="1933" spans="1:6" ht="20.25">
      <c r="A1933" s="49"/>
      <c r="B1933" s="47" t="s">
        <v>1171</v>
      </c>
      <c r="C1933" s="47">
        <v>55</v>
      </c>
      <c r="D1933" s="47" t="s">
        <v>46</v>
      </c>
      <c r="E1933" s="12">
        <v>46130</v>
      </c>
      <c r="F1933" s="20">
        <f t="shared" si="30"/>
        <v>46113</v>
      </c>
    </row>
    <row r="1934" spans="1:6" ht="20.25">
      <c r="A1934" s="49"/>
      <c r="B1934" s="47" t="s">
        <v>950</v>
      </c>
      <c r="C1934" s="47">
        <v>49</v>
      </c>
      <c r="D1934" s="47" t="s">
        <v>46</v>
      </c>
      <c r="E1934" s="12">
        <v>46130</v>
      </c>
      <c r="F1934" s="20">
        <f t="shared" si="30"/>
        <v>46113</v>
      </c>
    </row>
    <row r="1935" spans="1:6" ht="20.25">
      <c r="A1935" s="49"/>
      <c r="B1935" s="47" t="s">
        <v>932</v>
      </c>
      <c r="C1935" s="47">
        <v>53</v>
      </c>
      <c r="D1935" s="47" t="s">
        <v>46</v>
      </c>
      <c r="E1935" s="12">
        <v>46130</v>
      </c>
      <c r="F1935" s="20">
        <f t="shared" si="30"/>
        <v>46113</v>
      </c>
    </row>
    <row r="1936" spans="1:6" ht="20.25">
      <c r="A1936" s="49"/>
      <c r="B1936" s="47" t="s">
        <v>609</v>
      </c>
      <c r="C1936" s="47">
        <v>26</v>
      </c>
      <c r="D1936" s="47" t="s">
        <v>46</v>
      </c>
      <c r="E1936" s="12">
        <v>46130</v>
      </c>
      <c r="F1936" s="20">
        <f t="shared" si="30"/>
        <v>46113</v>
      </c>
    </row>
    <row r="1937" spans="1:6" ht="20.25">
      <c r="A1937" s="49"/>
      <c r="B1937" s="47" t="s">
        <v>609</v>
      </c>
      <c r="C1937" s="47">
        <v>45</v>
      </c>
      <c r="D1937" s="47" t="s">
        <v>46</v>
      </c>
      <c r="E1937" s="12">
        <v>46130</v>
      </c>
      <c r="F1937" s="20">
        <f t="shared" si="30"/>
        <v>46113</v>
      </c>
    </row>
    <row r="1938" spans="1:6" ht="20.25">
      <c r="A1938" s="49"/>
      <c r="B1938" s="47" t="s">
        <v>871</v>
      </c>
      <c r="C1938" s="47">
        <v>72</v>
      </c>
      <c r="D1938" s="47" t="s">
        <v>46</v>
      </c>
      <c r="E1938" s="12">
        <v>46130</v>
      </c>
      <c r="F1938" s="20">
        <f t="shared" si="30"/>
        <v>46113</v>
      </c>
    </row>
    <row r="1939" spans="1:6" ht="20.25">
      <c r="A1939" s="49"/>
      <c r="B1939" s="47" t="s">
        <v>1246</v>
      </c>
      <c r="C1939" s="47">
        <v>75</v>
      </c>
      <c r="D1939" s="47" t="s">
        <v>46</v>
      </c>
      <c r="E1939" s="12">
        <v>46130</v>
      </c>
      <c r="F1939" s="20">
        <f t="shared" si="30"/>
        <v>46113</v>
      </c>
    </row>
    <row r="1940" spans="1:6" ht="20.25">
      <c r="A1940" s="49"/>
      <c r="B1940" s="47" t="s">
        <v>1549</v>
      </c>
      <c r="C1940" s="47">
        <v>600</v>
      </c>
      <c r="D1940" s="47" t="s">
        <v>46</v>
      </c>
      <c r="E1940" s="12">
        <v>46130</v>
      </c>
      <c r="F1940" s="20">
        <f t="shared" si="30"/>
        <v>46113</v>
      </c>
    </row>
    <row r="1941" spans="1:6" ht="20.25">
      <c r="A1941" s="49"/>
      <c r="B1941" s="47" t="s">
        <v>995</v>
      </c>
      <c r="C1941" s="47">
        <v>56</v>
      </c>
      <c r="D1941" s="47" t="s">
        <v>46</v>
      </c>
      <c r="E1941" s="12">
        <v>46130</v>
      </c>
      <c r="F1941" s="20">
        <f t="shared" si="30"/>
        <v>46113</v>
      </c>
    </row>
    <row r="1942" spans="1:6" ht="20.25">
      <c r="A1942" s="49"/>
      <c r="B1942" s="47" t="s">
        <v>995</v>
      </c>
      <c r="C1942" s="47">
        <v>245</v>
      </c>
      <c r="D1942" s="47" t="s">
        <v>46</v>
      </c>
      <c r="E1942" s="12">
        <v>46130</v>
      </c>
      <c r="F1942" s="20">
        <f t="shared" si="30"/>
        <v>46113</v>
      </c>
    </row>
    <row r="1943" spans="1:6" ht="20.25">
      <c r="A1943" s="49"/>
      <c r="B1943" s="47" t="s">
        <v>1056</v>
      </c>
      <c r="C1943" s="47">
        <v>39</v>
      </c>
      <c r="D1943" s="47" t="s">
        <v>46</v>
      </c>
      <c r="E1943" s="12">
        <v>46130</v>
      </c>
      <c r="F1943" s="20">
        <f t="shared" si="30"/>
        <v>46113</v>
      </c>
    </row>
    <row r="1944" spans="1:6" ht="20.25">
      <c r="A1944" s="49"/>
      <c r="B1944" s="47" t="s">
        <v>1015</v>
      </c>
      <c r="C1944" s="47">
        <v>5</v>
      </c>
      <c r="D1944" s="47" t="s">
        <v>46</v>
      </c>
      <c r="E1944" s="12">
        <v>46130</v>
      </c>
      <c r="F1944" s="20">
        <f t="shared" si="30"/>
        <v>46113</v>
      </c>
    </row>
    <row r="1945" spans="1:6" ht="20.25">
      <c r="A1945" s="49"/>
      <c r="B1945" s="47" t="s">
        <v>1077</v>
      </c>
      <c r="C1945" s="47">
        <v>452</v>
      </c>
      <c r="D1945" s="47" t="s">
        <v>46</v>
      </c>
      <c r="E1945" s="12">
        <v>46130</v>
      </c>
      <c r="F1945" s="20">
        <f t="shared" si="30"/>
        <v>46113</v>
      </c>
    </row>
    <row r="1946" spans="1:6" ht="20.25">
      <c r="A1946" s="49"/>
      <c r="B1946" s="47" t="s">
        <v>949</v>
      </c>
      <c r="C1946" s="47">
        <v>286</v>
      </c>
      <c r="D1946" s="47" t="s">
        <v>66</v>
      </c>
      <c r="E1946" s="12">
        <v>46130</v>
      </c>
      <c r="F1946" s="20">
        <f t="shared" si="30"/>
        <v>46113</v>
      </c>
    </row>
    <row r="1947" spans="1:6" ht="20.25">
      <c r="A1947" s="49"/>
      <c r="B1947" s="47" t="s">
        <v>800</v>
      </c>
      <c r="C1947" s="47">
        <v>291</v>
      </c>
      <c r="D1947" s="47" t="s">
        <v>55</v>
      </c>
      <c r="E1947" s="12">
        <v>46130</v>
      </c>
      <c r="F1947" s="20">
        <f t="shared" si="30"/>
        <v>46113</v>
      </c>
    </row>
    <row r="1948" spans="1:6" ht="20.25">
      <c r="A1948" s="49"/>
      <c r="B1948" s="47" t="s">
        <v>938</v>
      </c>
      <c r="C1948" s="47">
        <v>-1</v>
      </c>
      <c r="D1948" s="47" t="s">
        <v>62</v>
      </c>
      <c r="E1948" s="12">
        <v>46130</v>
      </c>
      <c r="F1948" s="20">
        <f t="shared" si="30"/>
        <v>46113</v>
      </c>
    </row>
    <row r="1949" spans="1:6" ht="20.25">
      <c r="A1949" s="49"/>
      <c r="B1949" s="47" t="s">
        <v>1454</v>
      </c>
      <c r="C1949" s="47">
        <v>-2</v>
      </c>
      <c r="D1949" s="47" t="s">
        <v>114</v>
      </c>
      <c r="E1949" s="12">
        <v>46130</v>
      </c>
      <c r="F1949" s="20">
        <f t="shared" si="30"/>
        <v>46113</v>
      </c>
    </row>
    <row r="1950" spans="1:6" ht="20.25">
      <c r="A1950" s="49"/>
      <c r="B1950" s="47" t="s">
        <v>665</v>
      </c>
      <c r="C1950" s="47">
        <v>-1</v>
      </c>
      <c r="D1950" s="47" t="s">
        <v>97</v>
      </c>
      <c r="E1950" s="12">
        <v>46130</v>
      </c>
      <c r="F1950" s="20">
        <f t="shared" si="30"/>
        <v>46113</v>
      </c>
    </row>
    <row r="1951" spans="1:6" ht="20.25">
      <c r="A1951" s="49"/>
      <c r="B1951" s="47" t="s">
        <v>1125</v>
      </c>
      <c r="C1951" s="47">
        <v>-1</v>
      </c>
      <c r="D1951" s="47" t="s">
        <v>160</v>
      </c>
      <c r="E1951" s="12">
        <v>46130</v>
      </c>
      <c r="F1951" s="20">
        <f t="shared" si="30"/>
        <v>46113</v>
      </c>
    </row>
    <row r="1952" spans="1:6" ht="20.25">
      <c r="A1952" s="49"/>
      <c r="B1952" s="47" t="s">
        <v>1070</v>
      </c>
      <c r="C1952" s="47">
        <v>-1</v>
      </c>
      <c r="D1952" s="47" t="s">
        <v>95</v>
      </c>
      <c r="E1952" s="12">
        <v>46130</v>
      </c>
      <c r="F1952" s="20">
        <f t="shared" si="30"/>
        <v>46113</v>
      </c>
    </row>
    <row r="1953" spans="1:6" ht="20.25">
      <c r="A1953" s="49"/>
      <c r="B1953" s="47" t="s">
        <v>1069</v>
      </c>
      <c r="C1953" s="47">
        <v>-2</v>
      </c>
      <c r="D1953" s="47" t="s">
        <v>82</v>
      </c>
      <c r="E1953" s="12">
        <v>46130</v>
      </c>
      <c r="F1953" s="20">
        <f t="shared" si="30"/>
        <v>46113</v>
      </c>
    </row>
    <row r="1954" spans="1:6" ht="20.25">
      <c r="A1954" s="49"/>
      <c r="B1954" s="47" t="s">
        <v>1348</v>
      </c>
      <c r="C1954" s="47">
        <v>-12</v>
      </c>
      <c r="D1954" s="47" t="s">
        <v>97</v>
      </c>
      <c r="E1954" s="12">
        <v>46130</v>
      </c>
      <c r="F1954" s="20">
        <f t="shared" si="30"/>
        <v>46113</v>
      </c>
    </row>
    <row r="1955" spans="1:6" ht="20.25">
      <c r="A1955" s="49"/>
      <c r="B1955" s="47" t="s">
        <v>867</v>
      </c>
      <c r="C1955" s="47">
        <v>-1</v>
      </c>
      <c r="D1955" s="47" t="s">
        <v>46</v>
      </c>
      <c r="E1955" s="12">
        <v>46130</v>
      </c>
      <c r="F1955" s="20">
        <f t="shared" si="30"/>
        <v>46113</v>
      </c>
    </row>
    <row r="1956" spans="1:6" ht="20.25">
      <c r="A1956" s="49"/>
      <c r="B1956" s="47" t="s">
        <v>1605</v>
      </c>
      <c r="C1956" s="47">
        <v>-9</v>
      </c>
      <c r="D1956" s="47" t="s">
        <v>133</v>
      </c>
      <c r="E1956" s="12">
        <v>46130</v>
      </c>
      <c r="F1956" s="20">
        <f t="shared" si="30"/>
        <v>46113</v>
      </c>
    </row>
    <row r="1957" spans="1:6" ht="20.25">
      <c r="A1957" s="49"/>
      <c r="B1957" s="47" t="s">
        <v>635</v>
      </c>
      <c r="C1957" s="47">
        <v>-86</v>
      </c>
      <c r="D1957" s="47" t="s">
        <v>82</v>
      </c>
      <c r="E1957" s="12">
        <v>46130</v>
      </c>
      <c r="F1957" s="20">
        <f t="shared" si="30"/>
        <v>46113</v>
      </c>
    </row>
    <row r="1958" spans="1:6" ht="20.25">
      <c r="A1958" s="49"/>
      <c r="B1958" s="47" t="s">
        <v>846</v>
      </c>
      <c r="C1958" s="47">
        <v>-1</v>
      </c>
      <c r="D1958" s="47" t="s">
        <v>97</v>
      </c>
      <c r="E1958" s="12">
        <v>46130</v>
      </c>
      <c r="F1958" s="20">
        <f t="shared" si="30"/>
        <v>46113</v>
      </c>
    </row>
    <row r="1959" spans="1:6" ht="20.25">
      <c r="A1959" s="49"/>
      <c r="B1959" s="47" t="s">
        <v>1357</v>
      </c>
      <c r="C1959" s="47">
        <v>-1</v>
      </c>
      <c r="D1959" s="47" t="s">
        <v>97</v>
      </c>
      <c r="E1959" s="12">
        <v>46130</v>
      </c>
      <c r="F1959" s="20">
        <f t="shared" si="30"/>
        <v>46113</v>
      </c>
    </row>
    <row r="1960" spans="1:6" ht="20.25">
      <c r="A1960" s="49"/>
      <c r="B1960" s="47" t="s">
        <v>1464</v>
      </c>
      <c r="C1960" s="47">
        <v>-79</v>
      </c>
      <c r="D1960" s="47" t="s">
        <v>72</v>
      </c>
      <c r="E1960" s="12">
        <v>46130</v>
      </c>
      <c r="F1960" s="20">
        <f t="shared" si="30"/>
        <v>46113</v>
      </c>
    </row>
    <row r="1961" spans="1:6" ht="20.25">
      <c r="A1961" s="49"/>
      <c r="B1961" s="47" t="s">
        <v>978</v>
      </c>
      <c r="C1961" s="47">
        <v>90</v>
      </c>
      <c r="D1961" s="47" t="s">
        <v>72</v>
      </c>
      <c r="E1961" s="12">
        <v>46132</v>
      </c>
      <c r="F1961" s="20">
        <f t="shared" si="30"/>
        <v>46113</v>
      </c>
    </row>
    <row r="1962" spans="1:6" ht="20.25">
      <c r="A1962" s="49"/>
      <c r="B1962" s="47" t="s">
        <v>978</v>
      </c>
      <c r="C1962" s="47">
        <v>55</v>
      </c>
      <c r="D1962" s="47" t="s">
        <v>72</v>
      </c>
      <c r="E1962" s="12">
        <v>46132</v>
      </c>
      <c r="F1962" s="20">
        <f t="shared" si="30"/>
        <v>46113</v>
      </c>
    </row>
    <row r="1963" spans="1:6" ht="20.25">
      <c r="A1963" s="49"/>
      <c r="B1963" s="47" t="s">
        <v>624</v>
      </c>
      <c r="C1963" s="47">
        <v>77</v>
      </c>
      <c r="D1963" s="47" t="s">
        <v>72</v>
      </c>
      <c r="E1963" s="12">
        <v>46132</v>
      </c>
      <c r="F1963" s="20">
        <f t="shared" si="30"/>
        <v>46113</v>
      </c>
    </row>
    <row r="1964" spans="1:6" ht="20.25">
      <c r="A1964" s="49"/>
      <c r="B1964" s="47" t="s">
        <v>1143</v>
      </c>
      <c r="C1964" s="47">
        <v>81</v>
      </c>
      <c r="D1964" s="47" t="s">
        <v>72</v>
      </c>
      <c r="E1964" s="12">
        <v>46132</v>
      </c>
      <c r="F1964" s="20">
        <f t="shared" si="30"/>
        <v>46113</v>
      </c>
    </row>
    <row r="1965" spans="1:6" ht="20.25">
      <c r="A1965" s="49"/>
      <c r="B1965" s="47" t="s">
        <v>864</v>
      </c>
      <c r="C1965" s="47">
        <v>195</v>
      </c>
      <c r="D1965" s="47" t="s">
        <v>72</v>
      </c>
      <c r="E1965" s="12">
        <v>46132</v>
      </c>
      <c r="F1965" s="20">
        <f t="shared" si="30"/>
        <v>46113</v>
      </c>
    </row>
    <row r="1966" spans="1:6" ht="20.25">
      <c r="A1966" s="49"/>
      <c r="B1966" s="47" t="s">
        <v>728</v>
      </c>
      <c r="C1966" s="47">
        <v>142</v>
      </c>
      <c r="D1966" s="47" t="s">
        <v>72</v>
      </c>
      <c r="E1966" s="12">
        <v>46132</v>
      </c>
      <c r="F1966" s="20">
        <f t="shared" si="30"/>
        <v>46113</v>
      </c>
    </row>
    <row r="1967" spans="1:6" ht="20.25">
      <c r="A1967" s="49"/>
      <c r="B1967" s="47" t="s">
        <v>1457</v>
      </c>
      <c r="C1967" s="47">
        <v>401</v>
      </c>
      <c r="D1967" s="47" t="s">
        <v>72</v>
      </c>
      <c r="E1967" s="12">
        <v>46132</v>
      </c>
      <c r="F1967" s="20">
        <f t="shared" si="30"/>
        <v>46113</v>
      </c>
    </row>
    <row r="1968" spans="1:6" ht="20.25">
      <c r="A1968" s="49"/>
      <c r="B1968" s="47" t="s">
        <v>685</v>
      </c>
      <c r="C1968" s="47">
        <v>240</v>
      </c>
      <c r="D1968" s="47" t="s">
        <v>72</v>
      </c>
      <c r="E1968" s="12">
        <v>46132</v>
      </c>
      <c r="F1968" s="20">
        <f t="shared" si="30"/>
        <v>46113</v>
      </c>
    </row>
    <row r="1969" spans="1:6" ht="20.25">
      <c r="A1969" s="49"/>
      <c r="B1969" s="47" t="s">
        <v>1351</v>
      </c>
      <c r="C1969" s="47">
        <v>257</v>
      </c>
      <c r="D1969" s="47" t="s">
        <v>95</v>
      </c>
      <c r="E1969" s="12">
        <v>46132</v>
      </c>
      <c r="F1969" s="20">
        <f t="shared" si="30"/>
        <v>46113</v>
      </c>
    </row>
    <row r="1970" spans="1:6" ht="20.25">
      <c r="A1970" s="49"/>
      <c r="B1970" s="47" t="s">
        <v>801</v>
      </c>
      <c r="C1970" s="47">
        <v>158</v>
      </c>
      <c r="D1970" s="47" t="s">
        <v>95</v>
      </c>
      <c r="E1970" s="12">
        <v>46132</v>
      </c>
      <c r="F1970" s="20">
        <f t="shared" si="30"/>
        <v>46113</v>
      </c>
    </row>
    <row r="1971" spans="1:6" ht="20.25">
      <c r="A1971" s="49"/>
      <c r="B1971" s="47" t="s">
        <v>1147</v>
      </c>
      <c r="C1971" s="47">
        <v>98</v>
      </c>
      <c r="D1971" s="47" t="s">
        <v>95</v>
      </c>
      <c r="E1971" s="12">
        <v>46132</v>
      </c>
      <c r="F1971" s="20">
        <f t="shared" si="30"/>
        <v>46113</v>
      </c>
    </row>
    <row r="1972" spans="1:6" ht="20.25">
      <c r="A1972" s="49"/>
      <c r="B1972" s="47" t="s">
        <v>930</v>
      </c>
      <c r="C1972" s="47">
        <v>70</v>
      </c>
      <c r="D1972" s="47" t="s">
        <v>95</v>
      </c>
      <c r="E1972" s="12">
        <v>46132</v>
      </c>
      <c r="F1972" s="20">
        <f t="shared" si="30"/>
        <v>46113</v>
      </c>
    </row>
    <row r="1973" spans="1:6" ht="20.25">
      <c r="A1973" s="49"/>
      <c r="B1973" s="47" t="s">
        <v>755</v>
      </c>
      <c r="C1973" s="47">
        <v>61</v>
      </c>
      <c r="D1973" s="47" t="s">
        <v>95</v>
      </c>
      <c r="E1973" s="12">
        <v>46132</v>
      </c>
      <c r="F1973" s="20">
        <f t="shared" si="30"/>
        <v>46113</v>
      </c>
    </row>
    <row r="1974" spans="1:6" ht="20.25">
      <c r="A1974" s="49"/>
      <c r="B1974" s="47" t="s">
        <v>689</v>
      </c>
      <c r="C1974" s="47">
        <v>39</v>
      </c>
      <c r="D1974" s="47" t="s">
        <v>62</v>
      </c>
      <c r="E1974" s="12">
        <v>46132</v>
      </c>
      <c r="F1974" s="20">
        <f t="shared" si="30"/>
        <v>46113</v>
      </c>
    </row>
    <row r="1975" spans="1:6" ht="20.25">
      <c r="A1975" s="49"/>
      <c r="B1975" s="47" t="s">
        <v>656</v>
      </c>
      <c r="C1975" s="47">
        <v>24</v>
      </c>
      <c r="D1975" s="47" t="s">
        <v>62</v>
      </c>
      <c r="E1975" s="12">
        <v>46132</v>
      </c>
      <c r="F1975" s="20">
        <f t="shared" si="30"/>
        <v>46113</v>
      </c>
    </row>
    <row r="1976" spans="1:6" ht="20.25">
      <c r="A1976" s="49"/>
      <c r="B1976" s="47" t="s">
        <v>971</v>
      </c>
      <c r="C1976" s="47">
        <v>84</v>
      </c>
      <c r="D1976" s="47" t="s">
        <v>62</v>
      </c>
      <c r="E1976" s="12">
        <v>46132</v>
      </c>
      <c r="F1976" s="20">
        <f t="shared" si="30"/>
        <v>46113</v>
      </c>
    </row>
    <row r="1977" spans="1:6" ht="20.25">
      <c r="A1977" s="49"/>
      <c r="B1977" s="47" t="s">
        <v>690</v>
      </c>
      <c r="C1977" s="47">
        <v>222</v>
      </c>
      <c r="D1977" s="47" t="s">
        <v>62</v>
      </c>
      <c r="E1977" s="12">
        <v>46132</v>
      </c>
      <c r="F1977" s="20">
        <f t="shared" si="30"/>
        <v>46113</v>
      </c>
    </row>
    <row r="1978" spans="1:6" ht="20.25">
      <c r="A1978" s="49"/>
      <c r="B1978" s="47" t="s">
        <v>655</v>
      </c>
      <c r="C1978" s="47">
        <v>52</v>
      </c>
      <c r="D1978" s="47" t="s">
        <v>62</v>
      </c>
      <c r="E1978" s="12">
        <v>46132</v>
      </c>
      <c r="F1978" s="20">
        <f t="shared" si="30"/>
        <v>46113</v>
      </c>
    </row>
    <row r="1979" spans="1:6" ht="20.25">
      <c r="A1979" s="49"/>
      <c r="B1979" s="47" t="s">
        <v>650</v>
      </c>
      <c r="C1979" s="47">
        <v>157</v>
      </c>
      <c r="D1979" s="47" t="s">
        <v>62</v>
      </c>
      <c r="E1979" s="12">
        <v>46132</v>
      </c>
      <c r="F1979" s="20">
        <f t="shared" si="30"/>
        <v>46113</v>
      </c>
    </row>
    <row r="1980" spans="1:6" ht="20.25">
      <c r="A1980" s="49"/>
      <c r="B1980" s="47" t="s">
        <v>1071</v>
      </c>
      <c r="C1980" s="47">
        <v>92</v>
      </c>
      <c r="D1980" s="47" t="s">
        <v>62</v>
      </c>
      <c r="E1980" s="12">
        <v>46132</v>
      </c>
      <c r="F1980" s="20">
        <f t="shared" si="30"/>
        <v>46113</v>
      </c>
    </row>
    <row r="1981" spans="1:6" ht="20.25">
      <c r="A1981" s="49"/>
      <c r="B1981" s="47" t="s">
        <v>1044</v>
      </c>
      <c r="C1981" s="47">
        <v>28</v>
      </c>
      <c r="D1981" s="47" t="s">
        <v>62</v>
      </c>
      <c r="E1981" s="12">
        <v>46132</v>
      </c>
      <c r="F1981" s="20">
        <f t="shared" si="30"/>
        <v>46113</v>
      </c>
    </row>
    <row r="1982" spans="1:6" ht="20.25">
      <c r="A1982" s="49"/>
      <c r="B1982" s="47" t="s">
        <v>613</v>
      </c>
      <c r="C1982" s="47">
        <v>90</v>
      </c>
      <c r="D1982" s="47" t="s">
        <v>62</v>
      </c>
      <c r="E1982" s="12">
        <v>46132</v>
      </c>
      <c r="F1982" s="20">
        <f t="shared" si="30"/>
        <v>46113</v>
      </c>
    </row>
    <row r="1983" spans="1:6" ht="20.25">
      <c r="A1983" s="49"/>
      <c r="B1983" s="47" t="s">
        <v>825</v>
      </c>
      <c r="C1983" s="47">
        <v>40</v>
      </c>
      <c r="D1983" s="47" t="s">
        <v>63</v>
      </c>
      <c r="E1983" s="12">
        <v>46132</v>
      </c>
      <c r="F1983" s="20">
        <f t="shared" si="30"/>
        <v>46113</v>
      </c>
    </row>
    <row r="1984" spans="1:6" ht="20.25">
      <c r="A1984" s="49"/>
      <c r="B1984" s="47" t="s">
        <v>825</v>
      </c>
      <c r="C1984" s="47">
        <v>317</v>
      </c>
      <c r="D1984" s="47" t="s">
        <v>63</v>
      </c>
      <c r="E1984" s="12">
        <v>46132</v>
      </c>
      <c r="F1984" s="20">
        <f t="shared" si="30"/>
        <v>46113</v>
      </c>
    </row>
    <row r="1985" spans="1:6" ht="20.25">
      <c r="A1985" s="49"/>
      <c r="B1985" s="47" t="s">
        <v>1236</v>
      </c>
      <c r="C1985" s="47">
        <v>310</v>
      </c>
      <c r="D1985" s="47" t="s">
        <v>63</v>
      </c>
      <c r="E1985" s="12">
        <v>46132</v>
      </c>
      <c r="F1985" s="20">
        <f t="shared" si="30"/>
        <v>46113</v>
      </c>
    </row>
    <row r="1986" spans="1:6" ht="20.25">
      <c r="A1986" s="49"/>
      <c r="B1986" s="47" t="s">
        <v>860</v>
      </c>
      <c r="C1986" s="47">
        <v>96</v>
      </c>
      <c r="D1986" s="47" t="s">
        <v>63</v>
      </c>
      <c r="E1986" s="12">
        <v>46132</v>
      </c>
      <c r="F1986" s="20">
        <f t="shared" ref="F1986:F2049" si="31">EOMONTH(E1986,-1)+1</f>
        <v>46113</v>
      </c>
    </row>
    <row r="1987" spans="1:6" ht="20.25">
      <c r="A1987" s="49"/>
      <c r="B1987" s="47" t="s">
        <v>715</v>
      </c>
      <c r="C1987" s="47">
        <v>114</v>
      </c>
      <c r="D1987" s="47" t="s">
        <v>63</v>
      </c>
      <c r="E1987" s="12">
        <v>46132</v>
      </c>
      <c r="F1987" s="20">
        <f t="shared" si="31"/>
        <v>46113</v>
      </c>
    </row>
    <row r="1988" spans="1:6" ht="20.25">
      <c r="A1988" s="49"/>
      <c r="B1988" s="47" t="s">
        <v>1250</v>
      </c>
      <c r="C1988" s="47">
        <v>177</v>
      </c>
      <c r="D1988" s="47" t="s">
        <v>63</v>
      </c>
      <c r="E1988" s="12">
        <v>46132</v>
      </c>
      <c r="F1988" s="20">
        <f t="shared" si="31"/>
        <v>46113</v>
      </c>
    </row>
    <row r="1989" spans="1:6" ht="20.25">
      <c r="A1989" s="49"/>
      <c r="B1989" s="47" t="s">
        <v>1464</v>
      </c>
      <c r="C1989" s="47">
        <v>91</v>
      </c>
      <c r="D1989" s="47" t="s">
        <v>72</v>
      </c>
      <c r="E1989" s="12">
        <v>46132</v>
      </c>
      <c r="F1989" s="20">
        <f t="shared" si="31"/>
        <v>46113</v>
      </c>
    </row>
    <row r="1990" spans="1:6" ht="20.25">
      <c r="A1990" s="49"/>
      <c r="B1990" s="47" t="s">
        <v>911</v>
      </c>
      <c r="C1990" s="47">
        <v>52</v>
      </c>
      <c r="D1990" s="47" t="s">
        <v>72</v>
      </c>
      <c r="E1990" s="12">
        <v>46132</v>
      </c>
      <c r="F1990" s="20">
        <f t="shared" si="31"/>
        <v>46113</v>
      </c>
    </row>
    <row r="1991" spans="1:6" ht="20.25">
      <c r="A1991" s="49"/>
      <c r="B1991" s="47" t="s">
        <v>881</v>
      </c>
      <c r="C1991" s="47">
        <v>78</v>
      </c>
      <c r="D1991" s="47" t="s">
        <v>160</v>
      </c>
      <c r="E1991" s="12">
        <v>46132</v>
      </c>
      <c r="F1991" s="20">
        <f t="shared" si="31"/>
        <v>46113</v>
      </c>
    </row>
    <row r="1992" spans="1:6" ht="20.25">
      <c r="A1992" s="49"/>
      <c r="B1992" s="47" t="s">
        <v>877</v>
      </c>
      <c r="C1992" s="47">
        <v>500</v>
      </c>
      <c r="D1992" s="47" t="s">
        <v>160</v>
      </c>
      <c r="E1992" s="12">
        <v>46132</v>
      </c>
      <c r="F1992" s="20">
        <f t="shared" si="31"/>
        <v>46113</v>
      </c>
    </row>
    <row r="1993" spans="1:6" ht="20.25">
      <c r="A1993" s="49"/>
      <c r="B1993" s="47" t="s">
        <v>731</v>
      </c>
      <c r="C1993" s="47">
        <v>94</v>
      </c>
      <c r="D1993" s="47" t="s">
        <v>160</v>
      </c>
      <c r="E1993" s="12">
        <v>46132</v>
      </c>
      <c r="F1993" s="20">
        <f t="shared" si="31"/>
        <v>46113</v>
      </c>
    </row>
    <row r="1994" spans="1:6" ht="20.25">
      <c r="A1994" s="49"/>
      <c r="B1994" s="47" t="s">
        <v>777</v>
      </c>
      <c r="C1994" s="47">
        <v>163</v>
      </c>
      <c r="D1994" s="47" t="s">
        <v>160</v>
      </c>
      <c r="E1994" s="12">
        <v>46132</v>
      </c>
      <c r="F1994" s="20">
        <f t="shared" si="31"/>
        <v>46113</v>
      </c>
    </row>
    <row r="1995" spans="1:6" ht="20.25">
      <c r="A1995" s="49"/>
      <c r="B1995" s="47" t="s">
        <v>777</v>
      </c>
      <c r="C1995" s="47">
        <v>313</v>
      </c>
      <c r="D1995" s="47" t="s">
        <v>160</v>
      </c>
      <c r="E1995" s="12">
        <v>46132</v>
      </c>
      <c r="F1995" s="20">
        <f t="shared" si="31"/>
        <v>46113</v>
      </c>
    </row>
    <row r="1996" spans="1:6" ht="20.25">
      <c r="A1996" s="49"/>
      <c r="B1996" s="47" t="s">
        <v>734</v>
      </c>
      <c r="C1996" s="47">
        <v>31</v>
      </c>
      <c r="D1996" s="47" t="s">
        <v>95</v>
      </c>
      <c r="E1996" s="12">
        <v>46132</v>
      </c>
      <c r="F1996" s="20">
        <f t="shared" si="31"/>
        <v>46113</v>
      </c>
    </row>
    <row r="1997" spans="1:6" ht="20.25">
      <c r="A1997" s="49"/>
      <c r="B1997" s="47" t="s">
        <v>734</v>
      </c>
      <c r="C1997" s="47">
        <v>999</v>
      </c>
      <c r="D1997" s="47" t="s">
        <v>95</v>
      </c>
      <c r="E1997" s="12">
        <v>46132</v>
      </c>
      <c r="F1997" s="20">
        <f t="shared" si="31"/>
        <v>46113</v>
      </c>
    </row>
    <row r="1998" spans="1:6" ht="20.25">
      <c r="A1998" s="49"/>
      <c r="B1998" s="47" t="s">
        <v>1252</v>
      </c>
      <c r="C1998" s="47">
        <v>15</v>
      </c>
      <c r="D1998" s="47" t="s">
        <v>55</v>
      </c>
      <c r="E1998" s="12">
        <v>46132</v>
      </c>
      <c r="F1998" s="20">
        <f t="shared" si="31"/>
        <v>46113</v>
      </c>
    </row>
    <row r="1999" spans="1:6" ht="20.25">
      <c r="A1999" s="49"/>
      <c r="B1999" s="47" t="s">
        <v>1442</v>
      </c>
      <c r="C1999" s="47">
        <v>116</v>
      </c>
      <c r="D1999" s="47" t="s">
        <v>55</v>
      </c>
      <c r="E1999" s="12">
        <v>46132</v>
      </c>
      <c r="F1999" s="20">
        <f t="shared" si="31"/>
        <v>46113</v>
      </c>
    </row>
    <row r="2000" spans="1:6" ht="20.25">
      <c r="A2000" s="49"/>
      <c r="B2000" s="47" t="s">
        <v>815</v>
      </c>
      <c r="C2000" s="47">
        <v>34</v>
      </c>
      <c r="D2000" s="47" t="s">
        <v>55</v>
      </c>
      <c r="E2000" s="12">
        <v>46132</v>
      </c>
      <c r="F2000" s="20">
        <f t="shared" si="31"/>
        <v>46113</v>
      </c>
    </row>
    <row r="2001" spans="1:6" ht="20.25">
      <c r="A2001" s="49"/>
      <c r="B2001" s="47" t="s">
        <v>815</v>
      </c>
      <c r="C2001" s="47">
        <v>257</v>
      </c>
      <c r="D2001" s="47" t="s">
        <v>55</v>
      </c>
      <c r="E2001" s="12">
        <v>46132</v>
      </c>
      <c r="F2001" s="20">
        <f t="shared" si="31"/>
        <v>46113</v>
      </c>
    </row>
    <row r="2002" spans="1:6" ht="20.25">
      <c r="A2002" s="49"/>
      <c r="B2002" s="47" t="s">
        <v>812</v>
      </c>
      <c r="C2002" s="47">
        <v>174</v>
      </c>
      <c r="D2002" s="47" t="s">
        <v>55</v>
      </c>
      <c r="E2002" s="12">
        <v>46132</v>
      </c>
      <c r="F2002" s="20">
        <f t="shared" si="31"/>
        <v>46113</v>
      </c>
    </row>
    <row r="2003" spans="1:6" ht="20.25">
      <c r="A2003" s="49"/>
      <c r="B2003" s="47" t="s">
        <v>610</v>
      </c>
      <c r="C2003" s="47">
        <v>34</v>
      </c>
      <c r="D2003" s="47" t="s">
        <v>55</v>
      </c>
      <c r="E2003" s="12">
        <v>46132</v>
      </c>
      <c r="F2003" s="20">
        <f t="shared" si="31"/>
        <v>46113</v>
      </c>
    </row>
    <row r="2004" spans="1:6" ht="20.25">
      <c r="A2004" s="49"/>
      <c r="B2004" s="47" t="s">
        <v>1014</v>
      </c>
      <c r="C2004" s="47">
        <v>64</v>
      </c>
      <c r="D2004" s="47" t="s">
        <v>55</v>
      </c>
      <c r="E2004" s="12">
        <v>46132</v>
      </c>
      <c r="F2004" s="20">
        <f t="shared" si="31"/>
        <v>46113</v>
      </c>
    </row>
    <row r="2005" spans="1:6" ht="20.25">
      <c r="A2005" s="49"/>
      <c r="B2005" s="47" t="s">
        <v>627</v>
      </c>
      <c r="C2005" s="47">
        <v>216</v>
      </c>
      <c r="D2005" s="47" t="s">
        <v>55</v>
      </c>
      <c r="E2005" s="12">
        <v>46132</v>
      </c>
      <c r="F2005" s="20">
        <f t="shared" si="31"/>
        <v>46113</v>
      </c>
    </row>
    <row r="2006" spans="1:6" ht="20.25">
      <c r="A2006" s="49"/>
      <c r="B2006" s="47" t="s">
        <v>636</v>
      </c>
      <c r="C2006" s="47">
        <v>180</v>
      </c>
      <c r="D2006" s="47" t="s">
        <v>55</v>
      </c>
      <c r="E2006" s="12">
        <v>46132</v>
      </c>
      <c r="F2006" s="20">
        <f t="shared" si="31"/>
        <v>46113</v>
      </c>
    </row>
    <row r="2007" spans="1:6" ht="20.25">
      <c r="A2007" s="49"/>
      <c r="B2007" s="47" t="s">
        <v>1549</v>
      </c>
      <c r="C2007" s="47">
        <v>617</v>
      </c>
      <c r="D2007" s="47" t="s">
        <v>55</v>
      </c>
      <c r="E2007" s="12">
        <v>46132</v>
      </c>
      <c r="F2007" s="20">
        <f t="shared" si="31"/>
        <v>46113</v>
      </c>
    </row>
    <row r="2008" spans="1:6" ht="20.25">
      <c r="A2008" s="49"/>
      <c r="B2008" s="47" t="s">
        <v>765</v>
      </c>
      <c r="C2008" s="47">
        <v>35</v>
      </c>
      <c r="D2008" s="47" t="s">
        <v>55</v>
      </c>
      <c r="E2008" s="12">
        <v>46132</v>
      </c>
      <c r="F2008" s="20">
        <f t="shared" si="31"/>
        <v>46113</v>
      </c>
    </row>
    <row r="2009" spans="1:6" ht="20.25">
      <c r="A2009" s="49"/>
      <c r="B2009" s="47" t="s">
        <v>763</v>
      </c>
      <c r="C2009" s="47">
        <v>8</v>
      </c>
      <c r="D2009" s="47" t="s">
        <v>55</v>
      </c>
      <c r="E2009" s="12">
        <v>46132</v>
      </c>
      <c r="F2009" s="20">
        <f t="shared" si="31"/>
        <v>46113</v>
      </c>
    </row>
    <row r="2010" spans="1:6" ht="20.25">
      <c r="A2010" s="49"/>
      <c r="B2010" s="47" t="s">
        <v>1072</v>
      </c>
      <c r="C2010" s="47">
        <v>44</v>
      </c>
      <c r="D2010" s="47" t="s">
        <v>66</v>
      </c>
      <c r="E2010" s="12">
        <v>46132</v>
      </c>
      <c r="F2010" s="20">
        <f t="shared" si="31"/>
        <v>46113</v>
      </c>
    </row>
    <row r="2011" spans="1:6" ht="20.25">
      <c r="A2011" s="49"/>
      <c r="B2011" s="47" t="s">
        <v>1072</v>
      </c>
      <c r="C2011" s="47">
        <v>67</v>
      </c>
      <c r="D2011" s="47" t="s">
        <v>66</v>
      </c>
      <c r="E2011" s="12">
        <v>46132</v>
      </c>
      <c r="F2011" s="20">
        <f t="shared" si="31"/>
        <v>46113</v>
      </c>
    </row>
    <row r="2012" spans="1:6" ht="20.25">
      <c r="A2012" s="49"/>
      <c r="B2012" s="47" t="s">
        <v>983</v>
      </c>
      <c r="C2012" s="47">
        <v>85</v>
      </c>
      <c r="D2012" s="47" t="s">
        <v>66</v>
      </c>
      <c r="E2012" s="12">
        <v>46132</v>
      </c>
      <c r="F2012" s="20">
        <f t="shared" si="31"/>
        <v>46113</v>
      </c>
    </row>
    <row r="2013" spans="1:6" ht="20.25">
      <c r="A2013" s="49"/>
      <c r="B2013" s="47" t="s">
        <v>1103</v>
      </c>
      <c r="C2013" s="47">
        <v>203</v>
      </c>
      <c r="D2013" s="47" t="s">
        <v>66</v>
      </c>
      <c r="E2013" s="12">
        <v>46132</v>
      </c>
      <c r="F2013" s="20">
        <f t="shared" si="31"/>
        <v>46113</v>
      </c>
    </row>
    <row r="2014" spans="1:6" ht="20.25">
      <c r="A2014" s="49"/>
      <c r="B2014" s="47" t="s">
        <v>1169</v>
      </c>
      <c r="C2014" s="47">
        <v>498</v>
      </c>
      <c r="D2014" s="47" t="s">
        <v>66</v>
      </c>
      <c r="E2014" s="12">
        <v>46132</v>
      </c>
      <c r="F2014" s="20">
        <f t="shared" si="31"/>
        <v>46113</v>
      </c>
    </row>
    <row r="2015" spans="1:6" ht="20.25">
      <c r="A2015" s="49"/>
      <c r="B2015" s="47" t="s">
        <v>1080</v>
      </c>
      <c r="C2015" s="47">
        <v>106</v>
      </c>
      <c r="D2015" s="47" t="s">
        <v>66</v>
      </c>
      <c r="E2015" s="12">
        <v>46132</v>
      </c>
      <c r="F2015" s="20">
        <f t="shared" si="31"/>
        <v>46113</v>
      </c>
    </row>
    <row r="2016" spans="1:6" ht="20.25">
      <c r="A2016" s="49"/>
      <c r="B2016" s="47" t="s">
        <v>639</v>
      </c>
      <c r="C2016" s="47">
        <v>123</v>
      </c>
      <c r="D2016" s="47" t="s">
        <v>66</v>
      </c>
      <c r="E2016" s="12">
        <v>46132</v>
      </c>
      <c r="F2016" s="20">
        <f t="shared" si="31"/>
        <v>46113</v>
      </c>
    </row>
    <row r="2017" spans="1:6" ht="20.25">
      <c r="A2017" s="49"/>
      <c r="B2017" s="47" t="s">
        <v>1424</v>
      </c>
      <c r="C2017" s="47">
        <v>41</v>
      </c>
      <c r="D2017" s="47" t="s">
        <v>66</v>
      </c>
      <c r="E2017" s="12">
        <v>46132</v>
      </c>
      <c r="F2017" s="20">
        <f t="shared" si="31"/>
        <v>46113</v>
      </c>
    </row>
    <row r="2018" spans="1:6" ht="20.25">
      <c r="A2018" s="49"/>
      <c r="B2018" s="47" t="s">
        <v>607</v>
      </c>
      <c r="C2018" s="47">
        <v>13</v>
      </c>
      <c r="D2018" s="47" t="s">
        <v>66</v>
      </c>
      <c r="E2018" s="12">
        <v>46132</v>
      </c>
      <c r="F2018" s="20">
        <f t="shared" si="31"/>
        <v>46113</v>
      </c>
    </row>
    <row r="2019" spans="1:6" ht="20.25">
      <c r="A2019" s="49"/>
      <c r="B2019" s="47" t="s">
        <v>1137</v>
      </c>
      <c r="C2019" s="47">
        <v>245</v>
      </c>
      <c r="D2019" s="47" t="s">
        <v>66</v>
      </c>
      <c r="E2019" s="12">
        <v>46132</v>
      </c>
      <c r="F2019" s="20">
        <f t="shared" si="31"/>
        <v>46113</v>
      </c>
    </row>
    <row r="2020" spans="1:6" ht="20.25">
      <c r="A2020" s="49"/>
      <c r="B2020" s="47" t="s">
        <v>1549</v>
      </c>
      <c r="C2020" s="47">
        <v>334</v>
      </c>
      <c r="D2020" s="47" t="s">
        <v>66</v>
      </c>
      <c r="E2020" s="12">
        <v>46132</v>
      </c>
      <c r="F2020" s="20">
        <f t="shared" si="31"/>
        <v>46113</v>
      </c>
    </row>
    <row r="2021" spans="1:6" ht="20.25">
      <c r="A2021" s="49"/>
      <c r="B2021" s="47" t="s">
        <v>620</v>
      </c>
      <c r="C2021" s="47">
        <v>227</v>
      </c>
      <c r="D2021" s="47" t="s">
        <v>66</v>
      </c>
      <c r="E2021" s="12">
        <v>46132</v>
      </c>
      <c r="F2021" s="20">
        <f t="shared" si="31"/>
        <v>46113</v>
      </c>
    </row>
    <row r="2022" spans="1:6" ht="20.25">
      <c r="A2022" s="49"/>
      <c r="B2022" s="47" t="s">
        <v>778</v>
      </c>
      <c r="C2022" s="47">
        <v>92</v>
      </c>
      <c r="D2022" s="47" t="s">
        <v>160</v>
      </c>
      <c r="E2022" s="12">
        <v>46132</v>
      </c>
      <c r="F2022" s="20">
        <f t="shared" si="31"/>
        <v>46113</v>
      </c>
    </row>
    <row r="2023" spans="1:6" ht="20.25">
      <c r="A2023" s="49"/>
      <c r="B2023" s="47" t="s">
        <v>969</v>
      </c>
      <c r="C2023" s="47">
        <v>68</v>
      </c>
      <c r="D2023" s="47" t="s">
        <v>160</v>
      </c>
      <c r="E2023" s="12">
        <v>46132</v>
      </c>
      <c r="F2023" s="20">
        <f t="shared" si="31"/>
        <v>46113</v>
      </c>
    </row>
    <row r="2024" spans="1:6" ht="20.25">
      <c r="A2024" s="49"/>
      <c r="B2024" s="47" t="s">
        <v>1024</v>
      </c>
      <c r="C2024" s="47">
        <v>62</v>
      </c>
      <c r="D2024" s="47" t="s">
        <v>62</v>
      </c>
      <c r="E2024" s="12">
        <v>46132</v>
      </c>
      <c r="F2024" s="20">
        <f t="shared" si="31"/>
        <v>46113</v>
      </c>
    </row>
    <row r="2025" spans="1:6" ht="20.25">
      <c r="A2025" s="49"/>
      <c r="B2025" s="47" t="s">
        <v>1517</v>
      </c>
      <c r="C2025" s="47">
        <v>223</v>
      </c>
      <c r="D2025" s="47" t="s">
        <v>46</v>
      </c>
      <c r="E2025" s="12">
        <v>46132</v>
      </c>
      <c r="F2025" s="20">
        <f t="shared" si="31"/>
        <v>46113</v>
      </c>
    </row>
    <row r="2026" spans="1:6" ht="20.25">
      <c r="A2026" s="49"/>
      <c r="B2026" s="47" t="s">
        <v>1234</v>
      </c>
      <c r="C2026" s="47">
        <v>88</v>
      </c>
      <c r="D2026" s="47" t="s">
        <v>46</v>
      </c>
      <c r="E2026" s="12">
        <v>46132</v>
      </c>
      <c r="F2026" s="20">
        <f t="shared" si="31"/>
        <v>46113</v>
      </c>
    </row>
    <row r="2027" spans="1:6" ht="20.25">
      <c r="A2027" s="49"/>
      <c r="B2027" s="47" t="s">
        <v>1340</v>
      </c>
      <c r="C2027" s="47">
        <v>54</v>
      </c>
      <c r="D2027" s="47" t="s">
        <v>46</v>
      </c>
      <c r="E2027" s="12">
        <v>46132</v>
      </c>
      <c r="F2027" s="20">
        <f t="shared" si="31"/>
        <v>46113</v>
      </c>
    </row>
    <row r="2028" spans="1:6" ht="20.25">
      <c r="A2028" s="49"/>
      <c r="B2028" s="47" t="s">
        <v>890</v>
      </c>
      <c r="C2028" s="47">
        <v>300</v>
      </c>
      <c r="D2028" s="47" t="s">
        <v>46</v>
      </c>
      <c r="E2028" s="12">
        <v>46132</v>
      </c>
      <c r="F2028" s="20">
        <f t="shared" si="31"/>
        <v>46113</v>
      </c>
    </row>
    <row r="2029" spans="1:6" ht="20.25">
      <c r="A2029" s="49"/>
      <c r="B2029" s="47" t="s">
        <v>890</v>
      </c>
      <c r="C2029" s="47">
        <v>54</v>
      </c>
      <c r="D2029" s="47" t="s">
        <v>46</v>
      </c>
      <c r="E2029" s="12">
        <v>46132</v>
      </c>
      <c r="F2029" s="20">
        <f t="shared" si="31"/>
        <v>46113</v>
      </c>
    </row>
    <row r="2030" spans="1:6" ht="20.25">
      <c r="A2030" s="49"/>
      <c r="B2030" s="47" t="s">
        <v>1089</v>
      </c>
      <c r="C2030" s="47">
        <v>152</v>
      </c>
      <c r="D2030" s="47" t="s">
        <v>46</v>
      </c>
      <c r="E2030" s="12">
        <v>46132</v>
      </c>
      <c r="F2030" s="20">
        <f t="shared" si="31"/>
        <v>46113</v>
      </c>
    </row>
    <row r="2031" spans="1:6" ht="20.25">
      <c r="A2031" s="49"/>
      <c r="B2031" s="47" t="s">
        <v>1608</v>
      </c>
      <c r="C2031" s="47">
        <v>169</v>
      </c>
      <c r="D2031" s="47" t="s">
        <v>46</v>
      </c>
      <c r="E2031" s="12">
        <v>46132</v>
      </c>
      <c r="F2031" s="20">
        <f t="shared" si="31"/>
        <v>46113</v>
      </c>
    </row>
    <row r="2032" spans="1:6" ht="20.25">
      <c r="A2032" s="49"/>
      <c r="B2032" s="47" t="s">
        <v>1602</v>
      </c>
      <c r="C2032" s="47">
        <v>21</v>
      </c>
      <c r="D2032" s="47" t="s">
        <v>133</v>
      </c>
      <c r="E2032" s="12">
        <v>46132</v>
      </c>
      <c r="F2032" s="20">
        <f t="shared" si="31"/>
        <v>46113</v>
      </c>
    </row>
    <row r="2033" spans="1:6" ht="20.25">
      <c r="A2033" s="49"/>
      <c r="B2033" s="47" t="s">
        <v>734</v>
      </c>
      <c r="C2033" s="47">
        <v>115</v>
      </c>
      <c r="D2033" s="47" t="s">
        <v>1484</v>
      </c>
      <c r="E2033" s="12">
        <v>46132</v>
      </c>
      <c r="F2033" s="20">
        <f t="shared" si="31"/>
        <v>46113</v>
      </c>
    </row>
    <row r="2034" spans="1:6" ht="20.25">
      <c r="A2034" s="49"/>
      <c r="B2034" s="47" t="s">
        <v>1602</v>
      </c>
      <c r="C2034" s="47">
        <v>89</v>
      </c>
      <c r="D2034" s="47" t="s">
        <v>133</v>
      </c>
      <c r="E2034" s="12">
        <v>46132</v>
      </c>
      <c r="F2034" s="20">
        <f t="shared" si="31"/>
        <v>46113</v>
      </c>
    </row>
    <row r="2035" spans="1:6" ht="20.25">
      <c r="A2035" s="49"/>
      <c r="B2035" s="47" t="s">
        <v>770</v>
      </c>
      <c r="C2035" s="47">
        <v>53</v>
      </c>
      <c r="D2035" s="47" t="s">
        <v>1484</v>
      </c>
      <c r="E2035" s="12">
        <v>46132</v>
      </c>
      <c r="F2035" s="20">
        <f t="shared" si="31"/>
        <v>46113</v>
      </c>
    </row>
    <row r="2036" spans="1:6" ht="20.25">
      <c r="A2036" s="49"/>
      <c r="B2036" s="47" t="s">
        <v>1603</v>
      </c>
      <c r="C2036" s="47">
        <v>109</v>
      </c>
      <c r="D2036" s="47" t="s">
        <v>133</v>
      </c>
      <c r="E2036" s="12">
        <v>46132</v>
      </c>
      <c r="F2036" s="20">
        <f t="shared" si="31"/>
        <v>46113</v>
      </c>
    </row>
    <row r="2037" spans="1:6" ht="20.25">
      <c r="A2037" s="49"/>
      <c r="B2037" s="47" t="s">
        <v>1606</v>
      </c>
      <c r="C2037" s="47">
        <v>40</v>
      </c>
      <c r="D2037" s="47" t="s">
        <v>133</v>
      </c>
      <c r="E2037" s="12">
        <v>46132</v>
      </c>
      <c r="F2037" s="20">
        <f t="shared" si="31"/>
        <v>46113</v>
      </c>
    </row>
    <row r="2038" spans="1:6" ht="20.25">
      <c r="A2038" s="49"/>
      <c r="B2038" s="47" t="s">
        <v>736</v>
      </c>
      <c r="C2038" s="47">
        <v>52</v>
      </c>
      <c r="D2038" s="47" t="s">
        <v>1484</v>
      </c>
      <c r="E2038" s="12">
        <v>46132</v>
      </c>
      <c r="F2038" s="20">
        <f t="shared" si="31"/>
        <v>46113</v>
      </c>
    </row>
    <row r="2039" spans="1:6" ht="20.25">
      <c r="A2039" s="49"/>
      <c r="B2039" s="47" t="s">
        <v>1127</v>
      </c>
      <c r="C2039" s="47">
        <v>51</v>
      </c>
      <c r="D2039" s="47" t="s">
        <v>133</v>
      </c>
      <c r="E2039" s="12">
        <v>46132</v>
      </c>
      <c r="F2039" s="20">
        <f t="shared" si="31"/>
        <v>46113</v>
      </c>
    </row>
    <row r="2040" spans="1:6" ht="20.25">
      <c r="A2040" s="49"/>
      <c r="B2040" s="47" t="s">
        <v>1162</v>
      </c>
      <c r="C2040" s="47">
        <v>48</v>
      </c>
      <c r="D2040" s="47" t="s">
        <v>82</v>
      </c>
      <c r="E2040" s="12">
        <v>46132</v>
      </c>
      <c r="F2040" s="20">
        <f t="shared" si="31"/>
        <v>46113</v>
      </c>
    </row>
    <row r="2041" spans="1:6" ht="20.25">
      <c r="A2041" s="49"/>
      <c r="B2041" s="47" t="s">
        <v>697</v>
      </c>
      <c r="C2041" s="47">
        <v>173</v>
      </c>
      <c r="D2041" s="47" t="s">
        <v>82</v>
      </c>
      <c r="E2041" s="12">
        <v>46132</v>
      </c>
      <c r="F2041" s="20">
        <f t="shared" si="31"/>
        <v>46113</v>
      </c>
    </row>
    <row r="2042" spans="1:6" ht="20.25">
      <c r="A2042" s="49"/>
      <c r="B2042" s="47" t="s">
        <v>942</v>
      </c>
      <c r="C2042" s="47">
        <v>263</v>
      </c>
      <c r="D2042" s="47" t="s">
        <v>82</v>
      </c>
      <c r="E2042" s="12">
        <v>46132</v>
      </c>
      <c r="F2042" s="20">
        <f t="shared" si="31"/>
        <v>46113</v>
      </c>
    </row>
    <row r="2043" spans="1:6" ht="20.25">
      <c r="A2043" s="49"/>
      <c r="B2043" s="47" t="s">
        <v>1549</v>
      </c>
      <c r="C2043" s="47">
        <v>481</v>
      </c>
      <c r="D2043" s="47" t="s">
        <v>82</v>
      </c>
      <c r="E2043" s="12">
        <v>46132</v>
      </c>
      <c r="F2043" s="20">
        <f t="shared" si="31"/>
        <v>46113</v>
      </c>
    </row>
    <row r="2044" spans="1:6" ht="20.25">
      <c r="A2044" s="49"/>
      <c r="B2044" s="47" t="s">
        <v>745</v>
      </c>
      <c r="C2044" s="47">
        <v>28</v>
      </c>
      <c r="D2044" s="47" t="s">
        <v>82</v>
      </c>
      <c r="E2044" s="12">
        <v>46132</v>
      </c>
      <c r="F2044" s="20">
        <f t="shared" si="31"/>
        <v>46113</v>
      </c>
    </row>
    <row r="2045" spans="1:6" ht="20.25">
      <c r="A2045" s="49"/>
      <c r="B2045" s="47" t="s">
        <v>745</v>
      </c>
      <c r="C2045" s="47">
        <v>415</v>
      </c>
      <c r="D2045" s="47" t="s">
        <v>82</v>
      </c>
      <c r="E2045" s="12">
        <v>46132</v>
      </c>
      <c r="F2045" s="20">
        <f t="shared" si="31"/>
        <v>46113</v>
      </c>
    </row>
    <row r="2046" spans="1:6" ht="20.25">
      <c r="A2046" s="49"/>
      <c r="B2046" s="47" t="s">
        <v>1550</v>
      </c>
      <c r="C2046" s="47">
        <v>241</v>
      </c>
      <c r="D2046" s="47" t="s">
        <v>82</v>
      </c>
      <c r="E2046" s="12">
        <v>46132</v>
      </c>
      <c r="F2046" s="20">
        <f t="shared" si="31"/>
        <v>46113</v>
      </c>
    </row>
    <row r="2047" spans="1:6" ht="20.25">
      <c r="A2047" s="49"/>
      <c r="B2047" s="47" t="s">
        <v>1551</v>
      </c>
      <c r="C2047" s="47">
        <v>59</v>
      </c>
      <c r="D2047" s="47" t="s">
        <v>82</v>
      </c>
      <c r="E2047" s="12">
        <v>46132</v>
      </c>
      <c r="F2047" s="20">
        <f t="shared" si="31"/>
        <v>46113</v>
      </c>
    </row>
    <row r="2048" spans="1:6" ht="20.25">
      <c r="A2048" s="49"/>
      <c r="B2048" s="47" t="s">
        <v>1069</v>
      </c>
      <c r="C2048" s="47">
        <v>34</v>
      </c>
      <c r="D2048" s="47" t="s">
        <v>82</v>
      </c>
      <c r="E2048" s="12">
        <v>46132</v>
      </c>
      <c r="F2048" s="20">
        <f t="shared" si="31"/>
        <v>46113</v>
      </c>
    </row>
    <row r="2049" spans="1:6" ht="20.25">
      <c r="A2049" s="49"/>
      <c r="B2049" s="47" t="s">
        <v>1080</v>
      </c>
      <c r="C2049" s="47">
        <v>11</v>
      </c>
      <c r="D2049" s="47" t="s">
        <v>82</v>
      </c>
      <c r="E2049" s="12">
        <v>46132</v>
      </c>
      <c r="F2049" s="20">
        <f t="shared" si="31"/>
        <v>46113</v>
      </c>
    </row>
    <row r="2050" spans="1:6" ht="20.25">
      <c r="A2050" s="49"/>
      <c r="B2050" s="47" t="s">
        <v>1015</v>
      </c>
      <c r="C2050" s="47">
        <v>33</v>
      </c>
      <c r="D2050" s="47" t="s">
        <v>55</v>
      </c>
      <c r="E2050" s="12">
        <v>46132</v>
      </c>
      <c r="F2050" s="20">
        <f t="shared" ref="F2050:F2113" si="32">EOMONTH(E2050,-1)+1</f>
        <v>46113</v>
      </c>
    </row>
    <row r="2051" spans="1:6" ht="20.25">
      <c r="A2051" s="49"/>
      <c r="B2051" s="47" t="s">
        <v>605</v>
      </c>
      <c r="C2051" s="47">
        <v>175</v>
      </c>
      <c r="D2051" s="47" t="s">
        <v>62</v>
      </c>
      <c r="E2051" s="12">
        <v>46132</v>
      </c>
      <c r="F2051" s="20">
        <f t="shared" si="32"/>
        <v>46113</v>
      </c>
    </row>
    <row r="2052" spans="1:6" ht="20.25">
      <c r="A2052" s="49"/>
      <c r="B2052" s="47" t="s">
        <v>835</v>
      </c>
      <c r="C2052" s="47">
        <v>70</v>
      </c>
      <c r="D2052" s="47" t="s">
        <v>160</v>
      </c>
      <c r="E2052" s="12">
        <v>46132</v>
      </c>
      <c r="F2052" s="20">
        <f t="shared" si="32"/>
        <v>46113</v>
      </c>
    </row>
    <row r="2053" spans="1:6" ht="20.25">
      <c r="A2053" s="49"/>
      <c r="B2053" s="47" t="s">
        <v>877</v>
      </c>
      <c r="C2053" s="47">
        <v>178</v>
      </c>
      <c r="D2053" s="47" t="s">
        <v>160</v>
      </c>
      <c r="E2053" s="12">
        <v>46132</v>
      </c>
      <c r="F2053" s="20">
        <f t="shared" si="32"/>
        <v>46113</v>
      </c>
    </row>
    <row r="2054" spans="1:6" ht="20.25">
      <c r="A2054" s="49"/>
      <c r="B2054" s="47" t="s">
        <v>710</v>
      </c>
      <c r="C2054" s="47">
        <v>217</v>
      </c>
      <c r="D2054" s="47" t="s">
        <v>72</v>
      </c>
      <c r="E2054" s="12">
        <v>46132</v>
      </c>
      <c r="F2054" s="20">
        <f t="shared" si="32"/>
        <v>46113</v>
      </c>
    </row>
    <row r="2055" spans="1:6" ht="20.25">
      <c r="A2055" s="49"/>
      <c r="B2055" s="47" t="s">
        <v>1061</v>
      </c>
      <c r="C2055" s="47">
        <v>408</v>
      </c>
      <c r="D2055" s="47" t="s">
        <v>72</v>
      </c>
      <c r="E2055" s="12">
        <v>46132</v>
      </c>
      <c r="F2055" s="20">
        <f t="shared" si="32"/>
        <v>46113</v>
      </c>
    </row>
    <row r="2056" spans="1:6" ht="20.25">
      <c r="A2056" s="49"/>
      <c r="B2056" s="47" t="s">
        <v>1549</v>
      </c>
      <c r="C2056" s="47">
        <v>52</v>
      </c>
      <c r="D2056" s="47" t="s">
        <v>63</v>
      </c>
      <c r="E2056" s="12">
        <v>46132</v>
      </c>
      <c r="F2056" s="20">
        <f t="shared" si="32"/>
        <v>46113</v>
      </c>
    </row>
    <row r="2057" spans="1:6" ht="20.25">
      <c r="A2057" s="49"/>
      <c r="B2057" s="47" t="s">
        <v>976</v>
      </c>
      <c r="C2057" s="47">
        <v>323</v>
      </c>
      <c r="D2057" s="47" t="s">
        <v>97</v>
      </c>
      <c r="E2057" s="12">
        <v>46132</v>
      </c>
      <c r="F2057" s="20">
        <f t="shared" si="32"/>
        <v>46113</v>
      </c>
    </row>
    <row r="2058" spans="1:6" ht="20.25">
      <c r="A2058" s="49"/>
      <c r="B2058" s="47" t="s">
        <v>1023</v>
      </c>
      <c r="C2058" s="47">
        <v>23</v>
      </c>
      <c r="D2058" s="47" t="s">
        <v>97</v>
      </c>
      <c r="E2058" s="12">
        <v>46132</v>
      </c>
      <c r="F2058" s="20">
        <f t="shared" si="32"/>
        <v>46113</v>
      </c>
    </row>
    <row r="2059" spans="1:6" ht="20.25">
      <c r="A2059" s="49"/>
      <c r="B2059" s="47" t="s">
        <v>948</v>
      </c>
      <c r="C2059" s="47">
        <v>17</v>
      </c>
      <c r="D2059" s="47" t="s">
        <v>97</v>
      </c>
      <c r="E2059" s="12">
        <v>46132</v>
      </c>
      <c r="F2059" s="20">
        <f t="shared" si="32"/>
        <v>46113</v>
      </c>
    </row>
    <row r="2060" spans="1:6" ht="20.25">
      <c r="A2060" s="49"/>
      <c r="B2060" s="47" t="s">
        <v>1109</v>
      </c>
      <c r="C2060" s="47">
        <v>171</v>
      </c>
      <c r="D2060" s="47" t="s">
        <v>97</v>
      </c>
      <c r="E2060" s="12">
        <v>46132</v>
      </c>
      <c r="F2060" s="20">
        <f t="shared" si="32"/>
        <v>46113</v>
      </c>
    </row>
    <row r="2061" spans="1:6" ht="20.25">
      <c r="A2061" s="49"/>
      <c r="B2061" s="47" t="s">
        <v>1109</v>
      </c>
      <c r="C2061" s="47">
        <v>181</v>
      </c>
      <c r="D2061" s="47" t="s">
        <v>97</v>
      </c>
      <c r="E2061" s="12">
        <v>46132</v>
      </c>
      <c r="F2061" s="20">
        <f t="shared" si="32"/>
        <v>46113</v>
      </c>
    </row>
    <row r="2062" spans="1:6" ht="20.25">
      <c r="A2062" s="49"/>
      <c r="B2062" s="47" t="s">
        <v>1109</v>
      </c>
      <c r="C2062" s="47">
        <v>325</v>
      </c>
      <c r="D2062" s="47" t="s">
        <v>97</v>
      </c>
      <c r="E2062" s="12">
        <v>46132</v>
      </c>
      <c r="F2062" s="20">
        <f t="shared" si="32"/>
        <v>46113</v>
      </c>
    </row>
    <row r="2063" spans="1:6" ht="20.25">
      <c r="A2063" s="49"/>
      <c r="B2063" s="47" t="s">
        <v>1033</v>
      </c>
      <c r="C2063" s="47">
        <v>210</v>
      </c>
      <c r="D2063" s="47" t="s">
        <v>95</v>
      </c>
      <c r="E2063" s="12">
        <v>46132</v>
      </c>
      <c r="F2063" s="20">
        <f t="shared" si="32"/>
        <v>46113</v>
      </c>
    </row>
    <row r="2064" spans="1:6" ht="20.25">
      <c r="A2064" s="49"/>
      <c r="B2064" s="47" t="s">
        <v>1500</v>
      </c>
      <c r="C2064" s="47">
        <v>44</v>
      </c>
      <c r="D2064" s="47" t="s">
        <v>160</v>
      </c>
      <c r="E2064" s="12">
        <v>46132</v>
      </c>
      <c r="F2064" s="20">
        <f t="shared" si="32"/>
        <v>46113</v>
      </c>
    </row>
    <row r="2065" spans="1:6" ht="20.25">
      <c r="A2065" s="49"/>
      <c r="B2065" s="47" t="s">
        <v>1260</v>
      </c>
      <c r="C2065" s="47">
        <v>98</v>
      </c>
      <c r="D2065" s="47" t="s">
        <v>46</v>
      </c>
      <c r="E2065" s="12">
        <v>46132</v>
      </c>
      <c r="F2065" s="20">
        <f t="shared" si="32"/>
        <v>46113</v>
      </c>
    </row>
    <row r="2066" spans="1:6" ht="20.25">
      <c r="A2066" s="49"/>
      <c r="B2066" s="47" t="s">
        <v>1337</v>
      </c>
      <c r="C2066" s="47">
        <v>64</v>
      </c>
      <c r="D2066" s="47" t="s">
        <v>46</v>
      </c>
      <c r="E2066" s="12">
        <v>46132</v>
      </c>
      <c r="F2066" s="20">
        <f t="shared" si="32"/>
        <v>46113</v>
      </c>
    </row>
    <row r="2067" spans="1:6" ht="20.25">
      <c r="A2067" s="49"/>
      <c r="B2067" s="47" t="s">
        <v>1277</v>
      </c>
      <c r="C2067" s="47">
        <v>81</v>
      </c>
      <c r="D2067" s="47" t="s">
        <v>46</v>
      </c>
      <c r="E2067" s="12">
        <v>46132</v>
      </c>
      <c r="F2067" s="20">
        <f t="shared" si="32"/>
        <v>46113</v>
      </c>
    </row>
    <row r="2068" spans="1:6" ht="20.25">
      <c r="A2068" s="49"/>
      <c r="B2068" s="47" t="s">
        <v>856</v>
      </c>
      <c r="C2068" s="47">
        <v>157</v>
      </c>
      <c r="D2068" s="47" t="s">
        <v>46</v>
      </c>
      <c r="E2068" s="12">
        <v>46132</v>
      </c>
      <c r="F2068" s="20">
        <f t="shared" si="32"/>
        <v>46113</v>
      </c>
    </row>
    <row r="2069" spans="1:6" ht="20.25">
      <c r="A2069" s="49"/>
      <c r="B2069" s="47" t="s">
        <v>1013</v>
      </c>
      <c r="C2069" s="47">
        <v>127</v>
      </c>
      <c r="D2069" s="47" t="s">
        <v>46</v>
      </c>
      <c r="E2069" s="12">
        <v>46132</v>
      </c>
      <c r="F2069" s="20">
        <f t="shared" si="32"/>
        <v>46113</v>
      </c>
    </row>
    <row r="2070" spans="1:6" ht="20.25">
      <c r="A2070" s="49"/>
      <c r="B2070" s="47" t="s">
        <v>856</v>
      </c>
      <c r="C2070" s="47">
        <v>40</v>
      </c>
      <c r="D2070" s="47" t="s">
        <v>46</v>
      </c>
      <c r="E2070" s="12">
        <v>46132</v>
      </c>
      <c r="F2070" s="20">
        <f t="shared" si="32"/>
        <v>46113</v>
      </c>
    </row>
    <row r="2071" spans="1:6" ht="20.25">
      <c r="A2071" s="49"/>
      <c r="B2071" s="47" t="s">
        <v>662</v>
      </c>
      <c r="C2071" s="47">
        <v>71</v>
      </c>
      <c r="D2071" s="47" t="s">
        <v>66</v>
      </c>
      <c r="E2071" s="12">
        <v>46132</v>
      </c>
      <c r="F2071" s="20">
        <f t="shared" si="32"/>
        <v>46113</v>
      </c>
    </row>
    <row r="2072" spans="1:6" ht="20.25">
      <c r="A2072" s="49"/>
      <c r="B2072" s="47" t="s">
        <v>1162</v>
      </c>
      <c r="C2072" s="47">
        <v>410</v>
      </c>
      <c r="D2072" s="47" t="s">
        <v>66</v>
      </c>
      <c r="E2072" s="12">
        <v>46132</v>
      </c>
      <c r="F2072" s="20">
        <f t="shared" si="32"/>
        <v>46113</v>
      </c>
    </row>
    <row r="2073" spans="1:6" ht="20.25">
      <c r="A2073" s="49"/>
      <c r="B2073" s="47" t="s">
        <v>1478</v>
      </c>
      <c r="C2073" s="47">
        <v>58</v>
      </c>
      <c r="D2073" s="47" t="s">
        <v>133</v>
      </c>
      <c r="E2073" s="12">
        <v>46132</v>
      </c>
      <c r="F2073" s="20">
        <f t="shared" si="32"/>
        <v>46113</v>
      </c>
    </row>
    <row r="2074" spans="1:6" ht="20.25">
      <c r="A2074" s="49"/>
      <c r="B2074" s="47" t="s">
        <v>605</v>
      </c>
      <c r="C2074" s="47">
        <v>61</v>
      </c>
      <c r="D2074" s="47" t="s">
        <v>62</v>
      </c>
      <c r="E2074" s="12">
        <v>46132</v>
      </c>
      <c r="F2074" s="20">
        <f t="shared" si="32"/>
        <v>46113</v>
      </c>
    </row>
    <row r="2075" spans="1:6" ht="20.25">
      <c r="A2075" s="49"/>
      <c r="B2075" s="47" t="s">
        <v>871</v>
      </c>
      <c r="C2075" s="47">
        <v>61</v>
      </c>
      <c r="D2075" s="47" t="s">
        <v>46</v>
      </c>
      <c r="E2075" s="12">
        <v>46132</v>
      </c>
      <c r="F2075" s="20">
        <f t="shared" si="32"/>
        <v>46113</v>
      </c>
    </row>
    <row r="2076" spans="1:6" ht="20.25">
      <c r="A2076" s="49"/>
      <c r="B2076" s="47" t="s">
        <v>807</v>
      </c>
      <c r="C2076" s="47">
        <v>-25</v>
      </c>
      <c r="D2076" s="47" t="s">
        <v>66</v>
      </c>
      <c r="E2076" s="12">
        <v>46132</v>
      </c>
      <c r="F2076" s="20">
        <f t="shared" si="32"/>
        <v>46113</v>
      </c>
    </row>
    <row r="2077" spans="1:6" ht="20.25">
      <c r="A2077" s="49"/>
      <c r="B2077" s="47" t="s">
        <v>1281</v>
      </c>
      <c r="C2077" s="47">
        <v>-1</v>
      </c>
      <c r="D2077" s="47" t="s">
        <v>114</v>
      </c>
      <c r="E2077" s="12">
        <v>46132</v>
      </c>
      <c r="F2077" s="20">
        <f t="shared" si="32"/>
        <v>46113</v>
      </c>
    </row>
    <row r="2078" spans="1:6" ht="20.25">
      <c r="A2078" s="49"/>
      <c r="B2078" s="47" t="s">
        <v>807</v>
      </c>
      <c r="C2078" s="47">
        <v>520</v>
      </c>
      <c r="D2078" s="47" t="s">
        <v>63</v>
      </c>
      <c r="E2078" s="12">
        <v>46132</v>
      </c>
      <c r="F2078" s="20">
        <f t="shared" si="32"/>
        <v>46113</v>
      </c>
    </row>
    <row r="2079" spans="1:6" ht="20.25">
      <c r="A2079" s="49"/>
      <c r="B2079" s="47" t="s">
        <v>1240</v>
      </c>
      <c r="C2079" s="47">
        <v>200</v>
      </c>
      <c r="D2079" s="47" t="s">
        <v>63</v>
      </c>
      <c r="E2079" s="12">
        <v>46132</v>
      </c>
      <c r="F2079" s="20">
        <f t="shared" si="32"/>
        <v>46113</v>
      </c>
    </row>
    <row r="2080" spans="1:6" ht="20.25">
      <c r="A2080" s="49"/>
      <c r="B2080" s="47" t="s">
        <v>1169</v>
      </c>
      <c r="C2080" s="47">
        <v>444</v>
      </c>
      <c r="D2080" s="47" t="s">
        <v>63</v>
      </c>
      <c r="E2080" s="12">
        <v>46132</v>
      </c>
      <c r="F2080" s="20">
        <f t="shared" si="32"/>
        <v>46113</v>
      </c>
    </row>
    <row r="2081" spans="1:6" ht="20.25">
      <c r="A2081" s="49"/>
      <c r="B2081" s="47" t="s">
        <v>821</v>
      </c>
      <c r="C2081" s="47">
        <v>115</v>
      </c>
      <c r="D2081" s="47" t="s">
        <v>63</v>
      </c>
      <c r="E2081" s="12">
        <v>46132</v>
      </c>
      <c r="F2081" s="20">
        <f t="shared" si="32"/>
        <v>46113</v>
      </c>
    </row>
    <row r="2082" spans="1:6" ht="20.25">
      <c r="A2082" s="49"/>
      <c r="B2082" s="47" t="s">
        <v>1549</v>
      </c>
      <c r="C2082" s="47">
        <v>166</v>
      </c>
      <c r="D2082" s="47" t="s">
        <v>95</v>
      </c>
      <c r="E2082" s="12">
        <v>46132</v>
      </c>
      <c r="F2082" s="20">
        <f t="shared" si="32"/>
        <v>46113</v>
      </c>
    </row>
    <row r="2083" spans="1:6" ht="20.25">
      <c r="A2083" s="49"/>
      <c r="B2083" s="47" t="s">
        <v>1002</v>
      </c>
      <c r="C2083" s="47">
        <v>138</v>
      </c>
      <c r="D2083" s="47" t="s">
        <v>160</v>
      </c>
      <c r="E2083" s="12">
        <v>46133</v>
      </c>
      <c r="F2083" s="20">
        <f t="shared" si="32"/>
        <v>46113</v>
      </c>
    </row>
    <row r="2084" spans="1:6" ht="20.25">
      <c r="A2084" s="49"/>
      <c r="B2084" s="47" t="s">
        <v>835</v>
      </c>
      <c r="C2084" s="47">
        <v>82</v>
      </c>
      <c r="D2084" s="47" t="s">
        <v>160</v>
      </c>
      <c r="E2084" s="12">
        <v>46133</v>
      </c>
      <c r="F2084" s="20">
        <f t="shared" si="32"/>
        <v>46113</v>
      </c>
    </row>
    <row r="2085" spans="1:6" ht="20.25">
      <c r="A2085" s="49"/>
      <c r="B2085" s="47" t="s">
        <v>922</v>
      </c>
      <c r="C2085" s="47">
        <v>77</v>
      </c>
      <c r="D2085" s="47" t="s">
        <v>160</v>
      </c>
      <c r="E2085" s="12">
        <v>46133</v>
      </c>
      <c r="F2085" s="20">
        <f t="shared" si="32"/>
        <v>46113</v>
      </c>
    </row>
    <row r="2086" spans="1:6" ht="20.25">
      <c r="A2086" s="49"/>
      <c r="B2086" s="47" t="s">
        <v>878</v>
      </c>
      <c r="C2086" s="47">
        <v>59</v>
      </c>
      <c r="D2086" s="47" t="s">
        <v>160</v>
      </c>
      <c r="E2086" s="12">
        <v>46133</v>
      </c>
      <c r="F2086" s="20">
        <f t="shared" si="32"/>
        <v>46113</v>
      </c>
    </row>
    <row r="2087" spans="1:6" ht="20.25">
      <c r="A2087" s="49"/>
      <c r="B2087" s="47" t="s">
        <v>1134</v>
      </c>
      <c r="C2087" s="47">
        <v>28</v>
      </c>
      <c r="D2087" s="47" t="s">
        <v>160</v>
      </c>
      <c r="E2087" s="12">
        <v>46133</v>
      </c>
      <c r="F2087" s="20">
        <f t="shared" si="32"/>
        <v>46113</v>
      </c>
    </row>
    <row r="2088" spans="1:6" ht="20.25">
      <c r="A2088" s="49"/>
      <c r="B2088" s="47" t="s">
        <v>877</v>
      </c>
      <c r="C2088" s="47">
        <v>231</v>
      </c>
      <c r="D2088" s="47" t="s">
        <v>160</v>
      </c>
      <c r="E2088" s="12">
        <v>46133</v>
      </c>
      <c r="F2088" s="20">
        <f t="shared" si="32"/>
        <v>46113</v>
      </c>
    </row>
    <row r="2089" spans="1:6" ht="20.25">
      <c r="A2089" s="49"/>
      <c r="B2089" s="47" t="s">
        <v>877</v>
      </c>
      <c r="C2089" s="47">
        <v>178</v>
      </c>
      <c r="D2089" s="47" t="s">
        <v>160</v>
      </c>
      <c r="E2089" s="12">
        <v>46133</v>
      </c>
      <c r="F2089" s="20">
        <f t="shared" si="32"/>
        <v>46113</v>
      </c>
    </row>
    <row r="2090" spans="1:6" ht="20.25">
      <c r="A2090" s="49"/>
      <c r="B2090" s="47" t="s">
        <v>1440</v>
      </c>
      <c r="C2090" s="47">
        <v>976</v>
      </c>
      <c r="D2090" s="47" t="s">
        <v>114</v>
      </c>
      <c r="E2090" s="12">
        <v>46133</v>
      </c>
      <c r="F2090" s="20">
        <f t="shared" si="32"/>
        <v>46113</v>
      </c>
    </row>
    <row r="2091" spans="1:6" ht="20.25">
      <c r="A2091" s="49"/>
      <c r="B2091" s="47" t="s">
        <v>1281</v>
      </c>
      <c r="C2091" s="47">
        <v>146</v>
      </c>
      <c r="D2091" s="47" t="s">
        <v>114</v>
      </c>
      <c r="E2091" s="12">
        <v>46133</v>
      </c>
      <c r="F2091" s="20">
        <f t="shared" si="32"/>
        <v>46113</v>
      </c>
    </row>
    <row r="2092" spans="1:6" ht="20.25">
      <c r="A2092" s="49"/>
      <c r="B2092" s="47" t="s">
        <v>900</v>
      </c>
      <c r="C2092" s="47">
        <v>139</v>
      </c>
      <c r="D2092" s="47" t="s">
        <v>114</v>
      </c>
      <c r="E2092" s="12">
        <v>46133</v>
      </c>
      <c r="F2092" s="20">
        <f t="shared" si="32"/>
        <v>46113</v>
      </c>
    </row>
    <row r="2093" spans="1:6" ht="20.25">
      <c r="A2093" s="49"/>
      <c r="B2093" s="47" t="s">
        <v>1460</v>
      </c>
      <c r="C2093" s="47">
        <v>50</v>
      </c>
      <c r="D2093" s="47" t="s">
        <v>114</v>
      </c>
      <c r="E2093" s="12">
        <v>46133</v>
      </c>
      <c r="F2093" s="20">
        <f t="shared" si="32"/>
        <v>46113</v>
      </c>
    </row>
    <row r="2094" spans="1:6" ht="20.25">
      <c r="A2094" s="49"/>
      <c r="B2094" s="47" t="s">
        <v>724</v>
      </c>
      <c r="C2094" s="47">
        <v>88</v>
      </c>
      <c r="D2094" s="47" t="s">
        <v>114</v>
      </c>
      <c r="E2094" s="12">
        <v>46133</v>
      </c>
      <c r="F2094" s="20">
        <f t="shared" si="32"/>
        <v>46113</v>
      </c>
    </row>
    <row r="2095" spans="1:6" ht="20.25">
      <c r="A2095" s="49"/>
      <c r="B2095" s="47" t="s">
        <v>879</v>
      </c>
      <c r="C2095" s="47">
        <v>245</v>
      </c>
      <c r="D2095" s="47" t="s">
        <v>114</v>
      </c>
      <c r="E2095" s="12">
        <v>46133</v>
      </c>
      <c r="F2095" s="20">
        <f t="shared" si="32"/>
        <v>46113</v>
      </c>
    </row>
    <row r="2096" spans="1:6" ht="20.25">
      <c r="A2096" s="49"/>
      <c r="B2096" s="47" t="s">
        <v>1530</v>
      </c>
      <c r="C2096" s="47">
        <v>75</v>
      </c>
      <c r="D2096" s="47" t="s">
        <v>114</v>
      </c>
      <c r="E2096" s="12">
        <v>46133</v>
      </c>
      <c r="F2096" s="20">
        <f t="shared" si="32"/>
        <v>46113</v>
      </c>
    </row>
    <row r="2097" spans="1:6" ht="20.25">
      <c r="A2097" s="49"/>
      <c r="B2097" s="47" t="s">
        <v>1144</v>
      </c>
      <c r="C2097" s="47">
        <v>52</v>
      </c>
      <c r="D2097" s="47" t="s">
        <v>114</v>
      </c>
      <c r="E2097" s="12">
        <v>46133</v>
      </c>
      <c r="F2097" s="20">
        <f t="shared" si="32"/>
        <v>46113</v>
      </c>
    </row>
    <row r="2098" spans="1:6" ht="20.25">
      <c r="A2098" s="49"/>
      <c r="B2098" s="47" t="s">
        <v>721</v>
      </c>
      <c r="C2098" s="47">
        <v>46</v>
      </c>
      <c r="D2098" s="47" t="s">
        <v>114</v>
      </c>
      <c r="E2098" s="12">
        <v>46133</v>
      </c>
      <c r="F2098" s="20">
        <f t="shared" si="32"/>
        <v>46113</v>
      </c>
    </row>
    <row r="2099" spans="1:6" ht="20.25">
      <c r="A2099" s="49"/>
      <c r="B2099" s="47" t="s">
        <v>1063</v>
      </c>
      <c r="C2099" s="47">
        <v>255</v>
      </c>
      <c r="D2099" s="47" t="s">
        <v>114</v>
      </c>
      <c r="E2099" s="12">
        <v>46133</v>
      </c>
      <c r="F2099" s="20">
        <f t="shared" si="32"/>
        <v>46113</v>
      </c>
    </row>
    <row r="2100" spans="1:6" ht="20.25">
      <c r="A2100" s="49"/>
      <c r="B2100" s="47" t="s">
        <v>649</v>
      </c>
      <c r="C2100" s="47">
        <v>83</v>
      </c>
      <c r="D2100" s="47" t="s">
        <v>62</v>
      </c>
      <c r="E2100" s="12">
        <v>46133</v>
      </c>
      <c r="F2100" s="20">
        <f t="shared" si="32"/>
        <v>46113</v>
      </c>
    </row>
    <row r="2101" spans="1:6" ht="20.25">
      <c r="A2101" s="49"/>
      <c r="B2101" s="47" t="s">
        <v>1431</v>
      </c>
      <c r="C2101" s="47">
        <v>20</v>
      </c>
      <c r="D2101" s="47" t="s">
        <v>62</v>
      </c>
      <c r="E2101" s="12">
        <v>46133</v>
      </c>
      <c r="F2101" s="20">
        <f t="shared" si="32"/>
        <v>46113</v>
      </c>
    </row>
    <row r="2102" spans="1:6" ht="20.25">
      <c r="A2102" s="49"/>
      <c r="B2102" s="47" t="s">
        <v>691</v>
      </c>
      <c r="C2102" s="47">
        <v>655</v>
      </c>
      <c r="D2102" s="47" t="s">
        <v>62</v>
      </c>
      <c r="E2102" s="12">
        <v>46133</v>
      </c>
      <c r="F2102" s="20">
        <f t="shared" si="32"/>
        <v>46113</v>
      </c>
    </row>
    <row r="2103" spans="1:6" ht="20.25">
      <c r="A2103" s="49"/>
      <c r="B2103" s="47" t="s">
        <v>744</v>
      </c>
      <c r="C2103" s="47">
        <v>41</v>
      </c>
      <c r="D2103" s="47" t="s">
        <v>62</v>
      </c>
      <c r="E2103" s="12">
        <v>46133</v>
      </c>
      <c r="F2103" s="20">
        <f t="shared" si="32"/>
        <v>46113</v>
      </c>
    </row>
    <row r="2104" spans="1:6" ht="20.25">
      <c r="A2104" s="49"/>
      <c r="B2104" s="47" t="s">
        <v>853</v>
      </c>
      <c r="C2104" s="47">
        <v>332</v>
      </c>
      <c r="D2104" s="47" t="s">
        <v>62</v>
      </c>
      <c r="E2104" s="12">
        <v>46133</v>
      </c>
      <c r="F2104" s="20">
        <f t="shared" si="32"/>
        <v>46113</v>
      </c>
    </row>
    <row r="2105" spans="1:6" ht="20.25">
      <c r="A2105" s="49"/>
      <c r="B2105" s="47" t="s">
        <v>1084</v>
      </c>
      <c r="C2105" s="47">
        <v>69</v>
      </c>
      <c r="D2105" s="47" t="s">
        <v>62</v>
      </c>
      <c r="E2105" s="12">
        <v>46133</v>
      </c>
      <c r="F2105" s="20">
        <f t="shared" si="32"/>
        <v>46113</v>
      </c>
    </row>
    <row r="2106" spans="1:6" ht="20.25">
      <c r="A2106" s="49"/>
      <c r="B2106" s="47" t="s">
        <v>1132</v>
      </c>
      <c r="C2106" s="47">
        <v>162</v>
      </c>
      <c r="D2106" s="47" t="s">
        <v>62</v>
      </c>
      <c r="E2106" s="12">
        <v>46133</v>
      </c>
      <c r="F2106" s="20">
        <f t="shared" si="32"/>
        <v>46113</v>
      </c>
    </row>
    <row r="2107" spans="1:6" ht="20.25">
      <c r="A2107" s="49"/>
      <c r="B2107" s="47" t="s">
        <v>782</v>
      </c>
      <c r="C2107" s="47">
        <v>82</v>
      </c>
      <c r="D2107" s="47" t="s">
        <v>62</v>
      </c>
      <c r="E2107" s="12">
        <v>46133</v>
      </c>
      <c r="F2107" s="20">
        <f t="shared" si="32"/>
        <v>46113</v>
      </c>
    </row>
    <row r="2108" spans="1:6" ht="20.25">
      <c r="A2108" s="49"/>
      <c r="B2108" s="47" t="s">
        <v>690</v>
      </c>
      <c r="C2108" s="47">
        <v>136</v>
      </c>
      <c r="D2108" s="47" t="s">
        <v>62</v>
      </c>
      <c r="E2108" s="12">
        <v>46133</v>
      </c>
      <c r="F2108" s="20">
        <f t="shared" si="32"/>
        <v>46113</v>
      </c>
    </row>
    <row r="2109" spans="1:6" ht="20.25">
      <c r="A2109" s="49"/>
      <c r="B2109" s="47" t="s">
        <v>649</v>
      </c>
      <c r="C2109" s="47">
        <v>41</v>
      </c>
      <c r="D2109" s="47" t="s">
        <v>62</v>
      </c>
      <c r="E2109" s="12">
        <v>46133</v>
      </c>
      <c r="F2109" s="20">
        <f t="shared" si="32"/>
        <v>46113</v>
      </c>
    </row>
    <row r="2110" spans="1:6" ht="20.25">
      <c r="A2110" s="49"/>
      <c r="B2110" s="47" t="s">
        <v>794</v>
      </c>
      <c r="C2110" s="47">
        <v>155</v>
      </c>
      <c r="D2110" s="47" t="s">
        <v>62</v>
      </c>
      <c r="E2110" s="12">
        <v>46133</v>
      </c>
      <c r="F2110" s="20">
        <f t="shared" si="32"/>
        <v>46113</v>
      </c>
    </row>
    <row r="2111" spans="1:6" ht="20.25">
      <c r="A2111" s="49"/>
      <c r="B2111" s="47" t="s">
        <v>794</v>
      </c>
      <c r="C2111" s="47">
        <v>46</v>
      </c>
      <c r="D2111" s="47" t="s">
        <v>62</v>
      </c>
      <c r="E2111" s="12">
        <v>46133</v>
      </c>
      <c r="F2111" s="20">
        <f t="shared" si="32"/>
        <v>46113</v>
      </c>
    </row>
    <row r="2112" spans="1:6" ht="20.25">
      <c r="A2112" s="49"/>
      <c r="B2112" s="47" t="s">
        <v>742</v>
      </c>
      <c r="C2112" s="47">
        <v>96</v>
      </c>
      <c r="D2112" s="47" t="s">
        <v>62</v>
      </c>
      <c r="E2112" s="12">
        <v>46133</v>
      </c>
      <c r="F2112" s="20">
        <f t="shared" si="32"/>
        <v>46113</v>
      </c>
    </row>
    <row r="2113" spans="1:6" ht="20.25">
      <c r="A2113" s="49"/>
      <c r="B2113" s="47" t="s">
        <v>962</v>
      </c>
      <c r="C2113" s="47">
        <v>60</v>
      </c>
      <c r="D2113" s="47" t="s">
        <v>62</v>
      </c>
      <c r="E2113" s="12">
        <v>46133</v>
      </c>
      <c r="F2113" s="20">
        <f t="shared" si="32"/>
        <v>46113</v>
      </c>
    </row>
    <row r="2114" spans="1:6" ht="20.25">
      <c r="A2114" s="49"/>
      <c r="B2114" s="47" t="s">
        <v>1081</v>
      </c>
      <c r="C2114" s="47">
        <v>62</v>
      </c>
      <c r="D2114" s="47" t="s">
        <v>62</v>
      </c>
      <c r="E2114" s="12">
        <v>46133</v>
      </c>
      <c r="F2114" s="20">
        <f t="shared" ref="F2114:F2177" si="33">EOMONTH(E2114,-1)+1</f>
        <v>46113</v>
      </c>
    </row>
    <row r="2115" spans="1:6" ht="20.25">
      <c r="A2115" s="49"/>
      <c r="B2115" s="47" t="s">
        <v>691</v>
      </c>
      <c r="C2115" s="47">
        <v>390</v>
      </c>
      <c r="D2115" s="47" t="s">
        <v>62</v>
      </c>
      <c r="E2115" s="12">
        <v>46133</v>
      </c>
      <c r="F2115" s="20">
        <f t="shared" si="33"/>
        <v>46113</v>
      </c>
    </row>
    <row r="2116" spans="1:6" ht="20.25">
      <c r="A2116" s="49"/>
      <c r="B2116" s="47" t="s">
        <v>934</v>
      </c>
      <c r="C2116" s="47">
        <v>47</v>
      </c>
      <c r="D2116" s="47" t="s">
        <v>62</v>
      </c>
      <c r="E2116" s="12">
        <v>46133</v>
      </c>
      <c r="F2116" s="20">
        <f t="shared" si="33"/>
        <v>46113</v>
      </c>
    </row>
    <row r="2117" spans="1:6" ht="20.25">
      <c r="A2117" s="49"/>
      <c r="B2117" s="47" t="s">
        <v>612</v>
      </c>
      <c r="C2117" s="47">
        <v>40</v>
      </c>
      <c r="D2117" s="47" t="s">
        <v>62</v>
      </c>
      <c r="E2117" s="12">
        <v>46133</v>
      </c>
      <c r="F2117" s="20">
        <f t="shared" si="33"/>
        <v>46113</v>
      </c>
    </row>
    <row r="2118" spans="1:6" ht="20.25">
      <c r="A2118" s="49"/>
      <c r="B2118" s="47" t="s">
        <v>772</v>
      </c>
      <c r="C2118" s="47">
        <v>99</v>
      </c>
      <c r="D2118" s="47" t="s">
        <v>62</v>
      </c>
      <c r="E2118" s="12">
        <v>46133</v>
      </c>
      <c r="F2118" s="20">
        <f t="shared" si="33"/>
        <v>46113</v>
      </c>
    </row>
    <row r="2119" spans="1:6" ht="20.25">
      <c r="A2119" s="49"/>
      <c r="B2119" s="47" t="s">
        <v>1444</v>
      </c>
      <c r="C2119" s="47">
        <v>17</v>
      </c>
      <c r="D2119" s="47" t="s">
        <v>95</v>
      </c>
      <c r="E2119" s="12">
        <v>46133</v>
      </c>
      <c r="F2119" s="20">
        <f t="shared" si="33"/>
        <v>46113</v>
      </c>
    </row>
    <row r="2120" spans="1:6" ht="20.25">
      <c r="A2120" s="49"/>
      <c r="B2120" s="47" t="s">
        <v>1165</v>
      </c>
      <c r="C2120" s="47">
        <v>118</v>
      </c>
      <c r="D2120" s="47" t="s">
        <v>95</v>
      </c>
      <c r="E2120" s="12">
        <v>46133</v>
      </c>
      <c r="F2120" s="20">
        <f t="shared" si="33"/>
        <v>46113</v>
      </c>
    </row>
    <row r="2121" spans="1:6" ht="20.25">
      <c r="A2121" s="49"/>
      <c r="B2121" s="47" t="s">
        <v>1032</v>
      </c>
      <c r="C2121" s="47">
        <v>38</v>
      </c>
      <c r="D2121" s="47" t="s">
        <v>95</v>
      </c>
      <c r="E2121" s="12">
        <v>46133</v>
      </c>
      <c r="F2121" s="20">
        <f t="shared" si="33"/>
        <v>46113</v>
      </c>
    </row>
    <row r="2122" spans="1:6" ht="20.25">
      <c r="A2122" s="49"/>
      <c r="B2122" s="47" t="s">
        <v>1031</v>
      </c>
      <c r="C2122" s="47">
        <v>36</v>
      </c>
      <c r="D2122" s="47" t="s">
        <v>95</v>
      </c>
      <c r="E2122" s="12">
        <v>46133</v>
      </c>
      <c r="F2122" s="20">
        <f t="shared" si="33"/>
        <v>46113</v>
      </c>
    </row>
    <row r="2123" spans="1:6" ht="20.25">
      <c r="A2123" s="49"/>
      <c r="B2123" s="47" t="s">
        <v>872</v>
      </c>
      <c r="C2123" s="47">
        <v>276</v>
      </c>
      <c r="D2123" s="47" t="s">
        <v>72</v>
      </c>
      <c r="E2123" s="12">
        <v>46133</v>
      </c>
      <c r="F2123" s="20">
        <f t="shared" si="33"/>
        <v>46113</v>
      </c>
    </row>
    <row r="2124" spans="1:6" ht="20.25">
      <c r="A2124" s="49"/>
      <c r="B2124" s="47" t="s">
        <v>1489</v>
      </c>
      <c r="C2124" s="47">
        <v>95</v>
      </c>
      <c r="D2124" s="47" t="s">
        <v>72</v>
      </c>
      <c r="E2124" s="12">
        <v>46133</v>
      </c>
      <c r="F2124" s="20">
        <f t="shared" si="33"/>
        <v>46113</v>
      </c>
    </row>
    <row r="2125" spans="1:6" ht="20.25">
      <c r="A2125" s="49"/>
      <c r="B2125" s="47" t="s">
        <v>949</v>
      </c>
      <c r="C2125" s="47">
        <v>36</v>
      </c>
      <c r="D2125" s="47" t="s">
        <v>72</v>
      </c>
      <c r="E2125" s="12">
        <v>46133</v>
      </c>
      <c r="F2125" s="20">
        <f t="shared" si="33"/>
        <v>46113</v>
      </c>
    </row>
    <row r="2126" spans="1:6" ht="20.25">
      <c r="A2126" s="49"/>
      <c r="B2126" s="47" t="s">
        <v>978</v>
      </c>
      <c r="C2126" s="47">
        <v>228</v>
      </c>
      <c r="D2126" s="47" t="s">
        <v>72</v>
      </c>
      <c r="E2126" s="12">
        <v>46133</v>
      </c>
      <c r="F2126" s="20">
        <f t="shared" si="33"/>
        <v>46113</v>
      </c>
    </row>
    <row r="2127" spans="1:6" ht="20.25">
      <c r="A2127" s="49"/>
      <c r="B2127" s="47" t="s">
        <v>1522</v>
      </c>
      <c r="C2127" s="47">
        <v>39</v>
      </c>
      <c r="D2127" s="47" t="s">
        <v>72</v>
      </c>
      <c r="E2127" s="12">
        <v>46133</v>
      </c>
      <c r="F2127" s="20">
        <f t="shared" si="33"/>
        <v>46113</v>
      </c>
    </row>
    <row r="2128" spans="1:6" ht="20.25">
      <c r="A2128" s="49"/>
      <c r="B2128" s="47" t="s">
        <v>751</v>
      </c>
      <c r="C2128" s="47">
        <v>32</v>
      </c>
      <c r="D2128" s="47" t="s">
        <v>72</v>
      </c>
      <c r="E2128" s="12">
        <v>46133</v>
      </c>
      <c r="F2128" s="20">
        <f t="shared" si="33"/>
        <v>46113</v>
      </c>
    </row>
    <row r="2129" spans="1:6" ht="20.25">
      <c r="A2129" s="49"/>
      <c r="B2129" s="47" t="s">
        <v>685</v>
      </c>
      <c r="C2129" s="47">
        <v>28</v>
      </c>
      <c r="D2129" s="47" t="s">
        <v>72</v>
      </c>
      <c r="E2129" s="12">
        <v>46133</v>
      </c>
      <c r="F2129" s="20">
        <f t="shared" si="33"/>
        <v>46113</v>
      </c>
    </row>
    <row r="2130" spans="1:6" ht="20.25">
      <c r="A2130" s="49"/>
      <c r="B2130" s="47" t="s">
        <v>730</v>
      </c>
      <c r="C2130" s="47">
        <v>69</v>
      </c>
      <c r="D2130" s="47" t="s">
        <v>72</v>
      </c>
      <c r="E2130" s="12">
        <v>46133</v>
      </c>
      <c r="F2130" s="20">
        <f t="shared" si="33"/>
        <v>46113</v>
      </c>
    </row>
    <row r="2131" spans="1:6" ht="20.25">
      <c r="A2131" s="49"/>
      <c r="B2131" s="47" t="s">
        <v>712</v>
      </c>
      <c r="C2131" s="47">
        <v>37</v>
      </c>
      <c r="D2131" s="47" t="s">
        <v>72</v>
      </c>
      <c r="E2131" s="12">
        <v>46133</v>
      </c>
      <c r="F2131" s="20">
        <f t="shared" si="33"/>
        <v>46113</v>
      </c>
    </row>
    <row r="2132" spans="1:6" ht="20.25">
      <c r="A2132" s="49"/>
      <c r="B2132" s="47" t="s">
        <v>1136</v>
      </c>
      <c r="C2132" s="47">
        <v>36</v>
      </c>
      <c r="D2132" s="47" t="s">
        <v>72</v>
      </c>
      <c r="E2132" s="12">
        <v>46133</v>
      </c>
      <c r="F2132" s="20">
        <f t="shared" si="33"/>
        <v>46113</v>
      </c>
    </row>
    <row r="2133" spans="1:6" ht="20.25">
      <c r="A2133" s="49"/>
      <c r="B2133" s="47" t="s">
        <v>1128</v>
      </c>
      <c r="C2133" s="47">
        <v>129</v>
      </c>
      <c r="D2133" s="47" t="s">
        <v>72</v>
      </c>
      <c r="E2133" s="12">
        <v>46133</v>
      </c>
      <c r="F2133" s="20">
        <f t="shared" si="33"/>
        <v>46113</v>
      </c>
    </row>
    <row r="2134" spans="1:6" ht="20.25">
      <c r="A2134" s="49"/>
      <c r="B2134" s="47" t="s">
        <v>1040</v>
      </c>
      <c r="C2134" s="47">
        <v>47</v>
      </c>
      <c r="D2134" s="47" t="s">
        <v>95</v>
      </c>
      <c r="E2134" s="12">
        <v>46133</v>
      </c>
      <c r="F2134" s="20">
        <f t="shared" si="33"/>
        <v>46113</v>
      </c>
    </row>
    <row r="2135" spans="1:6" ht="20.25">
      <c r="A2135" s="49"/>
      <c r="B2135" s="47" t="s">
        <v>918</v>
      </c>
      <c r="C2135" s="47">
        <v>179</v>
      </c>
      <c r="D2135" s="47" t="s">
        <v>72</v>
      </c>
      <c r="E2135" s="12">
        <v>46133</v>
      </c>
      <c r="F2135" s="20">
        <f t="shared" si="33"/>
        <v>46113</v>
      </c>
    </row>
    <row r="2136" spans="1:6" ht="20.25">
      <c r="A2136" s="49"/>
      <c r="B2136" s="47" t="s">
        <v>918</v>
      </c>
      <c r="C2136" s="47">
        <v>57</v>
      </c>
      <c r="D2136" s="47" t="s">
        <v>72</v>
      </c>
      <c r="E2136" s="12">
        <v>46133</v>
      </c>
      <c r="F2136" s="20">
        <f t="shared" si="33"/>
        <v>46113</v>
      </c>
    </row>
    <row r="2137" spans="1:6" ht="20.25">
      <c r="A2137" s="49"/>
      <c r="B2137" s="47" t="s">
        <v>779</v>
      </c>
      <c r="C2137" s="47">
        <v>131</v>
      </c>
      <c r="D2137" s="47" t="s">
        <v>160</v>
      </c>
      <c r="E2137" s="12">
        <v>46133</v>
      </c>
      <c r="F2137" s="20">
        <f t="shared" si="33"/>
        <v>46113</v>
      </c>
    </row>
    <row r="2138" spans="1:6" ht="20.25">
      <c r="A2138" s="49"/>
      <c r="B2138" s="47" t="s">
        <v>715</v>
      </c>
      <c r="C2138" s="47">
        <v>420</v>
      </c>
      <c r="D2138" s="47" t="s">
        <v>95</v>
      </c>
      <c r="E2138" s="12">
        <v>46133</v>
      </c>
      <c r="F2138" s="20">
        <f t="shared" si="33"/>
        <v>46113</v>
      </c>
    </row>
    <row r="2139" spans="1:6" ht="20.25">
      <c r="A2139" s="49"/>
      <c r="B2139" s="47" t="s">
        <v>810</v>
      </c>
      <c r="C2139" s="47">
        <v>448</v>
      </c>
      <c r="D2139" s="47" t="s">
        <v>95</v>
      </c>
      <c r="E2139" s="12">
        <v>46133</v>
      </c>
      <c r="F2139" s="20">
        <f t="shared" si="33"/>
        <v>46113</v>
      </c>
    </row>
    <row r="2140" spans="1:6" ht="20.25">
      <c r="A2140" s="49"/>
      <c r="B2140" s="47" t="s">
        <v>958</v>
      </c>
      <c r="C2140" s="47">
        <v>58</v>
      </c>
      <c r="D2140" s="47" t="s">
        <v>62</v>
      </c>
      <c r="E2140" s="12">
        <v>46133</v>
      </c>
      <c r="F2140" s="20">
        <f t="shared" si="33"/>
        <v>46113</v>
      </c>
    </row>
    <row r="2141" spans="1:6" ht="20.25">
      <c r="A2141" s="49"/>
      <c r="B2141" s="47" t="s">
        <v>823</v>
      </c>
      <c r="C2141" s="47">
        <v>15</v>
      </c>
      <c r="D2141" s="47" t="s">
        <v>63</v>
      </c>
      <c r="E2141" s="12">
        <v>46133</v>
      </c>
      <c r="F2141" s="20">
        <f t="shared" si="33"/>
        <v>46113</v>
      </c>
    </row>
    <row r="2142" spans="1:6" ht="20.25">
      <c r="A2142" s="49"/>
      <c r="B2142" s="47" t="s">
        <v>866</v>
      </c>
      <c r="C2142" s="47">
        <v>88</v>
      </c>
      <c r="D2142" s="47" t="s">
        <v>63</v>
      </c>
      <c r="E2142" s="12">
        <v>46133</v>
      </c>
      <c r="F2142" s="20">
        <f t="shared" si="33"/>
        <v>46113</v>
      </c>
    </row>
    <row r="2143" spans="1:6" ht="20.25">
      <c r="A2143" s="49"/>
      <c r="B2143" s="47" t="s">
        <v>1344</v>
      </c>
      <c r="C2143" s="47">
        <v>34</v>
      </c>
      <c r="D2143" s="47" t="s">
        <v>63</v>
      </c>
      <c r="E2143" s="12">
        <v>46133</v>
      </c>
      <c r="F2143" s="20">
        <f t="shared" si="33"/>
        <v>46113</v>
      </c>
    </row>
    <row r="2144" spans="1:6" ht="20.25">
      <c r="A2144" s="49"/>
      <c r="B2144" s="47" t="s">
        <v>1169</v>
      </c>
      <c r="C2144" s="47">
        <v>50</v>
      </c>
      <c r="D2144" s="47" t="s">
        <v>63</v>
      </c>
      <c r="E2144" s="12">
        <v>46133</v>
      </c>
      <c r="F2144" s="20">
        <f t="shared" si="33"/>
        <v>46113</v>
      </c>
    </row>
    <row r="2145" spans="1:6" ht="20.25">
      <c r="A2145" s="49"/>
      <c r="B2145" s="47" t="s">
        <v>821</v>
      </c>
      <c r="C2145" s="47">
        <v>20</v>
      </c>
      <c r="D2145" s="47" t="s">
        <v>63</v>
      </c>
      <c r="E2145" s="12">
        <v>46133</v>
      </c>
      <c r="F2145" s="20">
        <f t="shared" si="33"/>
        <v>46113</v>
      </c>
    </row>
    <row r="2146" spans="1:6" ht="20.25">
      <c r="A2146" s="49"/>
      <c r="B2146" s="47" t="s">
        <v>860</v>
      </c>
      <c r="C2146" s="47">
        <v>34</v>
      </c>
      <c r="D2146" s="47" t="s">
        <v>63</v>
      </c>
      <c r="E2146" s="12">
        <v>46133</v>
      </c>
      <c r="F2146" s="20">
        <f t="shared" si="33"/>
        <v>46113</v>
      </c>
    </row>
    <row r="2147" spans="1:6" ht="20.25">
      <c r="A2147" s="49"/>
      <c r="B2147" s="47" t="s">
        <v>717</v>
      </c>
      <c r="C2147" s="47">
        <v>75</v>
      </c>
      <c r="D2147" s="47" t="s">
        <v>63</v>
      </c>
      <c r="E2147" s="12">
        <v>46133</v>
      </c>
      <c r="F2147" s="20">
        <f t="shared" si="33"/>
        <v>46113</v>
      </c>
    </row>
    <row r="2148" spans="1:6" ht="20.25">
      <c r="A2148" s="49"/>
      <c r="B2148" s="47" t="s">
        <v>1091</v>
      </c>
      <c r="C2148" s="47">
        <v>64</v>
      </c>
      <c r="D2148" s="47" t="s">
        <v>63</v>
      </c>
      <c r="E2148" s="12">
        <v>46133</v>
      </c>
      <c r="F2148" s="20">
        <f t="shared" si="33"/>
        <v>46113</v>
      </c>
    </row>
    <row r="2149" spans="1:6" ht="20.25">
      <c r="A2149" s="49"/>
      <c r="B2149" s="47" t="s">
        <v>807</v>
      </c>
      <c r="C2149" s="47">
        <v>451</v>
      </c>
      <c r="D2149" s="47" t="s">
        <v>63</v>
      </c>
      <c r="E2149" s="12">
        <v>46133</v>
      </c>
      <c r="F2149" s="20">
        <f t="shared" si="33"/>
        <v>46113</v>
      </c>
    </row>
    <row r="2150" spans="1:6" ht="20.25">
      <c r="A2150" s="49"/>
      <c r="B2150" s="47" t="s">
        <v>1549</v>
      </c>
      <c r="C2150" s="47">
        <v>31</v>
      </c>
      <c r="D2150" s="47" t="s">
        <v>63</v>
      </c>
      <c r="E2150" s="12">
        <v>46133</v>
      </c>
      <c r="F2150" s="20">
        <f t="shared" si="33"/>
        <v>46113</v>
      </c>
    </row>
    <row r="2151" spans="1:6" ht="20.25">
      <c r="A2151" s="49"/>
      <c r="B2151" s="47" t="s">
        <v>963</v>
      </c>
      <c r="C2151" s="47">
        <v>34</v>
      </c>
      <c r="D2151" s="47" t="s">
        <v>63</v>
      </c>
      <c r="E2151" s="12">
        <v>46133</v>
      </c>
      <c r="F2151" s="20">
        <f t="shared" si="33"/>
        <v>46113</v>
      </c>
    </row>
    <row r="2152" spans="1:6" ht="20.25">
      <c r="A2152" s="49"/>
      <c r="B2152" s="47" t="s">
        <v>1271</v>
      </c>
      <c r="C2152" s="47">
        <v>227</v>
      </c>
      <c r="D2152" s="47" t="s">
        <v>63</v>
      </c>
      <c r="E2152" s="12">
        <v>46133</v>
      </c>
      <c r="F2152" s="20">
        <f t="shared" si="33"/>
        <v>46113</v>
      </c>
    </row>
    <row r="2153" spans="1:6" ht="20.25">
      <c r="A2153" s="49"/>
      <c r="B2153" s="47" t="s">
        <v>1546</v>
      </c>
      <c r="C2153" s="47">
        <v>33</v>
      </c>
      <c r="D2153" s="47" t="s">
        <v>63</v>
      </c>
      <c r="E2153" s="12">
        <v>46133</v>
      </c>
      <c r="F2153" s="20">
        <f t="shared" si="33"/>
        <v>46113</v>
      </c>
    </row>
    <row r="2154" spans="1:6" ht="20.25">
      <c r="A2154" s="49"/>
      <c r="B2154" s="47" t="s">
        <v>859</v>
      </c>
      <c r="C2154" s="47">
        <v>51</v>
      </c>
      <c r="D2154" s="47" t="s">
        <v>63</v>
      </c>
      <c r="E2154" s="12">
        <v>46133</v>
      </c>
      <c r="F2154" s="20">
        <f t="shared" si="33"/>
        <v>46113</v>
      </c>
    </row>
    <row r="2155" spans="1:6" ht="20.25">
      <c r="A2155" s="49"/>
      <c r="B2155" s="47" t="s">
        <v>822</v>
      </c>
      <c r="C2155" s="47">
        <v>45</v>
      </c>
      <c r="D2155" s="47" t="s">
        <v>63</v>
      </c>
      <c r="E2155" s="12">
        <v>46133</v>
      </c>
      <c r="F2155" s="20">
        <f t="shared" si="33"/>
        <v>46113</v>
      </c>
    </row>
    <row r="2156" spans="1:6" ht="20.25">
      <c r="A2156" s="49"/>
      <c r="B2156" s="47" t="s">
        <v>1250</v>
      </c>
      <c r="C2156" s="47">
        <v>69</v>
      </c>
      <c r="D2156" s="47" t="s">
        <v>63</v>
      </c>
      <c r="E2156" s="12">
        <v>46133</v>
      </c>
      <c r="F2156" s="20">
        <f t="shared" si="33"/>
        <v>46113</v>
      </c>
    </row>
    <row r="2157" spans="1:6" ht="20.25">
      <c r="A2157" s="49"/>
      <c r="B2157" s="47" t="s">
        <v>639</v>
      </c>
      <c r="C2157" s="47">
        <v>319</v>
      </c>
      <c r="D2157" s="47" t="s">
        <v>72</v>
      </c>
      <c r="E2157" s="12">
        <v>46133</v>
      </c>
      <c r="F2157" s="20">
        <f t="shared" si="33"/>
        <v>46113</v>
      </c>
    </row>
    <row r="2158" spans="1:6" ht="20.25">
      <c r="A2158" s="49"/>
      <c r="B2158" s="47" t="s">
        <v>912</v>
      </c>
      <c r="C2158" s="47">
        <v>70</v>
      </c>
      <c r="D2158" s="47" t="s">
        <v>72</v>
      </c>
      <c r="E2158" s="12">
        <v>46133</v>
      </c>
      <c r="F2158" s="20">
        <f t="shared" si="33"/>
        <v>46113</v>
      </c>
    </row>
    <row r="2159" spans="1:6" ht="20.25">
      <c r="A2159" s="49"/>
      <c r="B2159" s="47" t="s">
        <v>911</v>
      </c>
      <c r="C2159" s="47">
        <v>18</v>
      </c>
      <c r="D2159" s="47" t="s">
        <v>72</v>
      </c>
      <c r="E2159" s="12">
        <v>46133</v>
      </c>
      <c r="F2159" s="20">
        <f t="shared" si="33"/>
        <v>46113</v>
      </c>
    </row>
    <row r="2160" spans="1:6" ht="20.25">
      <c r="A2160" s="49"/>
      <c r="B2160" s="47" t="s">
        <v>1464</v>
      </c>
      <c r="C2160" s="47">
        <v>5</v>
      </c>
      <c r="D2160" s="47" t="s">
        <v>72</v>
      </c>
      <c r="E2160" s="12">
        <v>46133</v>
      </c>
      <c r="F2160" s="20">
        <f t="shared" si="33"/>
        <v>46113</v>
      </c>
    </row>
    <row r="2161" spans="1:6" ht="20.25">
      <c r="A2161" s="49"/>
      <c r="B2161" s="47" t="s">
        <v>1018</v>
      </c>
      <c r="C2161" s="47">
        <v>193</v>
      </c>
      <c r="D2161" s="47" t="s">
        <v>72</v>
      </c>
      <c r="E2161" s="12">
        <v>46133</v>
      </c>
      <c r="F2161" s="20">
        <f t="shared" si="33"/>
        <v>46113</v>
      </c>
    </row>
    <row r="2162" spans="1:6" ht="20.25">
      <c r="A2162" s="49"/>
      <c r="B2162" s="47" t="s">
        <v>702</v>
      </c>
      <c r="C2162" s="47">
        <v>88</v>
      </c>
      <c r="D2162" s="47" t="s">
        <v>72</v>
      </c>
      <c r="E2162" s="12">
        <v>46133</v>
      </c>
      <c r="F2162" s="20">
        <f t="shared" si="33"/>
        <v>46113</v>
      </c>
    </row>
    <row r="2163" spans="1:6" ht="20.25">
      <c r="A2163" s="49"/>
      <c r="B2163" s="47" t="s">
        <v>939</v>
      </c>
      <c r="C2163" s="47">
        <v>40</v>
      </c>
      <c r="D2163" s="47" t="s">
        <v>95</v>
      </c>
      <c r="E2163" s="12">
        <v>46133</v>
      </c>
      <c r="F2163" s="20">
        <f t="shared" si="33"/>
        <v>46113</v>
      </c>
    </row>
    <row r="2164" spans="1:6" ht="20.25">
      <c r="A2164" s="49"/>
      <c r="B2164" s="47" t="s">
        <v>1114</v>
      </c>
      <c r="C2164" s="47">
        <v>69</v>
      </c>
      <c r="D2164" s="47" t="s">
        <v>95</v>
      </c>
      <c r="E2164" s="12">
        <v>46133</v>
      </c>
      <c r="F2164" s="20">
        <f t="shared" si="33"/>
        <v>46113</v>
      </c>
    </row>
    <row r="2165" spans="1:6" ht="20.25">
      <c r="A2165" s="49"/>
      <c r="B2165" s="47" t="s">
        <v>1167</v>
      </c>
      <c r="C2165" s="47">
        <v>109</v>
      </c>
      <c r="D2165" s="47" t="s">
        <v>95</v>
      </c>
      <c r="E2165" s="12">
        <v>46133</v>
      </c>
      <c r="F2165" s="20">
        <f t="shared" si="33"/>
        <v>46113</v>
      </c>
    </row>
    <row r="2166" spans="1:6" ht="20.25">
      <c r="A2166" s="49"/>
      <c r="B2166" s="47" t="s">
        <v>655</v>
      </c>
      <c r="C2166" s="47">
        <v>108</v>
      </c>
      <c r="D2166" s="47" t="s">
        <v>63</v>
      </c>
      <c r="E2166" s="12">
        <v>46133</v>
      </c>
      <c r="F2166" s="20">
        <f t="shared" si="33"/>
        <v>46113</v>
      </c>
    </row>
    <row r="2167" spans="1:6" ht="20.25">
      <c r="A2167" s="49"/>
      <c r="B2167" s="47" t="s">
        <v>874</v>
      </c>
      <c r="C2167" s="47">
        <v>5</v>
      </c>
      <c r="D2167" s="47" t="s">
        <v>63</v>
      </c>
      <c r="E2167" s="12">
        <v>46133</v>
      </c>
      <c r="F2167" s="20">
        <f t="shared" si="33"/>
        <v>46113</v>
      </c>
    </row>
    <row r="2168" spans="1:6" ht="20.25">
      <c r="A2168" s="49"/>
      <c r="B2168" s="47" t="s">
        <v>874</v>
      </c>
      <c r="C2168" s="47">
        <v>74</v>
      </c>
      <c r="D2168" s="47" t="s">
        <v>63</v>
      </c>
      <c r="E2168" s="12">
        <v>46133</v>
      </c>
      <c r="F2168" s="20">
        <f t="shared" si="33"/>
        <v>46113</v>
      </c>
    </row>
    <row r="2169" spans="1:6" ht="20.25">
      <c r="A2169" s="49"/>
      <c r="B2169" s="47" t="s">
        <v>1082</v>
      </c>
      <c r="C2169" s="47">
        <v>442</v>
      </c>
      <c r="D2169" s="47" t="s">
        <v>63</v>
      </c>
      <c r="E2169" s="12">
        <v>46133</v>
      </c>
      <c r="F2169" s="20">
        <f t="shared" si="33"/>
        <v>46113</v>
      </c>
    </row>
    <row r="2170" spans="1:6" ht="20.25">
      <c r="A2170" s="49"/>
      <c r="B2170" s="47" t="s">
        <v>1370</v>
      </c>
      <c r="C2170" s="47">
        <v>78</v>
      </c>
      <c r="D2170" s="47" t="s">
        <v>63</v>
      </c>
      <c r="E2170" s="12">
        <v>46133</v>
      </c>
      <c r="F2170" s="20">
        <f t="shared" si="33"/>
        <v>46113</v>
      </c>
    </row>
    <row r="2171" spans="1:6" ht="20.25">
      <c r="A2171" s="49"/>
      <c r="B2171" s="47" t="s">
        <v>1142</v>
      </c>
      <c r="C2171" s="47">
        <v>33</v>
      </c>
      <c r="D2171" s="47" t="s">
        <v>63</v>
      </c>
      <c r="E2171" s="12">
        <v>46133</v>
      </c>
      <c r="F2171" s="20">
        <f t="shared" si="33"/>
        <v>46113</v>
      </c>
    </row>
    <row r="2172" spans="1:6" ht="20.25">
      <c r="A2172" s="49"/>
      <c r="B2172" s="47" t="s">
        <v>957</v>
      </c>
      <c r="C2172" s="47">
        <v>40</v>
      </c>
      <c r="D2172" s="47" t="s">
        <v>160</v>
      </c>
      <c r="E2172" s="12">
        <v>46133</v>
      </c>
      <c r="F2172" s="20">
        <f t="shared" si="33"/>
        <v>46113</v>
      </c>
    </row>
    <row r="2173" spans="1:6" ht="20.25">
      <c r="A2173" s="49"/>
      <c r="B2173" s="47" t="s">
        <v>1491</v>
      </c>
      <c r="C2173" s="47">
        <v>17</v>
      </c>
      <c r="D2173" s="47" t="s">
        <v>72</v>
      </c>
      <c r="E2173" s="12">
        <v>46133</v>
      </c>
      <c r="F2173" s="20">
        <f t="shared" si="33"/>
        <v>46113</v>
      </c>
    </row>
    <row r="2174" spans="1:6" ht="20.25">
      <c r="A2174" s="49"/>
      <c r="B2174" s="47" t="s">
        <v>653</v>
      </c>
      <c r="C2174" s="47">
        <v>274</v>
      </c>
      <c r="D2174" s="47" t="s">
        <v>72</v>
      </c>
      <c r="E2174" s="12">
        <v>46133</v>
      </c>
      <c r="F2174" s="20">
        <f t="shared" si="33"/>
        <v>46113</v>
      </c>
    </row>
    <row r="2175" spans="1:6" ht="20.25">
      <c r="A2175" s="49"/>
      <c r="B2175" s="47" t="s">
        <v>1129</v>
      </c>
      <c r="C2175" s="47">
        <v>56</v>
      </c>
      <c r="D2175" s="47" t="s">
        <v>66</v>
      </c>
      <c r="E2175" s="12">
        <v>46133</v>
      </c>
      <c r="F2175" s="20">
        <f t="shared" si="33"/>
        <v>46113</v>
      </c>
    </row>
    <row r="2176" spans="1:6" ht="20.25">
      <c r="A2176" s="49"/>
      <c r="B2176" s="47" t="s">
        <v>1011</v>
      </c>
      <c r="C2176" s="47">
        <v>84</v>
      </c>
      <c r="D2176" s="47" t="s">
        <v>66</v>
      </c>
      <c r="E2176" s="12">
        <v>46133</v>
      </c>
      <c r="F2176" s="20">
        <f t="shared" si="33"/>
        <v>46113</v>
      </c>
    </row>
    <row r="2177" spans="1:6" ht="20.25">
      <c r="A2177" s="49"/>
      <c r="B2177" s="47" t="s">
        <v>1057</v>
      </c>
      <c r="C2177" s="47">
        <v>49</v>
      </c>
      <c r="D2177" s="47" t="s">
        <v>66</v>
      </c>
      <c r="E2177" s="12">
        <v>46133</v>
      </c>
      <c r="F2177" s="20">
        <f t="shared" si="33"/>
        <v>46113</v>
      </c>
    </row>
    <row r="2178" spans="1:6" ht="20.25">
      <c r="A2178" s="49"/>
      <c r="B2178" s="47" t="s">
        <v>1057</v>
      </c>
      <c r="C2178" s="47">
        <v>66</v>
      </c>
      <c r="D2178" s="47" t="s">
        <v>66</v>
      </c>
      <c r="E2178" s="12">
        <v>46133</v>
      </c>
      <c r="F2178" s="20">
        <f t="shared" ref="F2178:F2241" si="34">EOMONTH(E2178,-1)+1</f>
        <v>46113</v>
      </c>
    </row>
    <row r="2179" spans="1:6" ht="20.25">
      <c r="A2179" s="49"/>
      <c r="B2179" s="47" t="s">
        <v>1549</v>
      </c>
      <c r="C2179" s="47">
        <v>70</v>
      </c>
      <c r="D2179" s="47" t="s">
        <v>66</v>
      </c>
      <c r="E2179" s="12">
        <v>46133</v>
      </c>
      <c r="F2179" s="20">
        <f t="shared" si="34"/>
        <v>46113</v>
      </c>
    </row>
    <row r="2180" spans="1:6" ht="20.25">
      <c r="A2180" s="49"/>
      <c r="B2180" s="47" t="s">
        <v>692</v>
      </c>
      <c r="C2180" s="47">
        <v>146</v>
      </c>
      <c r="D2180" s="47" t="s">
        <v>66</v>
      </c>
      <c r="E2180" s="12">
        <v>46133</v>
      </c>
      <c r="F2180" s="20">
        <f t="shared" si="34"/>
        <v>46113</v>
      </c>
    </row>
    <row r="2181" spans="1:6" ht="20.25">
      <c r="A2181" s="49"/>
      <c r="B2181" s="47" t="s">
        <v>864</v>
      </c>
      <c r="C2181" s="47">
        <v>186</v>
      </c>
      <c r="D2181" s="47" t="s">
        <v>66</v>
      </c>
      <c r="E2181" s="12">
        <v>46133</v>
      </c>
      <c r="F2181" s="20">
        <f t="shared" si="34"/>
        <v>46113</v>
      </c>
    </row>
    <row r="2182" spans="1:6" ht="20.25">
      <c r="A2182" s="49"/>
      <c r="B2182" s="47" t="s">
        <v>786</v>
      </c>
      <c r="C2182" s="47">
        <v>1000</v>
      </c>
      <c r="D2182" s="47" t="s">
        <v>66</v>
      </c>
      <c r="E2182" s="12">
        <v>46133</v>
      </c>
      <c r="F2182" s="20">
        <f t="shared" si="34"/>
        <v>46113</v>
      </c>
    </row>
    <row r="2183" spans="1:6" ht="20.25">
      <c r="A2183" s="49"/>
      <c r="B2183" s="47" t="s">
        <v>1335</v>
      </c>
      <c r="C2183" s="47">
        <v>27</v>
      </c>
      <c r="D2183" s="47" t="s">
        <v>66</v>
      </c>
      <c r="E2183" s="12">
        <v>46133</v>
      </c>
      <c r="F2183" s="20">
        <f t="shared" si="34"/>
        <v>46113</v>
      </c>
    </row>
    <row r="2184" spans="1:6" ht="20.25">
      <c r="A2184" s="49"/>
      <c r="B2184" s="47" t="s">
        <v>714</v>
      </c>
      <c r="C2184" s="47">
        <v>45</v>
      </c>
      <c r="D2184" s="47" t="s">
        <v>66</v>
      </c>
      <c r="E2184" s="12">
        <v>46133</v>
      </c>
      <c r="F2184" s="20">
        <f t="shared" si="34"/>
        <v>46113</v>
      </c>
    </row>
    <row r="2185" spans="1:6" ht="20.25">
      <c r="A2185" s="49"/>
      <c r="B2185" s="47" t="s">
        <v>1026</v>
      </c>
      <c r="C2185" s="47">
        <v>39</v>
      </c>
      <c r="D2185" s="47" t="s">
        <v>66</v>
      </c>
      <c r="E2185" s="12">
        <v>46133</v>
      </c>
      <c r="F2185" s="20">
        <f t="shared" si="34"/>
        <v>46113</v>
      </c>
    </row>
    <row r="2186" spans="1:6" ht="20.25">
      <c r="A2186" s="49"/>
      <c r="B2186" s="47" t="s">
        <v>1423</v>
      </c>
      <c r="C2186" s="47">
        <v>250</v>
      </c>
      <c r="D2186" s="47" t="s">
        <v>66</v>
      </c>
      <c r="E2186" s="12">
        <v>46133</v>
      </c>
      <c r="F2186" s="20">
        <f t="shared" si="34"/>
        <v>46113</v>
      </c>
    </row>
    <row r="2187" spans="1:6" ht="20.25">
      <c r="A2187" s="49"/>
      <c r="B2187" s="47" t="s">
        <v>1007</v>
      </c>
      <c r="C2187" s="47">
        <v>109</v>
      </c>
      <c r="D2187" s="47" t="s">
        <v>62</v>
      </c>
      <c r="E2187" s="12">
        <v>46133</v>
      </c>
      <c r="F2187" s="20">
        <f t="shared" si="34"/>
        <v>46113</v>
      </c>
    </row>
    <row r="2188" spans="1:6" ht="20.25">
      <c r="A2188" s="49"/>
      <c r="B2188" s="47" t="s">
        <v>1007</v>
      </c>
      <c r="C2188" s="47">
        <v>274</v>
      </c>
      <c r="D2188" s="47" t="s">
        <v>62</v>
      </c>
      <c r="E2188" s="12">
        <v>46133</v>
      </c>
      <c r="F2188" s="20">
        <f t="shared" si="34"/>
        <v>46113</v>
      </c>
    </row>
    <row r="2189" spans="1:6" ht="20.25">
      <c r="A2189" s="49"/>
      <c r="B2189" s="47" t="s">
        <v>1492</v>
      </c>
      <c r="C2189" s="47">
        <v>70</v>
      </c>
      <c r="D2189" s="47" t="s">
        <v>82</v>
      </c>
      <c r="E2189" s="12">
        <v>46133</v>
      </c>
      <c r="F2189" s="20">
        <f t="shared" si="34"/>
        <v>46113</v>
      </c>
    </row>
    <row r="2190" spans="1:6" ht="20.25">
      <c r="A2190" s="49"/>
      <c r="B2190" s="47" t="s">
        <v>1492</v>
      </c>
      <c r="C2190" s="47">
        <v>176</v>
      </c>
      <c r="D2190" s="47" t="s">
        <v>82</v>
      </c>
      <c r="E2190" s="12">
        <v>46133</v>
      </c>
      <c r="F2190" s="20">
        <f t="shared" si="34"/>
        <v>46113</v>
      </c>
    </row>
    <row r="2191" spans="1:6" ht="20.25">
      <c r="A2191" s="49"/>
      <c r="B2191" s="47" t="s">
        <v>633</v>
      </c>
      <c r="C2191" s="47">
        <v>715</v>
      </c>
      <c r="D2191" s="47" t="s">
        <v>82</v>
      </c>
      <c r="E2191" s="12">
        <v>46133</v>
      </c>
      <c r="F2191" s="20">
        <f t="shared" si="34"/>
        <v>46113</v>
      </c>
    </row>
    <row r="2192" spans="1:6" ht="20.25">
      <c r="A2192" s="49"/>
      <c r="B2192" s="47" t="s">
        <v>633</v>
      </c>
      <c r="C2192" s="47">
        <v>212</v>
      </c>
      <c r="D2192" s="47" t="s">
        <v>82</v>
      </c>
      <c r="E2192" s="12">
        <v>46133</v>
      </c>
      <c r="F2192" s="20">
        <f t="shared" si="34"/>
        <v>46113</v>
      </c>
    </row>
    <row r="2193" spans="1:6" ht="20.25">
      <c r="A2193" s="49"/>
      <c r="B2193" s="47" t="s">
        <v>635</v>
      </c>
      <c r="C2193" s="47">
        <v>495</v>
      </c>
      <c r="D2193" s="47" t="s">
        <v>82</v>
      </c>
      <c r="E2193" s="12">
        <v>46133</v>
      </c>
      <c r="F2193" s="20">
        <f t="shared" si="34"/>
        <v>46113</v>
      </c>
    </row>
    <row r="2194" spans="1:6" ht="20.25">
      <c r="A2194" s="49"/>
      <c r="B2194" s="47" t="s">
        <v>635</v>
      </c>
      <c r="C2194" s="47">
        <v>32</v>
      </c>
      <c r="D2194" s="47" t="s">
        <v>82</v>
      </c>
      <c r="E2194" s="12">
        <v>46133</v>
      </c>
      <c r="F2194" s="20">
        <f t="shared" si="34"/>
        <v>46113</v>
      </c>
    </row>
    <row r="2195" spans="1:6" ht="20.25">
      <c r="A2195" s="49"/>
      <c r="B2195" s="47" t="s">
        <v>787</v>
      </c>
      <c r="C2195" s="47">
        <v>55</v>
      </c>
      <c r="D2195" s="47" t="s">
        <v>82</v>
      </c>
      <c r="E2195" s="12">
        <v>46133</v>
      </c>
      <c r="F2195" s="20">
        <f t="shared" si="34"/>
        <v>46113</v>
      </c>
    </row>
    <row r="2196" spans="1:6" ht="20.25">
      <c r="A2196" s="49"/>
      <c r="B2196" s="47" t="s">
        <v>1103</v>
      </c>
      <c r="C2196" s="47">
        <v>116</v>
      </c>
      <c r="D2196" s="47" t="s">
        <v>82</v>
      </c>
      <c r="E2196" s="12">
        <v>46133</v>
      </c>
      <c r="F2196" s="20">
        <f t="shared" si="34"/>
        <v>46113</v>
      </c>
    </row>
    <row r="2197" spans="1:6" ht="20.25">
      <c r="A2197" s="49"/>
      <c r="B2197" s="47" t="s">
        <v>710</v>
      </c>
      <c r="C2197" s="47">
        <v>182</v>
      </c>
      <c r="D2197" s="47" t="s">
        <v>82</v>
      </c>
      <c r="E2197" s="12">
        <v>46133</v>
      </c>
      <c r="F2197" s="20">
        <f t="shared" si="34"/>
        <v>46113</v>
      </c>
    </row>
    <row r="2198" spans="1:6" ht="20.25">
      <c r="A2198" s="49"/>
      <c r="B2198" s="47" t="s">
        <v>1069</v>
      </c>
      <c r="C2198" s="47">
        <v>160</v>
      </c>
      <c r="D2198" s="47" t="s">
        <v>82</v>
      </c>
      <c r="E2198" s="12">
        <v>46133</v>
      </c>
      <c r="F2198" s="20">
        <f t="shared" si="34"/>
        <v>46113</v>
      </c>
    </row>
    <row r="2199" spans="1:6" ht="20.25">
      <c r="A2199" s="49"/>
      <c r="B2199" s="47" t="s">
        <v>1551</v>
      </c>
      <c r="C2199" s="47">
        <v>408</v>
      </c>
      <c r="D2199" s="47" t="s">
        <v>82</v>
      </c>
      <c r="E2199" s="12">
        <v>46133</v>
      </c>
      <c r="F2199" s="20">
        <f t="shared" si="34"/>
        <v>46113</v>
      </c>
    </row>
    <row r="2200" spans="1:6" ht="20.25">
      <c r="A2200" s="49"/>
      <c r="B2200" s="47" t="s">
        <v>786</v>
      </c>
      <c r="C2200" s="47">
        <v>41</v>
      </c>
      <c r="D2200" s="47" t="s">
        <v>82</v>
      </c>
      <c r="E2200" s="12">
        <v>46133</v>
      </c>
      <c r="F2200" s="20">
        <f t="shared" si="34"/>
        <v>46113</v>
      </c>
    </row>
    <row r="2201" spans="1:6" ht="20.25">
      <c r="A2201" s="49"/>
      <c r="B2201" s="47" t="s">
        <v>786</v>
      </c>
      <c r="C2201" s="47">
        <v>283</v>
      </c>
      <c r="D2201" s="47" t="s">
        <v>82</v>
      </c>
      <c r="E2201" s="12">
        <v>46133</v>
      </c>
      <c r="F2201" s="20">
        <f t="shared" si="34"/>
        <v>46113</v>
      </c>
    </row>
    <row r="2202" spans="1:6" ht="20.25">
      <c r="A2202" s="49"/>
      <c r="B2202" s="47" t="s">
        <v>786</v>
      </c>
      <c r="C2202" s="47">
        <v>416</v>
      </c>
      <c r="D2202" s="47" t="s">
        <v>82</v>
      </c>
      <c r="E2202" s="12">
        <v>46133</v>
      </c>
      <c r="F2202" s="20">
        <f t="shared" si="34"/>
        <v>46113</v>
      </c>
    </row>
    <row r="2203" spans="1:6" ht="20.25">
      <c r="A2203" s="49"/>
      <c r="B2203" s="47" t="s">
        <v>1033</v>
      </c>
      <c r="C2203" s="47">
        <v>70</v>
      </c>
      <c r="D2203" s="47" t="s">
        <v>95</v>
      </c>
      <c r="E2203" s="12">
        <v>46133</v>
      </c>
      <c r="F2203" s="20">
        <f t="shared" si="34"/>
        <v>46113</v>
      </c>
    </row>
    <row r="2204" spans="1:6" ht="20.25">
      <c r="A2204" s="49"/>
      <c r="B2204" s="47" t="s">
        <v>1033</v>
      </c>
      <c r="C2204" s="47">
        <v>48</v>
      </c>
      <c r="D2204" s="47" t="s">
        <v>95</v>
      </c>
      <c r="E2204" s="12">
        <v>46133</v>
      </c>
      <c r="F2204" s="20">
        <f t="shared" si="34"/>
        <v>46113</v>
      </c>
    </row>
    <row r="2205" spans="1:6" ht="20.25">
      <c r="A2205" s="49"/>
      <c r="B2205" s="47" t="s">
        <v>753</v>
      </c>
      <c r="C2205" s="47">
        <v>261</v>
      </c>
      <c r="D2205" s="47" t="s">
        <v>55</v>
      </c>
      <c r="E2205" s="12">
        <v>46133</v>
      </c>
      <c r="F2205" s="20">
        <f t="shared" si="34"/>
        <v>46113</v>
      </c>
    </row>
    <row r="2206" spans="1:6" ht="20.25">
      <c r="A2206" s="49"/>
      <c r="B2206" s="47" t="s">
        <v>1010</v>
      </c>
      <c r="C2206" s="47">
        <v>250</v>
      </c>
      <c r="D2206" s="47" t="s">
        <v>55</v>
      </c>
      <c r="E2206" s="12">
        <v>46133</v>
      </c>
      <c r="F2206" s="20">
        <f t="shared" si="34"/>
        <v>46113</v>
      </c>
    </row>
    <row r="2207" spans="1:6" ht="20.25">
      <c r="A2207" s="49"/>
      <c r="B2207" s="47" t="s">
        <v>1094</v>
      </c>
      <c r="C2207" s="47">
        <v>91</v>
      </c>
      <c r="D2207" s="47" t="s">
        <v>55</v>
      </c>
      <c r="E2207" s="12">
        <v>46133</v>
      </c>
      <c r="F2207" s="20">
        <f t="shared" si="34"/>
        <v>46113</v>
      </c>
    </row>
    <row r="2208" spans="1:6" ht="20.25">
      <c r="A2208" s="49"/>
      <c r="B2208" s="47" t="s">
        <v>646</v>
      </c>
      <c r="C2208" s="47">
        <v>400</v>
      </c>
      <c r="D2208" s="47" t="s">
        <v>55</v>
      </c>
      <c r="E2208" s="12">
        <v>46133</v>
      </c>
      <c r="F2208" s="20">
        <f t="shared" si="34"/>
        <v>46113</v>
      </c>
    </row>
    <row r="2209" spans="1:6" ht="20.25">
      <c r="A2209" s="49"/>
      <c r="B2209" s="47" t="s">
        <v>642</v>
      </c>
      <c r="C2209" s="47">
        <v>213</v>
      </c>
      <c r="D2209" s="47" t="s">
        <v>55</v>
      </c>
      <c r="E2209" s="12">
        <v>46133</v>
      </c>
      <c r="F2209" s="20">
        <f t="shared" si="34"/>
        <v>46113</v>
      </c>
    </row>
    <row r="2210" spans="1:6" ht="20.25">
      <c r="A2210" s="49"/>
      <c r="B2210" s="47" t="s">
        <v>816</v>
      </c>
      <c r="C2210" s="47">
        <v>111</v>
      </c>
      <c r="D2210" s="47" t="s">
        <v>55</v>
      </c>
      <c r="E2210" s="12">
        <v>46133</v>
      </c>
      <c r="F2210" s="20">
        <f t="shared" si="34"/>
        <v>46113</v>
      </c>
    </row>
    <row r="2211" spans="1:6" ht="20.25">
      <c r="A2211" s="49"/>
      <c r="B2211" s="47" t="s">
        <v>1251</v>
      </c>
      <c r="C2211" s="47">
        <v>42</v>
      </c>
      <c r="D2211" s="47" t="s">
        <v>55</v>
      </c>
      <c r="E2211" s="12">
        <v>46133</v>
      </c>
      <c r="F2211" s="20">
        <f t="shared" si="34"/>
        <v>46113</v>
      </c>
    </row>
    <row r="2212" spans="1:6" ht="20.25">
      <c r="A2212" s="49"/>
      <c r="B2212" s="47" t="s">
        <v>765</v>
      </c>
      <c r="C2212" s="47">
        <v>69</v>
      </c>
      <c r="D2212" s="47" t="s">
        <v>55</v>
      </c>
      <c r="E2212" s="12">
        <v>46133</v>
      </c>
      <c r="F2212" s="20">
        <f t="shared" si="34"/>
        <v>46113</v>
      </c>
    </row>
    <row r="2213" spans="1:6" ht="20.25">
      <c r="A2213" s="49"/>
      <c r="B2213" s="47" t="s">
        <v>734</v>
      </c>
      <c r="C2213" s="47">
        <v>381</v>
      </c>
      <c r="D2213" s="47" t="s">
        <v>1484</v>
      </c>
      <c r="E2213" s="12">
        <v>46133</v>
      </c>
      <c r="F2213" s="20">
        <f t="shared" si="34"/>
        <v>46113</v>
      </c>
    </row>
    <row r="2214" spans="1:6" ht="20.25">
      <c r="A2214" s="49"/>
      <c r="B2214" s="47" t="s">
        <v>1549</v>
      </c>
      <c r="C2214" s="47">
        <v>138</v>
      </c>
      <c r="D2214" s="47" t="s">
        <v>1484</v>
      </c>
      <c r="E2214" s="12">
        <v>46133</v>
      </c>
      <c r="F2214" s="20">
        <f t="shared" si="34"/>
        <v>46113</v>
      </c>
    </row>
    <row r="2215" spans="1:6" ht="20.25">
      <c r="A2215" s="49"/>
      <c r="B2215" s="47" t="s">
        <v>736</v>
      </c>
      <c r="C2215" s="47">
        <v>69</v>
      </c>
      <c r="D2215" s="47" t="s">
        <v>1484</v>
      </c>
      <c r="E2215" s="12">
        <v>46133</v>
      </c>
      <c r="F2215" s="20">
        <f t="shared" si="34"/>
        <v>46113</v>
      </c>
    </row>
    <row r="2216" spans="1:6" ht="20.25">
      <c r="A2216" s="49"/>
      <c r="B2216" s="47" t="s">
        <v>1609</v>
      </c>
      <c r="C2216" s="47">
        <v>220</v>
      </c>
      <c r="D2216" s="47" t="s">
        <v>133</v>
      </c>
      <c r="E2216" s="12">
        <v>46133</v>
      </c>
      <c r="F2216" s="20">
        <f t="shared" si="34"/>
        <v>46113</v>
      </c>
    </row>
    <row r="2217" spans="1:6" ht="20.25">
      <c r="A2217" s="49"/>
      <c r="B2217" s="47" t="s">
        <v>1478</v>
      </c>
      <c r="C2217" s="47">
        <v>17</v>
      </c>
      <c r="D2217" s="47" t="s">
        <v>133</v>
      </c>
      <c r="E2217" s="12">
        <v>46133</v>
      </c>
      <c r="F2217" s="20">
        <f t="shared" si="34"/>
        <v>46113</v>
      </c>
    </row>
    <row r="2218" spans="1:6" ht="20.25">
      <c r="A2218" s="49"/>
      <c r="B2218" s="47" t="s">
        <v>1488</v>
      </c>
      <c r="C2218" s="47">
        <v>25</v>
      </c>
      <c r="D2218" s="47" t="s">
        <v>133</v>
      </c>
      <c r="E2218" s="12">
        <v>46133</v>
      </c>
      <c r="F2218" s="20">
        <f t="shared" si="34"/>
        <v>46113</v>
      </c>
    </row>
    <row r="2219" spans="1:6" ht="20.25">
      <c r="A2219" s="49"/>
      <c r="B2219" s="47" t="s">
        <v>1488</v>
      </c>
      <c r="C2219" s="47">
        <v>41</v>
      </c>
      <c r="D2219" s="47" t="s">
        <v>133</v>
      </c>
      <c r="E2219" s="12">
        <v>46133</v>
      </c>
      <c r="F2219" s="20">
        <f t="shared" si="34"/>
        <v>46113</v>
      </c>
    </row>
    <row r="2220" spans="1:6" ht="20.25">
      <c r="A2220" s="49"/>
      <c r="B2220" s="47" t="s">
        <v>607</v>
      </c>
      <c r="C2220" s="47">
        <v>9</v>
      </c>
      <c r="D2220" s="47" t="s">
        <v>66</v>
      </c>
      <c r="E2220" s="12">
        <v>46133</v>
      </c>
      <c r="F2220" s="20">
        <f t="shared" si="34"/>
        <v>46113</v>
      </c>
    </row>
    <row r="2221" spans="1:6" ht="20.25">
      <c r="A2221" s="49"/>
      <c r="B2221" s="47" t="s">
        <v>1459</v>
      </c>
      <c r="C2221" s="47">
        <v>314</v>
      </c>
      <c r="D2221" s="47" t="s">
        <v>66</v>
      </c>
      <c r="E2221" s="12">
        <v>46133</v>
      </c>
      <c r="F2221" s="20">
        <f t="shared" si="34"/>
        <v>46113</v>
      </c>
    </row>
    <row r="2222" spans="1:6" ht="20.25">
      <c r="A2222" s="49"/>
      <c r="B2222" s="47" t="s">
        <v>1549</v>
      </c>
      <c r="C2222" s="47">
        <v>1000</v>
      </c>
      <c r="D2222" s="47" t="s">
        <v>95</v>
      </c>
      <c r="E2222" s="12">
        <v>46133</v>
      </c>
      <c r="F2222" s="20">
        <f t="shared" si="34"/>
        <v>46113</v>
      </c>
    </row>
    <row r="2223" spans="1:6" ht="20.25">
      <c r="A2223" s="49"/>
      <c r="B2223" s="47" t="s">
        <v>1549</v>
      </c>
      <c r="C2223" s="47">
        <v>360</v>
      </c>
      <c r="D2223" s="47" t="s">
        <v>95</v>
      </c>
      <c r="E2223" s="12">
        <v>46133</v>
      </c>
      <c r="F2223" s="20">
        <f t="shared" si="34"/>
        <v>46113</v>
      </c>
    </row>
    <row r="2224" spans="1:6" ht="20.25">
      <c r="A2224" s="49"/>
      <c r="B2224" s="47" t="s">
        <v>731</v>
      </c>
      <c r="C2224" s="47">
        <v>50</v>
      </c>
      <c r="D2224" s="47" t="s">
        <v>97</v>
      </c>
      <c r="E2224" s="12">
        <v>46133</v>
      </c>
      <c r="F2224" s="20">
        <f t="shared" si="34"/>
        <v>46113</v>
      </c>
    </row>
    <row r="2225" spans="1:6" ht="20.25">
      <c r="A2225" s="49"/>
      <c r="B2225" s="47" t="s">
        <v>994</v>
      </c>
      <c r="C2225" s="47">
        <v>81</v>
      </c>
      <c r="D2225" s="47" t="s">
        <v>97</v>
      </c>
      <c r="E2225" s="12">
        <v>46133</v>
      </c>
      <c r="F2225" s="20">
        <f t="shared" si="34"/>
        <v>46113</v>
      </c>
    </row>
    <row r="2226" spans="1:6" ht="20.25">
      <c r="A2226" s="49"/>
      <c r="B2226" s="47" t="s">
        <v>731</v>
      </c>
      <c r="C2226" s="47">
        <v>226</v>
      </c>
      <c r="D2226" s="47" t="s">
        <v>97</v>
      </c>
      <c r="E2226" s="12">
        <v>46133</v>
      </c>
      <c r="F2226" s="20">
        <f t="shared" si="34"/>
        <v>46113</v>
      </c>
    </row>
    <row r="2227" spans="1:6" ht="20.25">
      <c r="A2227" s="49"/>
      <c r="B2227" s="47" t="s">
        <v>731</v>
      </c>
      <c r="C2227" s="47">
        <v>50</v>
      </c>
      <c r="D2227" s="47" t="s">
        <v>97</v>
      </c>
      <c r="E2227" s="12">
        <v>46133</v>
      </c>
      <c r="F2227" s="20">
        <f t="shared" si="34"/>
        <v>46113</v>
      </c>
    </row>
    <row r="2228" spans="1:6" ht="20.25">
      <c r="A2228" s="49"/>
      <c r="B2228" s="47" t="s">
        <v>976</v>
      </c>
      <c r="C2228" s="47">
        <v>219</v>
      </c>
      <c r="D2228" s="47" t="s">
        <v>97</v>
      </c>
      <c r="E2228" s="12">
        <v>46133</v>
      </c>
      <c r="F2228" s="20">
        <f t="shared" si="34"/>
        <v>46113</v>
      </c>
    </row>
    <row r="2229" spans="1:6" ht="20.25">
      <c r="A2229" s="49"/>
      <c r="B2229" s="47" t="s">
        <v>1376</v>
      </c>
      <c r="C2229" s="47">
        <v>191</v>
      </c>
      <c r="D2229" s="47" t="s">
        <v>97</v>
      </c>
      <c r="E2229" s="12">
        <v>46133</v>
      </c>
      <c r="F2229" s="20">
        <f t="shared" si="34"/>
        <v>46113</v>
      </c>
    </row>
    <row r="2230" spans="1:6" ht="20.25">
      <c r="A2230" s="49"/>
      <c r="B2230" s="47" t="s">
        <v>1361</v>
      </c>
      <c r="C2230" s="47">
        <v>148</v>
      </c>
      <c r="D2230" s="47" t="s">
        <v>97</v>
      </c>
      <c r="E2230" s="12">
        <v>46133</v>
      </c>
      <c r="F2230" s="20">
        <f t="shared" si="34"/>
        <v>46113</v>
      </c>
    </row>
    <row r="2231" spans="1:6" ht="20.25">
      <c r="A2231" s="49"/>
      <c r="B2231" s="47" t="s">
        <v>740</v>
      </c>
      <c r="C2231" s="47">
        <v>36</v>
      </c>
      <c r="D2231" s="47" t="s">
        <v>97</v>
      </c>
      <c r="E2231" s="12">
        <v>46133</v>
      </c>
      <c r="F2231" s="20">
        <f t="shared" si="34"/>
        <v>46113</v>
      </c>
    </row>
    <row r="2232" spans="1:6" ht="20.25">
      <c r="A2232" s="49"/>
      <c r="B2232" s="47" t="s">
        <v>758</v>
      </c>
      <c r="C2232" s="47">
        <v>37</v>
      </c>
      <c r="D2232" s="47" t="s">
        <v>97</v>
      </c>
      <c r="E2232" s="12">
        <v>46133</v>
      </c>
      <c r="F2232" s="20">
        <f t="shared" si="34"/>
        <v>46113</v>
      </c>
    </row>
    <row r="2233" spans="1:6" ht="20.25">
      <c r="A2233" s="49"/>
      <c r="B2233" s="47" t="s">
        <v>1154</v>
      </c>
      <c r="C2233" s="47">
        <v>139</v>
      </c>
      <c r="D2233" s="47" t="s">
        <v>97</v>
      </c>
      <c r="E2233" s="12">
        <v>46133</v>
      </c>
      <c r="F2233" s="20">
        <f t="shared" si="34"/>
        <v>46113</v>
      </c>
    </row>
    <row r="2234" spans="1:6" ht="20.25">
      <c r="A2234" s="49"/>
      <c r="B2234" s="47" t="s">
        <v>743</v>
      </c>
      <c r="C2234" s="47">
        <v>40</v>
      </c>
      <c r="D2234" s="47" t="s">
        <v>62</v>
      </c>
      <c r="E2234" s="12">
        <v>46133</v>
      </c>
      <c r="F2234" s="20">
        <f t="shared" si="34"/>
        <v>46113</v>
      </c>
    </row>
    <row r="2235" spans="1:6" ht="20.25">
      <c r="A2235" s="49"/>
      <c r="B2235" s="47" t="s">
        <v>832</v>
      </c>
      <c r="C2235" s="47">
        <v>73</v>
      </c>
      <c r="D2235" s="47" t="s">
        <v>72</v>
      </c>
      <c r="E2235" s="12">
        <v>46133</v>
      </c>
      <c r="F2235" s="20">
        <f t="shared" si="34"/>
        <v>46113</v>
      </c>
    </row>
    <row r="2236" spans="1:6" ht="20.25">
      <c r="A2236" s="49"/>
      <c r="B2236" s="47" t="s">
        <v>809</v>
      </c>
      <c r="C2236" s="47">
        <v>0</v>
      </c>
      <c r="D2236" s="47" t="s">
        <v>160</v>
      </c>
      <c r="E2236" s="12">
        <v>46133</v>
      </c>
      <c r="F2236" s="20">
        <f t="shared" si="34"/>
        <v>46113</v>
      </c>
    </row>
    <row r="2237" spans="1:6" ht="20.25">
      <c r="A2237" s="49"/>
      <c r="B2237" s="47" t="s">
        <v>1440</v>
      </c>
      <c r="C2237" s="47">
        <v>450</v>
      </c>
      <c r="D2237" s="47" t="s">
        <v>160</v>
      </c>
      <c r="E2237" s="12">
        <v>46133</v>
      </c>
      <c r="F2237" s="20">
        <f t="shared" si="34"/>
        <v>46113</v>
      </c>
    </row>
    <row r="2238" spans="1:6" ht="20.25">
      <c r="A2238" s="49"/>
      <c r="B2238" s="47" t="s">
        <v>968</v>
      </c>
      <c r="C2238" s="47">
        <v>33</v>
      </c>
      <c r="D2238" s="47" t="s">
        <v>160</v>
      </c>
      <c r="E2238" s="12">
        <v>46133</v>
      </c>
      <c r="F2238" s="20">
        <f t="shared" si="34"/>
        <v>46113</v>
      </c>
    </row>
    <row r="2239" spans="1:6" ht="20.25">
      <c r="A2239" s="49"/>
      <c r="B2239" s="47" t="s">
        <v>813</v>
      </c>
      <c r="C2239" s="47">
        <v>251</v>
      </c>
      <c r="D2239" s="47" t="s">
        <v>95</v>
      </c>
      <c r="E2239" s="12">
        <v>46133</v>
      </c>
      <c r="F2239" s="20">
        <f t="shared" si="34"/>
        <v>46113</v>
      </c>
    </row>
    <row r="2240" spans="1:6" ht="20.25">
      <c r="A2240" s="49"/>
      <c r="B2240" s="47" t="s">
        <v>1454</v>
      </c>
      <c r="C2240" s="47">
        <v>79</v>
      </c>
      <c r="D2240" s="47" t="s">
        <v>114</v>
      </c>
      <c r="E2240" s="12">
        <v>46133</v>
      </c>
      <c r="F2240" s="20">
        <f t="shared" si="34"/>
        <v>46113</v>
      </c>
    </row>
    <row r="2241" spans="1:6" ht="20.25">
      <c r="A2241" s="49"/>
      <c r="B2241" s="47" t="s">
        <v>957</v>
      </c>
      <c r="C2241" s="47">
        <v>300</v>
      </c>
      <c r="D2241" s="47" t="s">
        <v>114</v>
      </c>
      <c r="E2241" s="12">
        <v>46133</v>
      </c>
      <c r="F2241" s="20">
        <f t="shared" si="34"/>
        <v>46113</v>
      </c>
    </row>
    <row r="2242" spans="1:6" ht="20.25">
      <c r="A2242" s="49"/>
      <c r="B2242" s="47" t="s">
        <v>1357</v>
      </c>
      <c r="C2242" s="47">
        <v>161</v>
      </c>
      <c r="D2242" s="47" t="s">
        <v>114</v>
      </c>
      <c r="E2242" s="12">
        <v>46133</v>
      </c>
      <c r="F2242" s="20">
        <f t="shared" ref="F2242:F2305" si="35">EOMONTH(E2242,-1)+1</f>
        <v>46113</v>
      </c>
    </row>
    <row r="2243" spans="1:6" ht="20.25">
      <c r="A2243" s="49"/>
      <c r="B2243" s="47" t="s">
        <v>609</v>
      </c>
      <c r="C2243" s="47">
        <v>54</v>
      </c>
      <c r="D2243" s="47" t="s">
        <v>46</v>
      </c>
      <c r="E2243" s="12">
        <v>46133</v>
      </c>
      <c r="F2243" s="20">
        <f t="shared" si="35"/>
        <v>46113</v>
      </c>
    </row>
    <row r="2244" spans="1:6" ht="20.25">
      <c r="A2244" s="49"/>
      <c r="B2244" s="47" t="s">
        <v>609</v>
      </c>
      <c r="C2244" s="47">
        <v>167</v>
      </c>
      <c r="D2244" s="47" t="s">
        <v>46</v>
      </c>
      <c r="E2244" s="12">
        <v>46133</v>
      </c>
      <c r="F2244" s="20">
        <f t="shared" si="35"/>
        <v>46113</v>
      </c>
    </row>
    <row r="2245" spans="1:6" ht="20.25">
      <c r="A2245" s="49"/>
      <c r="B2245" s="47" t="s">
        <v>869</v>
      </c>
      <c r="C2245" s="47">
        <v>27</v>
      </c>
      <c r="D2245" s="47" t="s">
        <v>46</v>
      </c>
      <c r="E2245" s="12">
        <v>46133</v>
      </c>
      <c r="F2245" s="20">
        <f t="shared" si="35"/>
        <v>46113</v>
      </c>
    </row>
    <row r="2246" spans="1:6" ht="20.25">
      <c r="A2246" s="49"/>
      <c r="B2246" s="47" t="s">
        <v>804</v>
      </c>
      <c r="C2246" s="47">
        <v>47</v>
      </c>
      <c r="D2246" s="47" t="s">
        <v>46</v>
      </c>
      <c r="E2246" s="12">
        <v>46133</v>
      </c>
      <c r="F2246" s="20">
        <f t="shared" si="35"/>
        <v>46113</v>
      </c>
    </row>
    <row r="2247" spans="1:6" ht="20.25">
      <c r="A2247" s="49"/>
      <c r="B2247" s="47" t="s">
        <v>843</v>
      </c>
      <c r="C2247" s="47">
        <v>301</v>
      </c>
      <c r="D2247" s="47" t="s">
        <v>46</v>
      </c>
      <c r="E2247" s="12">
        <v>46133</v>
      </c>
      <c r="F2247" s="20">
        <f t="shared" si="35"/>
        <v>46113</v>
      </c>
    </row>
    <row r="2248" spans="1:6" ht="20.25">
      <c r="A2248" s="49"/>
      <c r="B2248" s="47" t="s">
        <v>681</v>
      </c>
      <c r="C2248" s="47">
        <v>1</v>
      </c>
      <c r="D2248" s="47" t="s">
        <v>46</v>
      </c>
      <c r="E2248" s="12">
        <v>46133</v>
      </c>
      <c r="F2248" s="20">
        <f t="shared" si="35"/>
        <v>46113</v>
      </c>
    </row>
    <row r="2249" spans="1:6" ht="20.25">
      <c r="A2249" s="49"/>
      <c r="B2249" s="47" t="s">
        <v>681</v>
      </c>
      <c r="C2249" s="47">
        <v>36</v>
      </c>
      <c r="D2249" s="47" t="s">
        <v>46</v>
      </c>
      <c r="E2249" s="12">
        <v>46133</v>
      </c>
      <c r="F2249" s="20">
        <f t="shared" si="35"/>
        <v>46113</v>
      </c>
    </row>
    <row r="2250" spans="1:6" ht="20.25">
      <c r="A2250" s="49"/>
      <c r="B2250" s="47" t="s">
        <v>1529</v>
      </c>
      <c r="C2250" s="47">
        <v>32</v>
      </c>
      <c r="D2250" s="47" t="s">
        <v>46</v>
      </c>
      <c r="E2250" s="12">
        <v>46133</v>
      </c>
      <c r="F2250" s="20">
        <f t="shared" si="35"/>
        <v>46113</v>
      </c>
    </row>
    <row r="2251" spans="1:6" ht="20.25">
      <c r="A2251" s="49"/>
      <c r="B2251" s="47" t="s">
        <v>671</v>
      </c>
      <c r="C2251" s="47">
        <v>76</v>
      </c>
      <c r="D2251" s="47" t="s">
        <v>46</v>
      </c>
      <c r="E2251" s="12">
        <v>46133</v>
      </c>
      <c r="F2251" s="20">
        <f t="shared" si="35"/>
        <v>46113</v>
      </c>
    </row>
    <row r="2252" spans="1:6" ht="20.25">
      <c r="A2252" s="49"/>
      <c r="B2252" s="47" t="s">
        <v>915</v>
      </c>
      <c r="C2252" s="47">
        <v>44</v>
      </c>
      <c r="D2252" s="47" t="s">
        <v>46</v>
      </c>
      <c r="E2252" s="12">
        <v>46133</v>
      </c>
      <c r="F2252" s="20">
        <f t="shared" si="35"/>
        <v>46113</v>
      </c>
    </row>
    <row r="2253" spans="1:6" ht="20.25">
      <c r="A2253" s="49"/>
      <c r="B2253" s="47" t="s">
        <v>1337</v>
      </c>
      <c r="C2253" s="47">
        <v>4</v>
      </c>
      <c r="D2253" s="47" t="s">
        <v>46</v>
      </c>
      <c r="E2253" s="12">
        <v>46133</v>
      </c>
      <c r="F2253" s="20">
        <f t="shared" si="35"/>
        <v>46113</v>
      </c>
    </row>
    <row r="2254" spans="1:6" ht="20.25">
      <c r="A2254" s="49"/>
      <c r="B2254" s="47" t="s">
        <v>1547</v>
      </c>
      <c r="C2254" s="47">
        <v>55</v>
      </c>
      <c r="D2254" s="47" t="s">
        <v>46</v>
      </c>
      <c r="E2254" s="12">
        <v>46133</v>
      </c>
      <c r="F2254" s="20">
        <f t="shared" si="35"/>
        <v>46113</v>
      </c>
    </row>
    <row r="2255" spans="1:6" ht="20.25">
      <c r="A2255" s="49"/>
      <c r="B2255" s="47" t="s">
        <v>1019</v>
      </c>
      <c r="C2255" s="47">
        <v>57</v>
      </c>
      <c r="D2255" s="47" t="s">
        <v>46</v>
      </c>
      <c r="E2255" s="12">
        <v>46133</v>
      </c>
      <c r="F2255" s="20">
        <f t="shared" si="35"/>
        <v>46113</v>
      </c>
    </row>
    <row r="2256" spans="1:6" ht="20.25">
      <c r="A2256" s="49"/>
      <c r="B2256" s="47" t="s">
        <v>762</v>
      </c>
      <c r="C2256" s="47">
        <v>44</v>
      </c>
      <c r="D2256" s="47" t="s">
        <v>46</v>
      </c>
      <c r="E2256" s="12">
        <v>46133</v>
      </c>
      <c r="F2256" s="20">
        <f t="shared" si="35"/>
        <v>46113</v>
      </c>
    </row>
    <row r="2257" spans="1:6" ht="20.25">
      <c r="A2257" s="49"/>
      <c r="B2257" s="47" t="s">
        <v>867</v>
      </c>
      <c r="C2257" s="47">
        <v>65</v>
      </c>
      <c r="D2257" s="47" t="s">
        <v>46</v>
      </c>
      <c r="E2257" s="12">
        <v>46133</v>
      </c>
      <c r="F2257" s="20">
        <f t="shared" si="35"/>
        <v>46113</v>
      </c>
    </row>
    <row r="2258" spans="1:6" ht="20.25">
      <c r="A2258" s="49"/>
      <c r="B2258" s="47" t="s">
        <v>867</v>
      </c>
      <c r="C2258" s="47">
        <v>216</v>
      </c>
      <c r="D2258" s="47" t="s">
        <v>46</v>
      </c>
      <c r="E2258" s="12">
        <v>46133</v>
      </c>
      <c r="F2258" s="20">
        <f t="shared" si="35"/>
        <v>46113</v>
      </c>
    </row>
    <row r="2259" spans="1:6" ht="20.25">
      <c r="A2259" s="49"/>
      <c r="B2259" s="47" t="s">
        <v>944</v>
      </c>
      <c r="C2259" s="47">
        <v>49</v>
      </c>
      <c r="D2259" s="47" t="s">
        <v>46</v>
      </c>
      <c r="E2259" s="12">
        <v>46133</v>
      </c>
      <c r="F2259" s="20">
        <f t="shared" si="35"/>
        <v>46113</v>
      </c>
    </row>
    <row r="2260" spans="1:6" ht="20.25">
      <c r="A2260" s="49"/>
      <c r="B2260" s="47" t="s">
        <v>630</v>
      </c>
      <c r="C2260" s="47">
        <v>160</v>
      </c>
      <c r="D2260" s="47" t="s">
        <v>55</v>
      </c>
      <c r="E2260" s="12">
        <v>46133</v>
      </c>
      <c r="F2260" s="20">
        <f t="shared" si="35"/>
        <v>46113</v>
      </c>
    </row>
    <row r="2261" spans="1:6" ht="20.25">
      <c r="A2261" s="49"/>
      <c r="B2261" s="47" t="s">
        <v>995</v>
      </c>
      <c r="C2261" s="47">
        <v>1</v>
      </c>
      <c r="D2261" s="47" t="s">
        <v>46</v>
      </c>
      <c r="E2261" s="12">
        <v>46133</v>
      </c>
      <c r="F2261" s="20">
        <f t="shared" si="35"/>
        <v>46113</v>
      </c>
    </row>
    <row r="2262" spans="1:6" ht="20.25">
      <c r="A2262" s="49"/>
      <c r="B2262" s="47" t="s">
        <v>1077</v>
      </c>
      <c r="C2262" s="47">
        <v>1</v>
      </c>
      <c r="D2262" s="47" t="s">
        <v>46</v>
      </c>
      <c r="E2262" s="12">
        <v>46133</v>
      </c>
      <c r="F2262" s="20">
        <f t="shared" si="35"/>
        <v>46113</v>
      </c>
    </row>
    <row r="2263" spans="1:6" ht="20.25">
      <c r="A2263" s="49"/>
      <c r="B2263" s="47" t="s">
        <v>1260</v>
      </c>
      <c r="C2263" s="47">
        <v>2</v>
      </c>
      <c r="D2263" s="47" t="s">
        <v>46</v>
      </c>
      <c r="E2263" s="12">
        <v>46133</v>
      </c>
      <c r="F2263" s="20">
        <f t="shared" si="35"/>
        <v>46113</v>
      </c>
    </row>
    <row r="2264" spans="1:6" ht="20.25">
      <c r="A2264" s="49"/>
      <c r="B2264" s="47" t="s">
        <v>1549</v>
      </c>
      <c r="C2264" s="47">
        <v>3</v>
      </c>
      <c r="D2264" s="47" t="s">
        <v>46</v>
      </c>
      <c r="E2264" s="12">
        <v>46133</v>
      </c>
      <c r="F2264" s="20">
        <f t="shared" si="35"/>
        <v>46113</v>
      </c>
    </row>
    <row r="2265" spans="1:6" ht="20.25">
      <c r="A2265" s="49"/>
      <c r="B2265" s="47" t="s">
        <v>1109</v>
      </c>
      <c r="C2265" s="47">
        <v>11</v>
      </c>
      <c r="D2265" s="47" t="s">
        <v>97</v>
      </c>
      <c r="E2265" s="12">
        <v>46133</v>
      </c>
      <c r="F2265" s="20">
        <f t="shared" si="35"/>
        <v>46113</v>
      </c>
    </row>
    <row r="2266" spans="1:6" ht="20.25">
      <c r="A2266" s="49"/>
      <c r="B2266" s="47" t="s">
        <v>664</v>
      </c>
      <c r="C2266" s="47">
        <v>73</v>
      </c>
      <c r="D2266" s="47" t="s">
        <v>97</v>
      </c>
      <c r="E2266" s="12">
        <v>46133</v>
      </c>
      <c r="F2266" s="20">
        <f t="shared" si="35"/>
        <v>46113</v>
      </c>
    </row>
    <row r="2267" spans="1:6" ht="20.25">
      <c r="A2267" s="49"/>
      <c r="B2267" s="47" t="s">
        <v>1162</v>
      </c>
      <c r="C2267" s="47">
        <v>68</v>
      </c>
      <c r="D2267" s="47" t="s">
        <v>66</v>
      </c>
      <c r="E2267" s="12">
        <v>46133</v>
      </c>
      <c r="F2267" s="20">
        <f t="shared" si="35"/>
        <v>46113</v>
      </c>
    </row>
    <row r="2268" spans="1:6" ht="20.25">
      <c r="A2268" s="49"/>
      <c r="B2268" s="47" t="s">
        <v>1162</v>
      </c>
      <c r="C2268" s="47">
        <v>320</v>
      </c>
      <c r="D2268" s="47" t="s">
        <v>66</v>
      </c>
      <c r="E2268" s="12">
        <v>46133</v>
      </c>
      <c r="F2268" s="20">
        <f t="shared" si="35"/>
        <v>46113</v>
      </c>
    </row>
    <row r="2269" spans="1:6" ht="20.25">
      <c r="A2269" s="49"/>
      <c r="B2269" s="47" t="s">
        <v>821</v>
      </c>
      <c r="C2269" s="47">
        <v>29</v>
      </c>
      <c r="D2269" s="47" t="s">
        <v>63</v>
      </c>
      <c r="E2269" s="12">
        <v>46133</v>
      </c>
      <c r="F2269" s="20">
        <f t="shared" si="35"/>
        <v>46113</v>
      </c>
    </row>
    <row r="2270" spans="1:6" ht="20.25">
      <c r="A2270" s="49"/>
      <c r="B2270" s="47" t="s">
        <v>927</v>
      </c>
      <c r="C2270" s="47">
        <v>26</v>
      </c>
      <c r="D2270" s="47" t="s">
        <v>63</v>
      </c>
      <c r="E2270" s="12">
        <v>46133</v>
      </c>
      <c r="F2270" s="20">
        <f t="shared" si="35"/>
        <v>46113</v>
      </c>
    </row>
    <row r="2271" spans="1:6" ht="20.25">
      <c r="A2271" s="49"/>
      <c r="B2271" s="47" t="s">
        <v>1345</v>
      </c>
      <c r="C2271" s="47">
        <v>33</v>
      </c>
      <c r="D2271" s="47" t="s">
        <v>63</v>
      </c>
      <c r="E2271" s="12">
        <v>46133</v>
      </c>
      <c r="F2271" s="20">
        <f t="shared" si="35"/>
        <v>46113</v>
      </c>
    </row>
    <row r="2272" spans="1:6" ht="20.25">
      <c r="A2272" s="49"/>
      <c r="B2272" s="47" t="s">
        <v>1610</v>
      </c>
      <c r="C2272" s="47">
        <v>34</v>
      </c>
      <c r="D2272" s="47" t="s">
        <v>63</v>
      </c>
      <c r="E2272" s="12">
        <v>46133</v>
      </c>
      <c r="F2272" s="20">
        <f t="shared" si="35"/>
        <v>46113</v>
      </c>
    </row>
    <row r="2273" spans="1:6" ht="20.25">
      <c r="A2273" s="49"/>
      <c r="B2273" s="47" t="s">
        <v>1045</v>
      </c>
      <c r="C2273" s="47">
        <v>9</v>
      </c>
      <c r="D2273" s="47" t="s">
        <v>97</v>
      </c>
      <c r="E2273" s="12">
        <v>46133</v>
      </c>
      <c r="F2273" s="20">
        <f t="shared" si="35"/>
        <v>46113</v>
      </c>
    </row>
    <row r="2274" spans="1:6" ht="20.25">
      <c r="A2274" s="49"/>
      <c r="B2274" s="47" t="s">
        <v>953</v>
      </c>
      <c r="C2274" s="47">
        <v>208</v>
      </c>
      <c r="D2274" s="47" t="s">
        <v>55</v>
      </c>
      <c r="E2274" s="12">
        <v>46133</v>
      </c>
      <c r="F2274" s="20">
        <f t="shared" si="35"/>
        <v>46113</v>
      </c>
    </row>
    <row r="2275" spans="1:6" ht="20.25">
      <c r="A2275" s="49"/>
      <c r="B2275" s="47" t="s">
        <v>953</v>
      </c>
      <c r="C2275" s="47">
        <v>53</v>
      </c>
      <c r="D2275" s="47" t="s">
        <v>55</v>
      </c>
      <c r="E2275" s="12">
        <v>46133</v>
      </c>
      <c r="F2275" s="20">
        <f t="shared" si="35"/>
        <v>46113</v>
      </c>
    </row>
    <row r="2276" spans="1:6" ht="20.25">
      <c r="A2276" s="49"/>
      <c r="B2276" s="47" t="s">
        <v>1154</v>
      </c>
      <c r="C2276" s="47">
        <v>15</v>
      </c>
      <c r="D2276" s="47" t="s">
        <v>97</v>
      </c>
      <c r="E2276" s="12">
        <v>46133</v>
      </c>
      <c r="F2276" s="20">
        <f t="shared" si="35"/>
        <v>46113</v>
      </c>
    </row>
    <row r="2277" spans="1:6" ht="20.25">
      <c r="A2277" s="49"/>
      <c r="B2277" s="47" t="s">
        <v>633</v>
      </c>
      <c r="C2277" s="47">
        <v>107</v>
      </c>
      <c r="D2277" s="47" t="s">
        <v>82</v>
      </c>
      <c r="E2277" s="12">
        <v>46133</v>
      </c>
      <c r="F2277" s="20">
        <f t="shared" si="35"/>
        <v>46113</v>
      </c>
    </row>
    <row r="2278" spans="1:6" ht="20.25">
      <c r="A2278" s="49"/>
      <c r="B2278" s="47" t="s">
        <v>633</v>
      </c>
      <c r="C2278" s="47">
        <v>232</v>
      </c>
      <c r="D2278" s="47" t="s">
        <v>82</v>
      </c>
      <c r="E2278" s="12">
        <v>46133</v>
      </c>
      <c r="F2278" s="20">
        <f t="shared" si="35"/>
        <v>46113</v>
      </c>
    </row>
    <row r="2279" spans="1:6" ht="20.25">
      <c r="A2279" s="49"/>
      <c r="B2279" s="47" t="s">
        <v>633</v>
      </c>
      <c r="C2279" s="47">
        <v>34</v>
      </c>
      <c r="D2279" s="47" t="s">
        <v>82</v>
      </c>
      <c r="E2279" s="12">
        <v>46133</v>
      </c>
      <c r="F2279" s="20">
        <f t="shared" si="35"/>
        <v>46113</v>
      </c>
    </row>
    <row r="2280" spans="1:6" ht="20.25">
      <c r="A2280" s="49"/>
      <c r="B2280" s="47" t="s">
        <v>708</v>
      </c>
      <c r="C2280" s="47">
        <v>72</v>
      </c>
      <c r="D2280" s="47" t="s">
        <v>46</v>
      </c>
      <c r="E2280" s="12">
        <v>46133</v>
      </c>
      <c r="F2280" s="20">
        <f t="shared" si="35"/>
        <v>46113</v>
      </c>
    </row>
    <row r="2281" spans="1:6" ht="20.25">
      <c r="A2281" s="49"/>
      <c r="B2281" s="47" t="s">
        <v>871</v>
      </c>
      <c r="C2281" s="47">
        <v>-33</v>
      </c>
      <c r="D2281" s="47" t="s">
        <v>46</v>
      </c>
      <c r="E2281" s="12">
        <v>46133</v>
      </c>
      <c r="F2281" s="20">
        <f t="shared" si="35"/>
        <v>46113</v>
      </c>
    </row>
    <row r="2282" spans="1:6" ht="20.25">
      <c r="A2282" s="49"/>
      <c r="B2282" s="47" t="s">
        <v>608</v>
      </c>
      <c r="C2282" s="47">
        <v>35</v>
      </c>
      <c r="D2282" s="47" t="s">
        <v>46</v>
      </c>
      <c r="E2282" s="12">
        <v>46133</v>
      </c>
      <c r="F2282" s="20">
        <f t="shared" si="35"/>
        <v>46113</v>
      </c>
    </row>
    <row r="2283" spans="1:6" ht="20.25">
      <c r="A2283" s="49"/>
      <c r="B2283" s="47" t="s">
        <v>655</v>
      </c>
      <c r="C2283" s="47">
        <v>328</v>
      </c>
      <c r="D2283" s="47" t="s">
        <v>63</v>
      </c>
      <c r="E2283" s="12">
        <v>46133</v>
      </c>
      <c r="F2283" s="20">
        <f t="shared" si="35"/>
        <v>46113</v>
      </c>
    </row>
    <row r="2284" spans="1:6" ht="20.25">
      <c r="A2284" s="49"/>
      <c r="B2284" s="47" t="s">
        <v>639</v>
      </c>
      <c r="C2284" s="47">
        <v>427</v>
      </c>
      <c r="D2284" s="47" t="s">
        <v>72</v>
      </c>
      <c r="E2284" s="12">
        <v>46134</v>
      </c>
      <c r="F2284" s="20">
        <f t="shared" si="35"/>
        <v>46113</v>
      </c>
    </row>
    <row r="2285" spans="1:6" ht="20.25">
      <c r="A2285" s="49"/>
      <c r="B2285" s="47" t="s">
        <v>894</v>
      </c>
      <c r="C2285" s="47">
        <v>34</v>
      </c>
      <c r="D2285" s="47" t="s">
        <v>72</v>
      </c>
      <c r="E2285" s="12">
        <v>46134</v>
      </c>
      <c r="F2285" s="20">
        <f t="shared" si="35"/>
        <v>46113</v>
      </c>
    </row>
    <row r="2286" spans="1:6" ht="20.25">
      <c r="A2286" s="49"/>
      <c r="B2286" s="47" t="s">
        <v>917</v>
      </c>
      <c r="C2286" s="47">
        <v>84</v>
      </c>
      <c r="D2286" s="47" t="s">
        <v>72</v>
      </c>
      <c r="E2286" s="12">
        <v>46134</v>
      </c>
      <c r="F2286" s="20">
        <f t="shared" si="35"/>
        <v>46113</v>
      </c>
    </row>
    <row r="2287" spans="1:6" ht="20.25">
      <c r="A2287" s="49"/>
      <c r="B2287" s="47" t="s">
        <v>684</v>
      </c>
      <c r="C2287" s="47">
        <v>23</v>
      </c>
      <c r="D2287" s="47" t="s">
        <v>72</v>
      </c>
      <c r="E2287" s="12">
        <v>46134</v>
      </c>
      <c r="F2287" s="20">
        <f t="shared" si="35"/>
        <v>46113</v>
      </c>
    </row>
    <row r="2288" spans="1:6" ht="20.25">
      <c r="A2288" s="49"/>
      <c r="B2288" s="47" t="s">
        <v>917</v>
      </c>
      <c r="C2288" s="47">
        <v>109</v>
      </c>
      <c r="D2288" s="47" t="s">
        <v>72</v>
      </c>
      <c r="E2288" s="12">
        <v>46134</v>
      </c>
      <c r="F2288" s="20">
        <f t="shared" si="35"/>
        <v>46113</v>
      </c>
    </row>
    <row r="2289" spans="1:6" ht="20.25">
      <c r="A2289" s="49"/>
      <c r="B2289" s="47" t="s">
        <v>1150</v>
      </c>
      <c r="C2289" s="47">
        <v>26</v>
      </c>
      <c r="D2289" s="47" t="s">
        <v>72</v>
      </c>
      <c r="E2289" s="12">
        <v>46134</v>
      </c>
      <c r="F2289" s="20">
        <f t="shared" si="35"/>
        <v>46113</v>
      </c>
    </row>
    <row r="2290" spans="1:6" ht="20.25">
      <c r="A2290" s="49"/>
      <c r="B2290" s="47" t="s">
        <v>1521</v>
      </c>
      <c r="C2290" s="47">
        <v>36</v>
      </c>
      <c r="D2290" s="47" t="s">
        <v>72</v>
      </c>
      <c r="E2290" s="12">
        <v>46134</v>
      </c>
      <c r="F2290" s="20">
        <f t="shared" si="35"/>
        <v>46113</v>
      </c>
    </row>
    <row r="2291" spans="1:6" ht="20.25">
      <c r="A2291" s="49"/>
      <c r="B2291" s="47" t="s">
        <v>780</v>
      </c>
      <c r="C2291" s="47">
        <v>125</v>
      </c>
      <c r="D2291" s="47" t="s">
        <v>72</v>
      </c>
      <c r="E2291" s="12">
        <v>46134</v>
      </c>
      <c r="F2291" s="20">
        <f t="shared" si="35"/>
        <v>46113</v>
      </c>
    </row>
    <row r="2292" spans="1:6" ht="20.25">
      <c r="A2292" s="49"/>
      <c r="B2292" s="47" t="s">
        <v>617</v>
      </c>
      <c r="C2292" s="47">
        <v>24</v>
      </c>
      <c r="D2292" s="47" t="s">
        <v>72</v>
      </c>
      <c r="E2292" s="12">
        <v>46134</v>
      </c>
      <c r="F2292" s="20">
        <f t="shared" si="35"/>
        <v>46113</v>
      </c>
    </row>
    <row r="2293" spans="1:6" ht="20.25">
      <c r="A2293" s="49"/>
      <c r="B2293" s="47" t="s">
        <v>626</v>
      </c>
      <c r="C2293" s="47">
        <v>26</v>
      </c>
      <c r="D2293" s="47" t="s">
        <v>72</v>
      </c>
      <c r="E2293" s="12">
        <v>46134</v>
      </c>
      <c r="F2293" s="20">
        <f t="shared" si="35"/>
        <v>46113</v>
      </c>
    </row>
    <row r="2294" spans="1:6" ht="20.25">
      <c r="A2294" s="49"/>
      <c r="B2294" s="47" t="s">
        <v>864</v>
      </c>
      <c r="C2294" s="47">
        <v>13</v>
      </c>
      <c r="D2294" s="47" t="s">
        <v>72</v>
      </c>
      <c r="E2294" s="12">
        <v>46134</v>
      </c>
      <c r="F2294" s="20">
        <f t="shared" si="35"/>
        <v>46113</v>
      </c>
    </row>
    <row r="2295" spans="1:6" ht="20.25">
      <c r="A2295" s="49"/>
      <c r="B2295" s="47" t="s">
        <v>642</v>
      </c>
      <c r="C2295" s="47">
        <v>80</v>
      </c>
      <c r="D2295" s="47" t="s">
        <v>72</v>
      </c>
      <c r="E2295" s="12">
        <v>46134</v>
      </c>
      <c r="F2295" s="20">
        <f t="shared" si="35"/>
        <v>46113</v>
      </c>
    </row>
    <row r="2296" spans="1:6" ht="20.25">
      <c r="A2296" s="49"/>
      <c r="B2296" s="47" t="s">
        <v>962</v>
      </c>
      <c r="C2296" s="47">
        <v>77</v>
      </c>
      <c r="D2296" s="47" t="s">
        <v>62</v>
      </c>
      <c r="E2296" s="12">
        <v>46134</v>
      </c>
      <c r="F2296" s="20">
        <f t="shared" si="35"/>
        <v>46113</v>
      </c>
    </row>
    <row r="2297" spans="1:6" ht="20.25">
      <c r="A2297" s="49"/>
      <c r="B2297" s="47" t="s">
        <v>1264</v>
      </c>
      <c r="C2297" s="47">
        <v>347</v>
      </c>
      <c r="D2297" s="47" t="s">
        <v>62</v>
      </c>
      <c r="E2297" s="12">
        <v>46134</v>
      </c>
      <c r="F2297" s="20">
        <f t="shared" si="35"/>
        <v>46113</v>
      </c>
    </row>
    <row r="2298" spans="1:6" ht="20.25">
      <c r="A2298" s="49"/>
      <c r="B2298" s="47" t="s">
        <v>691</v>
      </c>
      <c r="C2298" s="47">
        <v>747</v>
      </c>
      <c r="D2298" s="47" t="s">
        <v>62</v>
      </c>
      <c r="E2298" s="12">
        <v>46134</v>
      </c>
      <c r="F2298" s="20">
        <f t="shared" si="35"/>
        <v>46113</v>
      </c>
    </row>
    <row r="2299" spans="1:6" ht="20.25">
      <c r="A2299" s="49"/>
      <c r="B2299" s="47" t="s">
        <v>670</v>
      </c>
      <c r="C2299" s="47">
        <v>341</v>
      </c>
      <c r="D2299" s="47" t="s">
        <v>46</v>
      </c>
      <c r="E2299" s="12">
        <v>46134</v>
      </c>
      <c r="F2299" s="20">
        <f t="shared" si="35"/>
        <v>46113</v>
      </c>
    </row>
    <row r="2300" spans="1:6" ht="20.25">
      <c r="A2300" s="49"/>
      <c r="B2300" s="47" t="s">
        <v>1246</v>
      </c>
      <c r="C2300" s="47">
        <v>62</v>
      </c>
      <c r="D2300" s="47" t="s">
        <v>46</v>
      </c>
      <c r="E2300" s="12">
        <v>46134</v>
      </c>
      <c r="F2300" s="20">
        <f t="shared" si="35"/>
        <v>46113</v>
      </c>
    </row>
    <row r="2301" spans="1:6" ht="20.25">
      <c r="A2301" s="49"/>
      <c r="B2301" s="47" t="s">
        <v>1089</v>
      </c>
      <c r="C2301" s="47">
        <v>151</v>
      </c>
      <c r="D2301" s="47" t="s">
        <v>46</v>
      </c>
      <c r="E2301" s="12">
        <v>46134</v>
      </c>
      <c r="F2301" s="20">
        <f t="shared" si="35"/>
        <v>46113</v>
      </c>
    </row>
    <row r="2302" spans="1:6" ht="20.25">
      <c r="A2302" s="49"/>
      <c r="B2302" s="47" t="s">
        <v>1089</v>
      </c>
      <c r="C2302" s="47">
        <v>271</v>
      </c>
      <c r="D2302" s="47" t="s">
        <v>46</v>
      </c>
      <c r="E2302" s="12">
        <v>46134</v>
      </c>
      <c r="F2302" s="20">
        <f t="shared" si="35"/>
        <v>46113</v>
      </c>
    </row>
    <row r="2303" spans="1:6" ht="20.25">
      <c r="A2303" s="49"/>
      <c r="B2303" s="47" t="s">
        <v>756</v>
      </c>
      <c r="C2303" s="47">
        <v>111</v>
      </c>
      <c r="D2303" s="47" t="s">
        <v>46</v>
      </c>
      <c r="E2303" s="12">
        <v>46134</v>
      </c>
      <c r="F2303" s="20">
        <f t="shared" si="35"/>
        <v>46113</v>
      </c>
    </row>
    <row r="2304" spans="1:6" ht="20.25">
      <c r="A2304" s="49"/>
      <c r="B2304" s="47" t="s">
        <v>1160</v>
      </c>
      <c r="C2304" s="47">
        <v>1000</v>
      </c>
      <c r="D2304" s="47" t="s">
        <v>46</v>
      </c>
      <c r="E2304" s="12">
        <v>46134</v>
      </c>
      <c r="F2304" s="20">
        <f t="shared" si="35"/>
        <v>46113</v>
      </c>
    </row>
    <row r="2305" spans="1:6" ht="20.25">
      <c r="A2305" s="49"/>
      <c r="B2305" s="47" t="s">
        <v>828</v>
      </c>
      <c r="C2305" s="47">
        <v>257</v>
      </c>
      <c r="D2305" s="47" t="s">
        <v>160</v>
      </c>
      <c r="E2305" s="12">
        <v>46134</v>
      </c>
      <c r="F2305" s="20">
        <f t="shared" si="35"/>
        <v>46113</v>
      </c>
    </row>
    <row r="2306" spans="1:6" ht="20.25">
      <c r="A2306" s="49"/>
      <c r="B2306" s="47" t="s">
        <v>877</v>
      </c>
      <c r="C2306" s="47">
        <v>59</v>
      </c>
      <c r="D2306" s="47" t="s">
        <v>160</v>
      </c>
      <c r="E2306" s="12">
        <v>46134</v>
      </c>
      <c r="F2306" s="20">
        <f t="shared" ref="F2306:F2369" si="36">EOMONTH(E2306,-1)+1</f>
        <v>46113</v>
      </c>
    </row>
    <row r="2307" spans="1:6" ht="20.25">
      <c r="A2307" s="49"/>
      <c r="B2307" s="47" t="s">
        <v>809</v>
      </c>
      <c r="C2307" s="47">
        <v>118</v>
      </c>
      <c r="D2307" s="47" t="s">
        <v>160</v>
      </c>
      <c r="E2307" s="12">
        <v>46134</v>
      </c>
      <c r="F2307" s="20">
        <f t="shared" si="36"/>
        <v>46113</v>
      </c>
    </row>
    <row r="2308" spans="1:6" ht="20.25">
      <c r="A2308" s="49"/>
      <c r="B2308" s="47" t="s">
        <v>828</v>
      </c>
      <c r="C2308" s="47">
        <v>35</v>
      </c>
      <c r="D2308" s="47" t="s">
        <v>160</v>
      </c>
      <c r="E2308" s="12">
        <v>46134</v>
      </c>
      <c r="F2308" s="20">
        <f t="shared" si="36"/>
        <v>46113</v>
      </c>
    </row>
    <row r="2309" spans="1:6" ht="20.25">
      <c r="A2309" s="49"/>
      <c r="B2309" s="47" t="s">
        <v>777</v>
      </c>
      <c r="C2309" s="47">
        <v>288</v>
      </c>
      <c r="D2309" s="47" t="s">
        <v>160</v>
      </c>
      <c r="E2309" s="12">
        <v>46134</v>
      </c>
      <c r="F2309" s="20">
        <f t="shared" si="36"/>
        <v>46113</v>
      </c>
    </row>
    <row r="2310" spans="1:6" ht="20.25">
      <c r="A2310" s="49"/>
      <c r="B2310" s="47" t="s">
        <v>909</v>
      </c>
      <c r="C2310" s="47">
        <v>76</v>
      </c>
      <c r="D2310" s="47" t="s">
        <v>160</v>
      </c>
      <c r="E2310" s="12">
        <v>46134</v>
      </c>
      <c r="F2310" s="20">
        <f t="shared" si="36"/>
        <v>46113</v>
      </c>
    </row>
    <row r="2311" spans="1:6" ht="20.25">
      <c r="A2311" s="49"/>
      <c r="B2311" s="47" t="s">
        <v>699</v>
      </c>
      <c r="C2311" s="47">
        <v>27</v>
      </c>
      <c r="D2311" s="47" t="s">
        <v>160</v>
      </c>
      <c r="E2311" s="12">
        <v>46134</v>
      </c>
      <c r="F2311" s="20">
        <f t="shared" si="36"/>
        <v>46113</v>
      </c>
    </row>
    <row r="2312" spans="1:6" ht="20.25">
      <c r="A2312" s="49"/>
      <c r="B2312" s="47" t="s">
        <v>1148</v>
      </c>
      <c r="C2312" s="47">
        <v>206</v>
      </c>
      <c r="D2312" s="47" t="s">
        <v>160</v>
      </c>
      <c r="E2312" s="12">
        <v>46134</v>
      </c>
      <c r="F2312" s="20">
        <f t="shared" si="36"/>
        <v>46113</v>
      </c>
    </row>
    <row r="2313" spans="1:6" ht="20.25">
      <c r="A2313" s="49"/>
      <c r="B2313" s="47" t="s">
        <v>957</v>
      </c>
      <c r="C2313" s="47">
        <v>99</v>
      </c>
      <c r="D2313" s="47" t="s">
        <v>160</v>
      </c>
      <c r="E2313" s="12">
        <v>46134</v>
      </c>
      <c r="F2313" s="20">
        <f t="shared" si="36"/>
        <v>46113</v>
      </c>
    </row>
    <row r="2314" spans="1:6" ht="20.25">
      <c r="A2314" s="49"/>
      <c r="B2314" s="47" t="s">
        <v>1002</v>
      </c>
      <c r="C2314" s="47">
        <v>1</v>
      </c>
      <c r="D2314" s="47" t="s">
        <v>160</v>
      </c>
      <c r="E2314" s="12">
        <v>46134</v>
      </c>
      <c r="F2314" s="20">
        <f t="shared" si="36"/>
        <v>46113</v>
      </c>
    </row>
    <row r="2315" spans="1:6" ht="20.25">
      <c r="A2315" s="49"/>
      <c r="B2315" s="47" t="s">
        <v>1245</v>
      </c>
      <c r="C2315" s="47">
        <v>236</v>
      </c>
      <c r="D2315" s="47" t="s">
        <v>46</v>
      </c>
      <c r="E2315" s="12">
        <v>46134</v>
      </c>
      <c r="F2315" s="20">
        <f t="shared" si="36"/>
        <v>46113</v>
      </c>
    </row>
    <row r="2316" spans="1:6" ht="20.25">
      <c r="A2316" s="49"/>
      <c r="B2316" s="47" t="s">
        <v>1549</v>
      </c>
      <c r="C2316" s="47">
        <v>344</v>
      </c>
      <c r="D2316" s="47" t="s">
        <v>95</v>
      </c>
      <c r="E2316" s="12">
        <v>46134</v>
      </c>
      <c r="F2316" s="20">
        <f t="shared" si="36"/>
        <v>46113</v>
      </c>
    </row>
    <row r="2317" spans="1:6" ht="20.25">
      <c r="A2317" s="49"/>
      <c r="B2317" s="47" t="s">
        <v>1549</v>
      </c>
      <c r="C2317" s="47">
        <v>474</v>
      </c>
      <c r="D2317" s="47" t="s">
        <v>95</v>
      </c>
      <c r="E2317" s="12">
        <v>46134</v>
      </c>
      <c r="F2317" s="20">
        <f t="shared" si="36"/>
        <v>46113</v>
      </c>
    </row>
    <row r="2318" spans="1:6" ht="20.25">
      <c r="A2318" s="49"/>
      <c r="B2318" s="47" t="s">
        <v>932</v>
      </c>
      <c r="C2318" s="47">
        <v>59</v>
      </c>
      <c r="D2318" s="47" t="s">
        <v>95</v>
      </c>
      <c r="E2318" s="12">
        <v>46134</v>
      </c>
      <c r="F2318" s="20">
        <f t="shared" si="36"/>
        <v>46113</v>
      </c>
    </row>
    <row r="2319" spans="1:6" ht="20.25">
      <c r="A2319" s="49"/>
      <c r="B2319" s="47" t="s">
        <v>946</v>
      </c>
      <c r="C2319" s="47">
        <v>64</v>
      </c>
      <c r="D2319" s="47" t="s">
        <v>95</v>
      </c>
      <c r="E2319" s="12">
        <v>46134</v>
      </c>
      <c r="F2319" s="20">
        <f t="shared" si="36"/>
        <v>46113</v>
      </c>
    </row>
    <row r="2320" spans="1:6" ht="20.25">
      <c r="A2320" s="49"/>
      <c r="B2320" s="47" t="s">
        <v>813</v>
      </c>
      <c r="C2320" s="47">
        <v>34</v>
      </c>
      <c r="D2320" s="47" t="s">
        <v>95</v>
      </c>
      <c r="E2320" s="12">
        <v>46134</v>
      </c>
      <c r="F2320" s="20">
        <f t="shared" si="36"/>
        <v>46113</v>
      </c>
    </row>
    <row r="2321" spans="1:6" ht="20.25">
      <c r="A2321" s="49"/>
      <c r="B2321" s="47" t="s">
        <v>1041</v>
      </c>
      <c r="C2321" s="47">
        <v>24</v>
      </c>
      <c r="D2321" s="47" t="s">
        <v>95</v>
      </c>
      <c r="E2321" s="12">
        <v>46134</v>
      </c>
      <c r="F2321" s="20">
        <f t="shared" si="36"/>
        <v>46113</v>
      </c>
    </row>
    <row r="2322" spans="1:6" ht="20.25">
      <c r="A2322" s="49"/>
      <c r="B2322" s="47" t="s">
        <v>857</v>
      </c>
      <c r="C2322" s="47">
        <v>38</v>
      </c>
      <c r="D2322" s="47" t="s">
        <v>95</v>
      </c>
      <c r="E2322" s="12">
        <v>46134</v>
      </c>
      <c r="F2322" s="20">
        <f t="shared" si="36"/>
        <v>46113</v>
      </c>
    </row>
    <row r="2323" spans="1:6" ht="20.25">
      <c r="A2323" s="49"/>
      <c r="B2323" s="47" t="s">
        <v>1358</v>
      </c>
      <c r="C2323" s="47">
        <v>7</v>
      </c>
      <c r="D2323" s="47" t="s">
        <v>95</v>
      </c>
      <c r="E2323" s="12">
        <v>46134</v>
      </c>
      <c r="F2323" s="20">
        <f t="shared" si="36"/>
        <v>46113</v>
      </c>
    </row>
    <row r="2324" spans="1:6" ht="20.25">
      <c r="A2324" s="49"/>
      <c r="B2324" s="47" t="s">
        <v>973</v>
      </c>
      <c r="C2324" s="47">
        <v>26</v>
      </c>
      <c r="D2324" s="47" t="s">
        <v>95</v>
      </c>
      <c r="E2324" s="12">
        <v>46134</v>
      </c>
      <c r="F2324" s="20">
        <f t="shared" si="36"/>
        <v>46113</v>
      </c>
    </row>
    <row r="2325" spans="1:6" ht="20.25">
      <c r="A2325" s="49"/>
      <c r="B2325" s="47" t="s">
        <v>1079</v>
      </c>
      <c r="C2325" s="47">
        <v>981</v>
      </c>
      <c r="D2325" s="47" t="s">
        <v>114</v>
      </c>
      <c r="E2325" s="12">
        <v>46134</v>
      </c>
      <c r="F2325" s="20">
        <f t="shared" si="36"/>
        <v>46113</v>
      </c>
    </row>
    <row r="2326" spans="1:6" ht="20.25">
      <c r="A2326" s="49"/>
      <c r="B2326" s="47" t="s">
        <v>1079</v>
      </c>
      <c r="C2326" s="47">
        <v>79</v>
      </c>
      <c r="D2326" s="47" t="s">
        <v>114</v>
      </c>
      <c r="E2326" s="12">
        <v>46134</v>
      </c>
      <c r="F2326" s="20">
        <f t="shared" si="36"/>
        <v>46113</v>
      </c>
    </row>
    <row r="2327" spans="1:6" ht="20.25">
      <c r="A2327" s="49"/>
      <c r="B2327" s="47" t="s">
        <v>924</v>
      </c>
      <c r="C2327" s="47">
        <v>35</v>
      </c>
      <c r="D2327" s="47" t="s">
        <v>114</v>
      </c>
      <c r="E2327" s="12">
        <v>46134</v>
      </c>
      <c r="F2327" s="20">
        <f t="shared" si="36"/>
        <v>46113</v>
      </c>
    </row>
    <row r="2328" spans="1:6" ht="20.25">
      <c r="A2328" s="49"/>
      <c r="B2328" s="47" t="s">
        <v>760</v>
      </c>
      <c r="C2328" s="47">
        <v>108</v>
      </c>
      <c r="D2328" s="47" t="s">
        <v>114</v>
      </c>
      <c r="E2328" s="12">
        <v>46134</v>
      </c>
      <c r="F2328" s="20">
        <f t="shared" si="36"/>
        <v>46113</v>
      </c>
    </row>
    <row r="2329" spans="1:6" ht="20.25">
      <c r="A2329" s="49"/>
      <c r="B2329" s="47" t="s">
        <v>979</v>
      </c>
      <c r="C2329" s="47">
        <v>209</v>
      </c>
      <c r="D2329" s="47" t="s">
        <v>114</v>
      </c>
      <c r="E2329" s="12">
        <v>46134</v>
      </c>
      <c r="F2329" s="20">
        <f t="shared" si="36"/>
        <v>46113</v>
      </c>
    </row>
    <row r="2330" spans="1:6" ht="20.25">
      <c r="A2330" s="49"/>
      <c r="B2330" s="47" t="s">
        <v>1243</v>
      </c>
      <c r="C2330" s="47">
        <v>349</v>
      </c>
      <c r="D2330" s="47" t="s">
        <v>114</v>
      </c>
      <c r="E2330" s="12">
        <v>46134</v>
      </c>
      <c r="F2330" s="20">
        <f t="shared" si="36"/>
        <v>46113</v>
      </c>
    </row>
    <row r="2331" spans="1:6" ht="20.25">
      <c r="A2331" s="49"/>
      <c r="B2331" s="47" t="s">
        <v>1247</v>
      </c>
      <c r="C2331" s="47">
        <v>36</v>
      </c>
      <c r="D2331" s="47" t="s">
        <v>95</v>
      </c>
      <c r="E2331" s="12">
        <v>46134</v>
      </c>
      <c r="F2331" s="20">
        <f t="shared" si="36"/>
        <v>46113</v>
      </c>
    </row>
    <row r="2332" spans="1:6" ht="20.25">
      <c r="A2332" s="49"/>
      <c r="B2332" s="47" t="s">
        <v>709</v>
      </c>
      <c r="C2332" s="47">
        <v>638</v>
      </c>
      <c r="D2332" s="47" t="s">
        <v>66</v>
      </c>
      <c r="E2332" s="12">
        <v>46134</v>
      </c>
      <c r="F2332" s="20">
        <f t="shared" si="36"/>
        <v>46113</v>
      </c>
    </row>
    <row r="2333" spans="1:6" ht="20.25">
      <c r="A2333" s="49"/>
      <c r="B2333" s="47" t="s">
        <v>655</v>
      </c>
      <c r="C2333" s="47">
        <v>321</v>
      </c>
      <c r="D2333" s="47" t="s">
        <v>66</v>
      </c>
      <c r="E2333" s="12">
        <v>46134</v>
      </c>
      <c r="F2333" s="20">
        <f t="shared" si="36"/>
        <v>46113</v>
      </c>
    </row>
    <row r="2334" spans="1:6" ht="20.25">
      <c r="A2334" s="49"/>
      <c r="B2334" s="47" t="s">
        <v>1549</v>
      </c>
      <c r="C2334" s="47">
        <v>101</v>
      </c>
      <c r="D2334" s="47" t="s">
        <v>66</v>
      </c>
      <c r="E2334" s="12">
        <v>46134</v>
      </c>
      <c r="F2334" s="20">
        <f t="shared" si="36"/>
        <v>46113</v>
      </c>
    </row>
    <row r="2335" spans="1:6" ht="20.25">
      <c r="A2335" s="49"/>
      <c r="B2335" s="47" t="s">
        <v>1099</v>
      </c>
      <c r="C2335" s="47">
        <v>106</v>
      </c>
      <c r="D2335" s="47" t="s">
        <v>66</v>
      </c>
      <c r="E2335" s="12">
        <v>46134</v>
      </c>
      <c r="F2335" s="20">
        <f t="shared" si="36"/>
        <v>46113</v>
      </c>
    </row>
    <row r="2336" spans="1:6" ht="20.25">
      <c r="A2336" s="49"/>
      <c r="B2336" s="47" t="s">
        <v>1424</v>
      </c>
      <c r="C2336" s="47">
        <v>73</v>
      </c>
      <c r="D2336" s="47" t="s">
        <v>66</v>
      </c>
      <c r="E2336" s="12">
        <v>46134</v>
      </c>
      <c r="F2336" s="20">
        <f t="shared" si="36"/>
        <v>46113</v>
      </c>
    </row>
    <row r="2337" spans="1:6" ht="20.25">
      <c r="A2337" s="49"/>
      <c r="B2337" s="47" t="s">
        <v>1424</v>
      </c>
      <c r="C2337" s="47">
        <v>548</v>
      </c>
      <c r="D2337" s="47" t="s">
        <v>66</v>
      </c>
      <c r="E2337" s="12">
        <v>46134</v>
      </c>
      <c r="F2337" s="20">
        <f t="shared" si="36"/>
        <v>46113</v>
      </c>
    </row>
    <row r="2338" spans="1:6" ht="20.25">
      <c r="A2338" s="49"/>
      <c r="B2338" s="47" t="s">
        <v>1424</v>
      </c>
      <c r="C2338" s="47">
        <v>197</v>
      </c>
      <c r="D2338" s="47" t="s">
        <v>66</v>
      </c>
      <c r="E2338" s="12">
        <v>46134</v>
      </c>
      <c r="F2338" s="20">
        <f t="shared" si="36"/>
        <v>46113</v>
      </c>
    </row>
    <row r="2339" spans="1:6" ht="20.25">
      <c r="A2339" s="49"/>
      <c r="B2339" s="47" t="s">
        <v>1283</v>
      </c>
      <c r="C2339" s="47">
        <v>29</v>
      </c>
      <c r="D2339" s="47" t="s">
        <v>66</v>
      </c>
      <c r="E2339" s="12">
        <v>46134</v>
      </c>
      <c r="F2339" s="20">
        <f t="shared" si="36"/>
        <v>46113</v>
      </c>
    </row>
    <row r="2340" spans="1:6" ht="20.25">
      <c r="A2340" s="49"/>
      <c r="B2340" s="47" t="s">
        <v>1162</v>
      </c>
      <c r="C2340" s="47">
        <v>50</v>
      </c>
      <c r="D2340" s="47" t="s">
        <v>66</v>
      </c>
      <c r="E2340" s="12">
        <v>46134</v>
      </c>
      <c r="F2340" s="20">
        <f t="shared" si="36"/>
        <v>46113</v>
      </c>
    </row>
    <row r="2341" spans="1:6" ht="20.25">
      <c r="A2341" s="49"/>
      <c r="B2341" s="47" t="s">
        <v>1599</v>
      </c>
      <c r="C2341" s="47">
        <v>306</v>
      </c>
      <c r="D2341" s="47" t="s">
        <v>66</v>
      </c>
      <c r="E2341" s="12">
        <v>46134</v>
      </c>
      <c r="F2341" s="20">
        <f t="shared" si="36"/>
        <v>46113</v>
      </c>
    </row>
    <row r="2342" spans="1:6" ht="20.25">
      <c r="A2342" s="49"/>
      <c r="B2342" s="47" t="s">
        <v>935</v>
      </c>
      <c r="C2342" s="47">
        <v>286</v>
      </c>
      <c r="D2342" s="47" t="s">
        <v>66</v>
      </c>
      <c r="E2342" s="12">
        <v>46134</v>
      </c>
      <c r="F2342" s="20">
        <f t="shared" si="36"/>
        <v>46113</v>
      </c>
    </row>
    <row r="2343" spans="1:6" ht="20.25">
      <c r="A2343" s="49"/>
      <c r="B2343" s="47" t="s">
        <v>1032</v>
      </c>
      <c r="C2343" s="47">
        <v>89</v>
      </c>
      <c r="D2343" s="47" t="s">
        <v>95</v>
      </c>
      <c r="E2343" s="12">
        <v>46134</v>
      </c>
      <c r="F2343" s="20">
        <f t="shared" si="36"/>
        <v>46113</v>
      </c>
    </row>
    <row r="2344" spans="1:6" ht="20.25">
      <c r="A2344" s="49"/>
      <c r="B2344" s="47" t="s">
        <v>920</v>
      </c>
      <c r="C2344" s="47">
        <v>34</v>
      </c>
      <c r="D2344" s="47" t="s">
        <v>72</v>
      </c>
      <c r="E2344" s="12">
        <v>46134</v>
      </c>
      <c r="F2344" s="20">
        <f t="shared" si="36"/>
        <v>46113</v>
      </c>
    </row>
    <row r="2345" spans="1:6" ht="20.25">
      <c r="A2345" s="49"/>
      <c r="B2345" s="47" t="s">
        <v>829</v>
      </c>
      <c r="C2345" s="47">
        <v>145</v>
      </c>
      <c r="D2345" s="47" t="s">
        <v>72</v>
      </c>
      <c r="E2345" s="12">
        <v>46134</v>
      </c>
      <c r="F2345" s="20">
        <f t="shared" si="36"/>
        <v>46113</v>
      </c>
    </row>
    <row r="2346" spans="1:6" ht="20.25">
      <c r="A2346" s="49"/>
      <c r="B2346" s="47" t="s">
        <v>1128</v>
      </c>
      <c r="C2346" s="47">
        <v>3</v>
      </c>
      <c r="D2346" s="47" t="s">
        <v>72</v>
      </c>
      <c r="E2346" s="12">
        <v>46134</v>
      </c>
      <c r="F2346" s="20">
        <f t="shared" si="36"/>
        <v>46113</v>
      </c>
    </row>
    <row r="2347" spans="1:6" ht="20.25">
      <c r="A2347" s="49"/>
      <c r="B2347" s="47" t="s">
        <v>765</v>
      </c>
      <c r="C2347" s="47">
        <v>20</v>
      </c>
      <c r="D2347" s="47" t="s">
        <v>55</v>
      </c>
      <c r="E2347" s="12">
        <v>46134</v>
      </c>
      <c r="F2347" s="20">
        <f t="shared" si="36"/>
        <v>46113</v>
      </c>
    </row>
    <row r="2348" spans="1:6" ht="20.25">
      <c r="A2348" s="49"/>
      <c r="B2348" s="47" t="s">
        <v>1371</v>
      </c>
      <c r="C2348" s="47">
        <v>63</v>
      </c>
      <c r="D2348" s="47" t="s">
        <v>55</v>
      </c>
      <c r="E2348" s="12">
        <v>46134</v>
      </c>
      <c r="F2348" s="20">
        <f t="shared" si="36"/>
        <v>46113</v>
      </c>
    </row>
    <row r="2349" spans="1:6" ht="20.25">
      <c r="A2349" s="49"/>
      <c r="B2349" s="47" t="s">
        <v>1549</v>
      </c>
      <c r="C2349" s="47">
        <v>979</v>
      </c>
      <c r="D2349" s="47" t="s">
        <v>55</v>
      </c>
      <c r="E2349" s="12">
        <v>46134</v>
      </c>
      <c r="F2349" s="20">
        <f t="shared" si="36"/>
        <v>46113</v>
      </c>
    </row>
    <row r="2350" spans="1:6" ht="20.25">
      <c r="A2350" s="49"/>
      <c r="B2350" s="47" t="s">
        <v>812</v>
      </c>
      <c r="C2350" s="47">
        <v>90</v>
      </c>
      <c r="D2350" s="47" t="s">
        <v>55</v>
      </c>
      <c r="E2350" s="12">
        <v>46134</v>
      </c>
      <c r="F2350" s="20">
        <f t="shared" si="36"/>
        <v>46113</v>
      </c>
    </row>
    <row r="2351" spans="1:6" ht="20.25">
      <c r="A2351" s="49"/>
      <c r="B2351" s="47" t="s">
        <v>676</v>
      </c>
      <c r="C2351" s="47">
        <v>532</v>
      </c>
      <c r="D2351" s="47" t="s">
        <v>55</v>
      </c>
      <c r="E2351" s="12">
        <v>46134</v>
      </c>
      <c r="F2351" s="20">
        <f t="shared" si="36"/>
        <v>46113</v>
      </c>
    </row>
    <row r="2352" spans="1:6" ht="20.25">
      <c r="A2352" s="49"/>
      <c r="B2352" s="47" t="s">
        <v>675</v>
      </c>
      <c r="C2352" s="47">
        <v>137</v>
      </c>
      <c r="D2352" s="47" t="s">
        <v>55</v>
      </c>
      <c r="E2352" s="12">
        <v>46134</v>
      </c>
      <c r="F2352" s="20">
        <f t="shared" si="36"/>
        <v>46113</v>
      </c>
    </row>
    <row r="2353" spans="1:6" ht="20.25">
      <c r="A2353" s="49"/>
      <c r="B2353" s="47" t="s">
        <v>971</v>
      </c>
      <c r="C2353" s="47">
        <v>596</v>
      </c>
      <c r="D2353" s="47" t="s">
        <v>55</v>
      </c>
      <c r="E2353" s="12">
        <v>46134</v>
      </c>
      <c r="F2353" s="20">
        <f t="shared" si="36"/>
        <v>46113</v>
      </c>
    </row>
    <row r="2354" spans="1:6" ht="20.25">
      <c r="A2354" s="49"/>
      <c r="B2354" s="47" t="s">
        <v>646</v>
      </c>
      <c r="C2354" s="47">
        <v>133</v>
      </c>
      <c r="D2354" s="47" t="s">
        <v>55</v>
      </c>
      <c r="E2354" s="12">
        <v>46134</v>
      </c>
      <c r="F2354" s="20">
        <f t="shared" si="36"/>
        <v>46113</v>
      </c>
    </row>
    <row r="2355" spans="1:6" ht="20.25">
      <c r="A2355" s="49"/>
      <c r="B2355" s="47" t="s">
        <v>1113</v>
      </c>
      <c r="C2355" s="47">
        <v>155</v>
      </c>
      <c r="D2355" s="47" t="s">
        <v>63</v>
      </c>
      <c r="E2355" s="12">
        <v>46134</v>
      </c>
      <c r="F2355" s="20">
        <f t="shared" si="36"/>
        <v>46113</v>
      </c>
    </row>
    <row r="2356" spans="1:6" ht="20.25">
      <c r="A2356" s="49"/>
      <c r="B2356" s="47" t="s">
        <v>1070</v>
      </c>
      <c r="C2356" s="47">
        <v>26</v>
      </c>
      <c r="D2356" s="47" t="s">
        <v>63</v>
      </c>
      <c r="E2356" s="12">
        <v>46134</v>
      </c>
      <c r="F2356" s="20">
        <f t="shared" si="36"/>
        <v>46113</v>
      </c>
    </row>
    <row r="2357" spans="1:6" ht="20.25">
      <c r="A2357" s="49"/>
      <c r="B2357" s="47" t="s">
        <v>926</v>
      </c>
      <c r="C2357" s="47">
        <v>188</v>
      </c>
      <c r="D2357" s="47" t="s">
        <v>63</v>
      </c>
      <c r="E2357" s="12">
        <v>46134</v>
      </c>
      <c r="F2357" s="20">
        <f t="shared" si="36"/>
        <v>46113</v>
      </c>
    </row>
    <row r="2358" spans="1:6" ht="20.25">
      <c r="A2358" s="49"/>
      <c r="B2358" s="47" t="s">
        <v>1141</v>
      </c>
      <c r="C2358" s="47">
        <v>465</v>
      </c>
      <c r="D2358" s="47" t="s">
        <v>63</v>
      </c>
      <c r="E2358" s="12">
        <v>46134</v>
      </c>
      <c r="F2358" s="20">
        <f t="shared" si="36"/>
        <v>46113</v>
      </c>
    </row>
    <row r="2359" spans="1:6" ht="20.25">
      <c r="A2359" s="49"/>
      <c r="B2359" s="47" t="s">
        <v>845</v>
      </c>
      <c r="C2359" s="47">
        <v>248</v>
      </c>
      <c r="D2359" s="47" t="s">
        <v>63</v>
      </c>
      <c r="E2359" s="12">
        <v>46134</v>
      </c>
      <c r="F2359" s="20">
        <f t="shared" si="36"/>
        <v>46113</v>
      </c>
    </row>
    <row r="2360" spans="1:6" ht="20.25">
      <c r="A2360" s="49"/>
      <c r="B2360" s="47" t="s">
        <v>611</v>
      </c>
      <c r="C2360" s="47">
        <v>619</v>
      </c>
      <c r="D2360" s="47" t="s">
        <v>63</v>
      </c>
      <c r="E2360" s="12">
        <v>46134</v>
      </c>
      <c r="F2360" s="20">
        <f t="shared" si="36"/>
        <v>46113</v>
      </c>
    </row>
    <row r="2361" spans="1:6" ht="20.25">
      <c r="A2361" s="49"/>
      <c r="B2361" s="47" t="s">
        <v>1603</v>
      </c>
      <c r="C2361" s="47">
        <v>332</v>
      </c>
      <c r="D2361" s="47" t="s">
        <v>133</v>
      </c>
      <c r="E2361" s="12">
        <v>46134</v>
      </c>
      <c r="F2361" s="20">
        <f t="shared" si="36"/>
        <v>46113</v>
      </c>
    </row>
    <row r="2362" spans="1:6" ht="20.25">
      <c r="A2362" s="49"/>
      <c r="B2362" s="47" t="s">
        <v>1602</v>
      </c>
      <c r="C2362" s="47">
        <v>29</v>
      </c>
      <c r="D2362" s="47" t="s">
        <v>133</v>
      </c>
      <c r="E2362" s="12">
        <v>46134</v>
      </c>
      <c r="F2362" s="20">
        <f t="shared" si="36"/>
        <v>46113</v>
      </c>
    </row>
    <row r="2363" spans="1:6" ht="20.25">
      <c r="A2363" s="49"/>
      <c r="B2363" s="47" t="s">
        <v>1549</v>
      </c>
      <c r="C2363" s="47">
        <v>96</v>
      </c>
      <c r="D2363" s="47" t="s">
        <v>1484</v>
      </c>
      <c r="E2363" s="12">
        <v>46134</v>
      </c>
      <c r="F2363" s="20">
        <f t="shared" si="36"/>
        <v>46113</v>
      </c>
    </row>
    <row r="2364" spans="1:6" ht="20.25">
      <c r="A2364" s="49"/>
      <c r="B2364" s="47" t="s">
        <v>734</v>
      </c>
      <c r="C2364" s="47">
        <v>252</v>
      </c>
      <c r="D2364" s="47" t="s">
        <v>1484</v>
      </c>
      <c r="E2364" s="12">
        <v>46134</v>
      </c>
      <c r="F2364" s="20">
        <f t="shared" si="36"/>
        <v>46113</v>
      </c>
    </row>
    <row r="2365" spans="1:6" ht="20.25">
      <c r="A2365" s="49"/>
      <c r="B2365" s="47" t="s">
        <v>734</v>
      </c>
      <c r="C2365" s="47">
        <v>249</v>
      </c>
      <c r="D2365" s="47" t="s">
        <v>95</v>
      </c>
      <c r="E2365" s="12">
        <v>46134</v>
      </c>
      <c r="F2365" s="20">
        <f t="shared" si="36"/>
        <v>46113</v>
      </c>
    </row>
    <row r="2366" spans="1:6" ht="20.25">
      <c r="A2366" s="49"/>
      <c r="B2366" s="47" t="s">
        <v>734</v>
      </c>
      <c r="C2366" s="47">
        <v>441</v>
      </c>
      <c r="D2366" s="47" t="s">
        <v>95</v>
      </c>
      <c r="E2366" s="12">
        <v>46134</v>
      </c>
      <c r="F2366" s="20">
        <f t="shared" si="36"/>
        <v>46113</v>
      </c>
    </row>
    <row r="2367" spans="1:6" ht="20.25">
      <c r="A2367" s="49"/>
      <c r="B2367" s="47" t="s">
        <v>734</v>
      </c>
      <c r="C2367" s="47">
        <v>805</v>
      </c>
      <c r="D2367" s="47" t="s">
        <v>95</v>
      </c>
      <c r="E2367" s="12">
        <v>46134</v>
      </c>
      <c r="F2367" s="20">
        <f t="shared" si="36"/>
        <v>46113</v>
      </c>
    </row>
    <row r="2368" spans="1:6" ht="20.25">
      <c r="A2368" s="49"/>
      <c r="B2368" s="47" t="s">
        <v>655</v>
      </c>
      <c r="C2368" s="47">
        <v>960</v>
      </c>
      <c r="D2368" s="47" t="s">
        <v>46</v>
      </c>
      <c r="E2368" s="12">
        <v>46134</v>
      </c>
      <c r="F2368" s="20">
        <f t="shared" si="36"/>
        <v>46113</v>
      </c>
    </row>
    <row r="2369" spans="1:6" ht="20.25">
      <c r="A2369" s="49"/>
      <c r="B2369" s="47" t="s">
        <v>655</v>
      </c>
      <c r="C2369" s="47">
        <v>158</v>
      </c>
      <c r="D2369" s="47" t="s">
        <v>46</v>
      </c>
      <c r="E2369" s="12">
        <v>46134</v>
      </c>
      <c r="F2369" s="20">
        <f t="shared" si="36"/>
        <v>46113</v>
      </c>
    </row>
    <row r="2370" spans="1:6" ht="20.25">
      <c r="A2370" s="49"/>
      <c r="B2370" s="47" t="s">
        <v>918</v>
      </c>
      <c r="C2370" s="47">
        <v>184</v>
      </c>
      <c r="D2370" s="47" t="s">
        <v>72</v>
      </c>
      <c r="E2370" s="12">
        <v>46134</v>
      </c>
      <c r="F2370" s="20">
        <f t="shared" ref="F2370:F2433" si="37">EOMONTH(E2370,-1)+1</f>
        <v>46113</v>
      </c>
    </row>
    <row r="2371" spans="1:6" ht="20.25">
      <c r="A2371" s="49"/>
      <c r="B2371" s="47" t="s">
        <v>1241</v>
      </c>
      <c r="C2371" s="47">
        <v>36</v>
      </c>
      <c r="D2371" s="47" t="s">
        <v>160</v>
      </c>
      <c r="E2371" s="12">
        <v>46134</v>
      </c>
      <c r="F2371" s="20">
        <f t="shared" si="37"/>
        <v>46113</v>
      </c>
    </row>
    <row r="2372" spans="1:6" ht="20.25">
      <c r="A2372" s="49"/>
      <c r="B2372" s="47" t="s">
        <v>633</v>
      </c>
      <c r="C2372" s="47">
        <v>922</v>
      </c>
      <c r="D2372" s="47" t="s">
        <v>82</v>
      </c>
      <c r="E2372" s="12">
        <v>46134</v>
      </c>
      <c r="F2372" s="20">
        <f t="shared" si="37"/>
        <v>46113</v>
      </c>
    </row>
    <row r="2373" spans="1:6" ht="20.25">
      <c r="A2373" s="49"/>
      <c r="B2373" s="47" t="s">
        <v>1339</v>
      </c>
      <c r="C2373" s="47">
        <v>33</v>
      </c>
      <c r="D2373" s="47" t="s">
        <v>82</v>
      </c>
      <c r="E2373" s="12">
        <v>46134</v>
      </c>
      <c r="F2373" s="20">
        <f t="shared" si="37"/>
        <v>46113</v>
      </c>
    </row>
    <row r="2374" spans="1:6" ht="20.25">
      <c r="A2374" s="49"/>
      <c r="B2374" s="47" t="s">
        <v>1074</v>
      </c>
      <c r="C2374" s="47">
        <v>38</v>
      </c>
      <c r="D2374" s="47" t="s">
        <v>82</v>
      </c>
      <c r="E2374" s="12">
        <v>46134</v>
      </c>
      <c r="F2374" s="20">
        <f t="shared" si="37"/>
        <v>46113</v>
      </c>
    </row>
    <row r="2375" spans="1:6" ht="20.25">
      <c r="A2375" s="49"/>
      <c r="B2375" s="47" t="s">
        <v>977</v>
      </c>
      <c r="C2375" s="47">
        <v>103</v>
      </c>
      <c r="D2375" s="47" t="s">
        <v>82</v>
      </c>
      <c r="E2375" s="12">
        <v>46134</v>
      </c>
      <c r="F2375" s="20">
        <f t="shared" si="37"/>
        <v>46113</v>
      </c>
    </row>
    <row r="2376" spans="1:6" ht="20.25">
      <c r="A2376" s="49"/>
      <c r="B2376" s="47" t="s">
        <v>644</v>
      </c>
      <c r="C2376" s="47">
        <v>28</v>
      </c>
      <c r="D2376" s="47" t="s">
        <v>82</v>
      </c>
      <c r="E2376" s="12">
        <v>46134</v>
      </c>
      <c r="F2376" s="20">
        <f t="shared" si="37"/>
        <v>46113</v>
      </c>
    </row>
    <row r="2377" spans="1:6" ht="20.25">
      <c r="A2377" s="49"/>
      <c r="B2377" s="47" t="s">
        <v>888</v>
      </c>
      <c r="C2377" s="47">
        <v>29</v>
      </c>
      <c r="D2377" s="47" t="s">
        <v>82</v>
      </c>
      <c r="E2377" s="12">
        <v>46134</v>
      </c>
      <c r="F2377" s="20">
        <f t="shared" si="37"/>
        <v>46113</v>
      </c>
    </row>
    <row r="2378" spans="1:6" ht="20.25">
      <c r="A2378" s="49"/>
      <c r="B2378" s="47" t="s">
        <v>942</v>
      </c>
      <c r="C2378" s="47">
        <v>37</v>
      </c>
      <c r="D2378" s="47" t="s">
        <v>82</v>
      </c>
      <c r="E2378" s="12">
        <v>46134</v>
      </c>
      <c r="F2378" s="20">
        <f t="shared" si="37"/>
        <v>46113</v>
      </c>
    </row>
    <row r="2379" spans="1:6" ht="20.25">
      <c r="A2379" s="49"/>
      <c r="B2379" s="47" t="s">
        <v>787</v>
      </c>
      <c r="C2379" s="47">
        <v>32</v>
      </c>
      <c r="D2379" s="47" t="s">
        <v>82</v>
      </c>
      <c r="E2379" s="12">
        <v>46134</v>
      </c>
      <c r="F2379" s="20">
        <f t="shared" si="37"/>
        <v>46113</v>
      </c>
    </row>
    <row r="2380" spans="1:6" ht="20.25">
      <c r="A2380" s="49"/>
      <c r="B2380" s="47" t="s">
        <v>885</v>
      </c>
      <c r="C2380" s="47">
        <v>143</v>
      </c>
      <c r="D2380" s="47" t="s">
        <v>82</v>
      </c>
      <c r="E2380" s="12">
        <v>46134</v>
      </c>
      <c r="F2380" s="20">
        <f t="shared" si="37"/>
        <v>46113</v>
      </c>
    </row>
    <row r="2381" spans="1:6" ht="20.25">
      <c r="A2381" s="49"/>
      <c r="B2381" s="47" t="s">
        <v>972</v>
      </c>
      <c r="C2381" s="47">
        <v>38</v>
      </c>
      <c r="D2381" s="47" t="s">
        <v>82</v>
      </c>
      <c r="E2381" s="12">
        <v>46134</v>
      </c>
      <c r="F2381" s="20">
        <f t="shared" si="37"/>
        <v>46113</v>
      </c>
    </row>
    <row r="2382" spans="1:6" ht="20.25">
      <c r="A2382" s="49"/>
      <c r="B2382" s="47" t="s">
        <v>749</v>
      </c>
      <c r="C2382" s="47">
        <v>138</v>
      </c>
      <c r="D2382" s="47" t="s">
        <v>82</v>
      </c>
      <c r="E2382" s="12">
        <v>46134</v>
      </c>
      <c r="F2382" s="20">
        <f t="shared" si="37"/>
        <v>46113</v>
      </c>
    </row>
    <row r="2383" spans="1:6" ht="20.25">
      <c r="A2383" s="49"/>
      <c r="B2383" s="47" t="s">
        <v>749</v>
      </c>
      <c r="C2383" s="47">
        <v>157</v>
      </c>
      <c r="D2383" s="47" t="s">
        <v>82</v>
      </c>
      <c r="E2383" s="12">
        <v>46134</v>
      </c>
      <c r="F2383" s="20">
        <f t="shared" si="37"/>
        <v>46113</v>
      </c>
    </row>
    <row r="2384" spans="1:6" ht="20.25">
      <c r="A2384" s="49"/>
      <c r="B2384" s="47" t="s">
        <v>697</v>
      </c>
      <c r="C2384" s="47">
        <v>139</v>
      </c>
      <c r="D2384" s="47" t="s">
        <v>82</v>
      </c>
      <c r="E2384" s="12">
        <v>46134</v>
      </c>
      <c r="F2384" s="20">
        <f t="shared" si="37"/>
        <v>46113</v>
      </c>
    </row>
    <row r="2385" spans="1:6" ht="20.25">
      <c r="A2385" s="49"/>
      <c r="B2385" s="47" t="s">
        <v>1329</v>
      </c>
      <c r="C2385" s="47">
        <v>108</v>
      </c>
      <c r="D2385" s="47" t="s">
        <v>82</v>
      </c>
      <c r="E2385" s="12">
        <v>46134</v>
      </c>
      <c r="F2385" s="20">
        <f t="shared" si="37"/>
        <v>46113</v>
      </c>
    </row>
    <row r="2386" spans="1:6" ht="20.25">
      <c r="A2386" s="49"/>
      <c r="B2386" s="47" t="s">
        <v>635</v>
      </c>
      <c r="C2386" s="47">
        <v>1</v>
      </c>
      <c r="D2386" s="47" t="s">
        <v>82</v>
      </c>
      <c r="E2386" s="12">
        <v>46134</v>
      </c>
      <c r="F2386" s="20">
        <f t="shared" si="37"/>
        <v>46113</v>
      </c>
    </row>
    <row r="2387" spans="1:6" ht="20.25">
      <c r="A2387" s="49"/>
      <c r="B2387" s="47" t="s">
        <v>634</v>
      </c>
      <c r="C2387" s="47">
        <v>168</v>
      </c>
      <c r="D2387" s="47" t="s">
        <v>82</v>
      </c>
      <c r="E2387" s="12">
        <v>46134</v>
      </c>
      <c r="F2387" s="20">
        <f t="shared" si="37"/>
        <v>46113</v>
      </c>
    </row>
    <row r="2388" spans="1:6" ht="20.25">
      <c r="A2388" s="49"/>
      <c r="B2388" s="47" t="s">
        <v>634</v>
      </c>
      <c r="C2388" s="47">
        <v>14</v>
      </c>
      <c r="D2388" s="47" t="s">
        <v>82</v>
      </c>
      <c r="E2388" s="12">
        <v>46134</v>
      </c>
      <c r="F2388" s="20">
        <f t="shared" si="37"/>
        <v>46113</v>
      </c>
    </row>
    <row r="2389" spans="1:6" ht="20.25">
      <c r="A2389" s="49"/>
      <c r="B2389" s="47" t="s">
        <v>1492</v>
      </c>
      <c r="C2389" s="47">
        <v>278</v>
      </c>
      <c r="D2389" s="47" t="s">
        <v>82</v>
      </c>
      <c r="E2389" s="12">
        <v>46134</v>
      </c>
      <c r="F2389" s="20">
        <f t="shared" si="37"/>
        <v>46113</v>
      </c>
    </row>
    <row r="2390" spans="1:6" ht="20.25">
      <c r="A2390" s="49"/>
      <c r="B2390" s="47" t="s">
        <v>1265</v>
      </c>
      <c r="C2390" s="47">
        <v>131</v>
      </c>
      <c r="D2390" s="47" t="s">
        <v>82</v>
      </c>
      <c r="E2390" s="12">
        <v>46134</v>
      </c>
      <c r="F2390" s="20">
        <f t="shared" si="37"/>
        <v>46113</v>
      </c>
    </row>
    <row r="2391" spans="1:6" ht="20.25">
      <c r="A2391" s="49"/>
      <c r="B2391" s="47" t="s">
        <v>1265</v>
      </c>
      <c r="C2391" s="47">
        <v>120</v>
      </c>
      <c r="D2391" s="47" t="s">
        <v>82</v>
      </c>
      <c r="E2391" s="12">
        <v>46134</v>
      </c>
      <c r="F2391" s="20">
        <f t="shared" si="37"/>
        <v>46113</v>
      </c>
    </row>
    <row r="2392" spans="1:6" ht="20.25">
      <c r="A2392" s="49"/>
      <c r="B2392" s="47" t="s">
        <v>971</v>
      </c>
      <c r="C2392" s="47">
        <v>160</v>
      </c>
      <c r="D2392" s="47" t="s">
        <v>62</v>
      </c>
      <c r="E2392" s="12">
        <v>46134</v>
      </c>
      <c r="F2392" s="20">
        <f t="shared" si="37"/>
        <v>46113</v>
      </c>
    </row>
    <row r="2393" spans="1:6" ht="20.25">
      <c r="A2393" s="49"/>
      <c r="B2393" s="47" t="s">
        <v>848</v>
      </c>
      <c r="C2393" s="47">
        <v>198</v>
      </c>
      <c r="D2393" s="47" t="s">
        <v>114</v>
      </c>
      <c r="E2393" s="12">
        <v>46134</v>
      </c>
      <c r="F2393" s="20">
        <f t="shared" si="37"/>
        <v>46113</v>
      </c>
    </row>
    <row r="2394" spans="1:6" ht="20.25">
      <c r="A2394" s="49"/>
      <c r="B2394" s="47" t="s">
        <v>976</v>
      </c>
      <c r="C2394" s="47">
        <v>403</v>
      </c>
      <c r="D2394" s="47" t="s">
        <v>97</v>
      </c>
      <c r="E2394" s="12">
        <v>46134</v>
      </c>
      <c r="F2394" s="20">
        <f t="shared" si="37"/>
        <v>46113</v>
      </c>
    </row>
    <row r="2395" spans="1:6" ht="20.25">
      <c r="A2395" s="49"/>
      <c r="B2395" s="47" t="s">
        <v>976</v>
      </c>
      <c r="C2395" s="47">
        <v>6</v>
      </c>
      <c r="D2395" s="47" t="s">
        <v>97</v>
      </c>
      <c r="E2395" s="12">
        <v>46134</v>
      </c>
      <c r="F2395" s="20">
        <f t="shared" si="37"/>
        <v>46113</v>
      </c>
    </row>
    <row r="2396" spans="1:6" ht="20.25">
      <c r="A2396" s="49"/>
      <c r="B2396" s="47" t="s">
        <v>1006</v>
      </c>
      <c r="C2396" s="47">
        <v>51</v>
      </c>
      <c r="D2396" s="47" t="s">
        <v>97</v>
      </c>
      <c r="E2396" s="12">
        <v>46134</v>
      </c>
      <c r="F2396" s="20">
        <f t="shared" si="37"/>
        <v>46113</v>
      </c>
    </row>
    <row r="2397" spans="1:6" ht="20.25">
      <c r="A2397" s="49"/>
      <c r="B2397" s="47" t="s">
        <v>1376</v>
      </c>
      <c r="C2397" s="47">
        <v>426</v>
      </c>
      <c r="D2397" s="47" t="s">
        <v>97</v>
      </c>
      <c r="E2397" s="12">
        <v>46134</v>
      </c>
      <c r="F2397" s="20">
        <f t="shared" si="37"/>
        <v>46113</v>
      </c>
    </row>
    <row r="2398" spans="1:6" ht="20.25">
      <c r="A2398" s="49"/>
      <c r="B2398" s="47" t="s">
        <v>731</v>
      </c>
      <c r="C2398" s="47">
        <v>0</v>
      </c>
      <c r="D2398" s="47" t="s">
        <v>97</v>
      </c>
      <c r="E2398" s="12">
        <v>46134</v>
      </c>
      <c r="F2398" s="20">
        <f t="shared" si="37"/>
        <v>46113</v>
      </c>
    </row>
    <row r="2399" spans="1:6" ht="20.25">
      <c r="A2399" s="49"/>
      <c r="B2399" s="47" t="s">
        <v>1520</v>
      </c>
      <c r="C2399" s="47">
        <v>27</v>
      </c>
      <c r="D2399" s="47" t="s">
        <v>97</v>
      </c>
      <c r="E2399" s="12">
        <v>46134</v>
      </c>
      <c r="F2399" s="20">
        <f t="shared" si="37"/>
        <v>46113</v>
      </c>
    </row>
    <row r="2400" spans="1:6" ht="20.25">
      <c r="A2400" s="49"/>
      <c r="B2400" s="47" t="s">
        <v>733</v>
      </c>
      <c r="C2400" s="47">
        <v>393</v>
      </c>
      <c r="D2400" s="47" t="s">
        <v>97</v>
      </c>
      <c r="E2400" s="12">
        <v>46134</v>
      </c>
      <c r="F2400" s="20">
        <f t="shared" si="37"/>
        <v>46113</v>
      </c>
    </row>
    <row r="2401" spans="1:6" ht="20.25">
      <c r="A2401" s="49"/>
      <c r="B2401" s="47" t="s">
        <v>1432</v>
      </c>
      <c r="C2401" s="47">
        <v>27</v>
      </c>
      <c r="D2401" s="47" t="s">
        <v>97</v>
      </c>
      <c r="E2401" s="12">
        <v>46134</v>
      </c>
      <c r="F2401" s="20">
        <f t="shared" si="37"/>
        <v>46113</v>
      </c>
    </row>
    <row r="2402" spans="1:6" ht="20.25">
      <c r="A2402" s="49"/>
      <c r="B2402" s="47" t="s">
        <v>1023</v>
      </c>
      <c r="C2402" s="47">
        <v>8</v>
      </c>
      <c r="D2402" s="47" t="s">
        <v>97</v>
      </c>
      <c r="E2402" s="12">
        <v>46134</v>
      </c>
      <c r="F2402" s="20">
        <f t="shared" si="37"/>
        <v>46113</v>
      </c>
    </row>
    <row r="2403" spans="1:6" ht="20.25">
      <c r="A2403" s="49"/>
      <c r="B2403" s="47" t="s">
        <v>1065</v>
      </c>
      <c r="C2403" s="47">
        <v>3</v>
      </c>
      <c r="D2403" s="47" t="s">
        <v>97</v>
      </c>
      <c r="E2403" s="12">
        <v>46134</v>
      </c>
      <c r="F2403" s="20">
        <f t="shared" si="37"/>
        <v>46113</v>
      </c>
    </row>
    <row r="2404" spans="1:6" ht="20.25">
      <c r="A2404" s="49"/>
      <c r="B2404" s="47" t="s">
        <v>1088</v>
      </c>
      <c r="C2404" s="47">
        <v>1</v>
      </c>
      <c r="D2404" s="47" t="s">
        <v>97</v>
      </c>
      <c r="E2404" s="12">
        <v>46134</v>
      </c>
      <c r="F2404" s="20">
        <f t="shared" si="37"/>
        <v>46113</v>
      </c>
    </row>
    <row r="2405" spans="1:6" ht="20.25">
      <c r="A2405" s="49"/>
      <c r="B2405" s="47" t="s">
        <v>846</v>
      </c>
      <c r="C2405" s="47">
        <v>2</v>
      </c>
      <c r="D2405" s="47" t="s">
        <v>97</v>
      </c>
      <c r="E2405" s="12">
        <v>46134</v>
      </c>
      <c r="F2405" s="20">
        <f t="shared" si="37"/>
        <v>46113</v>
      </c>
    </row>
    <row r="2406" spans="1:6" ht="20.25">
      <c r="A2406" s="49"/>
      <c r="B2406" s="47" t="s">
        <v>1348</v>
      </c>
      <c r="C2406" s="47">
        <v>8</v>
      </c>
      <c r="D2406" s="47" t="s">
        <v>97</v>
      </c>
      <c r="E2406" s="12">
        <v>46134</v>
      </c>
      <c r="F2406" s="20">
        <f t="shared" si="37"/>
        <v>46113</v>
      </c>
    </row>
    <row r="2407" spans="1:6" ht="20.25">
      <c r="A2407" s="49"/>
      <c r="B2407" s="47" t="s">
        <v>1044</v>
      </c>
      <c r="C2407" s="47">
        <v>336</v>
      </c>
      <c r="D2407" s="47" t="s">
        <v>72</v>
      </c>
      <c r="E2407" s="12">
        <v>46134</v>
      </c>
      <c r="F2407" s="20">
        <f t="shared" si="37"/>
        <v>46113</v>
      </c>
    </row>
    <row r="2408" spans="1:6" ht="20.25">
      <c r="A2408" s="49"/>
      <c r="B2408" s="47" t="s">
        <v>871</v>
      </c>
      <c r="C2408" s="47">
        <v>-54</v>
      </c>
      <c r="D2408" s="47" t="s">
        <v>46</v>
      </c>
      <c r="E2408" s="12">
        <v>46134</v>
      </c>
      <c r="F2408" s="20">
        <f t="shared" si="37"/>
        <v>46113</v>
      </c>
    </row>
    <row r="2409" spans="1:6" ht="20.25">
      <c r="A2409" s="49"/>
      <c r="B2409" s="47" t="s">
        <v>1353</v>
      </c>
      <c r="C2409" s="47">
        <v>52</v>
      </c>
      <c r="D2409" s="47" t="s">
        <v>55</v>
      </c>
      <c r="E2409" s="12">
        <v>46134</v>
      </c>
      <c r="F2409" s="20">
        <f t="shared" si="37"/>
        <v>46113</v>
      </c>
    </row>
    <row r="2410" spans="1:6" ht="20.25">
      <c r="A2410" s="49"/>
      <c r="B2410" s="47" t="s">
        <v>1353</v>
      </c>
      <c r="C2410" s="47">
        <v>55</v>
      </c>
      <c r="D2410" s="47" t="s">
        <v>55</v>
      </c>
      <c r="E2410" s="12">
        <v>46134</v>
      </c>
      <c r="F2410" s="20">
        <f t="shared" si="37"/>
        <v>46113</v>
      </c>
    </row>
    <row r="2411" spans="1:6" ht="20.25">
      <c r="A2411" s="49"/>
      <c r="B2411" s="47" t="s">
        <v>1353</v>
      </c>
      <c r="C2411" s="47">
        <v>36</v>
      </c>
      <c r="D2411" s="47" t="s">
        <v>55</v>
      </c>
      <c r="E2411" s="12">
        <v>46134</v>
      </c>
      <c r="F2411" s="20">
        <f t="shared" si="37"/>
        <v>46113</v>
      </c>
    </row>
    <row r="2412" spans="1:6" ht="20.25">
      <c r="A2412" s="49"/>
      <c r="B2412" s="47" t="s">
        <v>1353</v>
      </c>
      <c r="C2412" s="47">
        <v>43</v>
      </c>
      <c r="D2412" s="47" t="s">
        <v>55</v>
      </c>
      <c r="E2412" s="12">
        <v>46134</v>
      </c>
      <c r="F2412" s="20">
        <f t="shared" si="37"/>
        <v>46113</v>
      </c>
    </row>
    <row r="2413" spans="1:6" ht="20.25">
      <c r="A2413" s="49"/>
      <c r="B2413" s="47" t="s">
        <v>1353</v>
      </c>
      <c r="C2413" s="47">
        <v>199</v>
      </c>
      <c r="D2413" s="47" t="s">
        <v>55</v>
      </c>
      <c r="E2413" s="12">
        <v>46134</v>
      </c>
      <c r="F2413" s="20">
        <f t="shared" si="37"/>
        <v>46113</v>
      </c>
    </row>
    <row r="2414" spans="1:6" ht="20.25">
      <c r="A2414" s="49"/>
      <c r="B2414" s="47" t="s">
        <v>985</v>
      </c>
      <c r="C2414" s="47">
        <v>502</v>
      </c>
      <c r="D2414" s="47" t="s">
        <v>55</v>
      </c>
      <c r="E2414" s="12">
        <v>46134</v>
      </c>
      <c r="F2414" s="20">
        <f t="shared" si="37"/>
        <v>46113</v>
      </c>
    </row>
    <row r="2415" spans="1:6" ht="20.25">
      <c r="A2415" s="49"/>
      <c r="B2415" s="47" t="s">
        <v>1500</v>
      </c>
      <c r="C2415" s="47">
        <v>-3</v>
      </c>
      <c r="D2415" s="47" t="s">
        <v>160</v>
      </c>
      <c r="E2415" s="12">
        <v>46134</v>
      </c>
      <c r="F2415" s="20">
        <f t="shared" si="37"/>
        <v>46113</v>
      </c>
    </row>
    <row r="2416" spans="1:6" ht="20.25">
      <c r="A2416" s="49"/>
      <c r="B2416" s="47" t="s">
        <v>1236</v>
      </c>
      <c r="C2416" s="47">
        <v>-23</v>
      </c>
      <c r="D2416" s="47" t="s">
        <v>63</v>
      </c>
      <c r="E2416" s="12">
        <v>46134</v>
      </c>
      <c r="F2416" s="20">
        <f t="shared" si="37"/>
        <v>46113</v>
      </c>
    </row>
    <row r="2417" spans="1:6" ht="20.25">
      <c r="A2417" s="49"/>
      <c r="B2417" s="47" t="s">
        <v>1053</v>
      </c>
      <c r="C2417" s="47">
        <v>127</v>
      </c>
      <c r="D2417" s="47" t="s">
        <v>62</v>
      </c>
      <c r="E2417" s="12">
        <v>46136</v>
      </c>
      <c r="F2417" s="20">
        <f t="shared" si="37"/>
        <v>46113</v>
      </c>
    </row>
    <row r="2418" spans="1:6" ht="20.25">
      <c r="A2418" s="49"/>
      <c r="B2418" s="47" t="s">
        <v>741</v>
      </c>
      <c r="C2418" s="47">
        <v>79</v>
      </c>
      <c r="D2418" s="47" t="s">
        <v>62</v>
      </c>
      <c r="E2418" s="12">
        <v>46136</v>
      </c>
      <c r="F2418" s="20">
        <f t="shared" si="37"/>
        <v>46113</v>
      </c>
    </row>
    <row r="2419" spans="1:6" ht="20.25">
      <c r="A2419" s="49"/>
      <c r="B2419" s="47" t="s">
        <v>853</v>
      </c>
      <c r="C2419" s="47">
        <v>72</v>
      </c>
      <c r="D2419" s="47" t="s">
        <v>62</v>
      </c>
      <c r="E2419" s="12">
        <v>46136</v>
      </c>
      <c r="F2419" s="20">
        <f t="shared" si="37"/>
        <v>46113</v>
      </c>
    </row>
    <row r="2420" spans="1:6" ht="20.25">
      <c r="A2420" s="49"/>
      <c r="B2420" s="47" t="s">
        <v>1083</v>
      </c>
      <c r="C2420" s="47">
        <v>122</v>
      </c>
      <c r="D2420" s="47" t="s">
        <v>62</v>
      </c>
      <c r="E2420" s="12">
        <v>46136</v>
      </c>
      <c r="F2420" s="20">
        <f t="shared" si="37"/>
        <v>46113</v>
      </c>
    </row>
    <row r="2421" spans="1:6" ht="20.25">
      <c r="A2421" s="49"/>
      <c r="B2421" s="47" t="s">
        <v>1271</v>
      </c>
      <c r="C2421" s="47">
        <v>169</v>
      </c>
      <c r="D2421" s="47" t="s">
        <v>62</v>
      </c>
      <c r="E2421" s="12">
        <v>46136</v>
      </c>
      <c r="F2421" s="20">
        <f t="shared" si="37"/>
        <v>46113</v>
      </c>
    </row>
    <row r="2422" spans="1:6" ht="20.25">
      <c r="A2422" s="49"/>
      <c r="B2422" s="47" t="s">
        <v>1119</v>
      </c>
      <c r="C2422" s="47">
        <v>36</v>
      </c>
      <c r="D2422" s="47" t="s">
        <v>62</v>
      </c>
      <c r="E2422" s="12">
        <v>46136</v>
      </c>
      <c r="F2422" s="20">
        <f t="shared" si="37"/>
        <v>46113</v>
      </c>
    </row>
    <row r="2423" spans="1:6" ht="20.25">
      <c r="A2423" s="49"/>
      <c r="B2423" s="47" t="s">
        <v>656</v>
      </c>
      <c r="C2423" s="47">
        <v>41</v>
      </c>
      <c r="D2423" s="47" t="s">
        <v>62</v>
      </c>
      <c r="E2423" s="12">
        <v>46136</v>
      </c>
      <c r="F2423" s="20">
        <f t="shared" si="37"/>
        <v>46113</v>
      </c>
    </row>
    <row r="2424" spans="1:6" ht="20.25">
      <c r="A2424" s="49"/>
      <c r="B2424" s="47" t="s">
        <v>1025</v>
      </c>
      <c r="C2424" s="47">
        <v>192</v>
      </c>
      <c r="D2424" s="47" t="s">
        <v>62</v>
      </c>
      <c r="E2424" s="12">
        <v>46136</v>
      </c>
      <c r="F2424" s="20">
        <f t="shared" si="37"/>
        <v>46113</v>
      </c>
    </row>
    <row r="2425" spans="1:6" ht="20.25">
      <c r="A2425" s="49"/>
      <c r="B2425" s="47" t="s">
        <v>743</v>
      </c>
      <c r="C2425" s="47">
        <v>74</v>
      </c>
      <c r="D2425" s="47" t="s">
        <v>62</v>
      </c>
      <c r="E2425" s="12">
        <v>46136</v>
      </c>
      <c r="F2425" s="20">
        <f t="shared" si="37"/>
        <v>46113</v>
      </c>
    </row>
    <row r="2426" spans="1:6" ht="20.25">
      <c r="A2426" s="49"/>
      <c r="B2426" s="47" t="s">
        <v>1429</v>
      </c>
      <c r="C2426" s="47">
        <v>68</v>
      </c>
      <c r="D2426" s="47" t="s">
        <v>62</v>
      </c>
      <c r="E2426" s="12">
        <v>46136</v>
      </c>
      <c r="F2426" s="20">
        <f t="shared" si="37"/>
        <v>46113</v>
      </c>
    </row>
    <row r="2427" spans="1:6" ht="20.25">
      <c r="A2427" s="49"/>
      <c r="B2427" s="47" t="s">
        <v>938</v>
      </c>
      <c r="C2427" s="47">
        <v>1</v>
      </c>
      <c r="D2427" s="47" t="s">
        <v>62</v>
      </c>
      <c r="E2427" s="12">
        <v>46136</v>
      </c>
      <c r="F2427" s="20">
        <f t="shared" si="37"/>
        <v>46113</v>
      </c>
    </row>
    <row r="2428" spans="1:6" ht="20.25">
      <c r="A2428" s="49"/>
      <c r="B2428" s="47" t="s">
        <v>1490</v>
      </c>
      <c r="C2428" s="47">
        <v>34</v>
      </c>
      <c r="D2428" s="47" t="s">
        <v>72</v>
      </c>
      <c r="E2428" s="12">
        <v>46136</v>
      </c>
      <c r="F2428" s="20">
        <f t="shared" si="37"/>
        <v>46113</v>
      </c>
    </row>
    <row r="2429" spans="1:6" ht="20.25">
      <c r="A2429" s="49"/>
      <c r="B2429" s="47" t="s">
        <v>841</v>
      </c>
      <c r="C2429" s="47">
        <v>415</v>
      </c>
      <c r="D2429" s="47" t="s">
        <v>72</v>
      </c>
      <c r="E2429" s="12">
        <v>46136</v>
      </c>
      <c r="F2429" s="20">
        <f t="shared" si="37"/>
        <v>46113</v>
      </c>
    </row>
    <row r="2430" spans="1:6" ht="20.25">
      <c r="A2430" s="49"/>
      <c r="B2430" s="47" t="s">
        <v>727</v>
      </c>
      <c r="C2430" s="47">
        <v>48</v>
      </c>
      <c r="D2430" s="47" t="s">
        <v>72</v>
      </c>
      <c r="E2430" s="12">
        <v>46136</v>
      </c>
      <c r="F2430" s="20">
        <f t="shared" si="37"/>
        <v>46113</v>
      </c>
    </row>
    <row r="2431" spans="1:6" ht="20.25">
      <c r="A2431" s="49"/>
      <c r="B2431" s="47" t="s">
        <v>1424</v>
      </c>
      <c r="C2431" s="47">
        <v>189</v>
      </c>
      <c r="D2431" s="47" t="s">
        <v>72</v>
      </c>
      <c r="E2431" s="12">
        <v>46136</v>
      </c>
      <c r="F2431" s="20">
        <f t="shared" si="37"/>
        <v>46113</v>
      </c>
    </row>
    <row r="2432" spans="1:6" ht="20.25">
      <c r="A2432" s="49"/>
      <c r="B2432" s="47" t="s">
        <v>838</v>
      </c>
      <c r="C2432" s="47">
        <v>138</v>
      </c>
      <c r="D2432" s="47" t="s">
        <v>72</v>
      </c>
      <c r="E2432" s="12">
        <v>46136</v>
      </c>
      <c r="F2432" s="20">
        <f t="shared" si="37"/>
        <v>46113</v>
      </c>
    </row>
    <row r="2433" spans="1:6" ht="20.25">
      <c r="A2433" s="49"/>
      <c r="B2433" s="47" t="s">
        <v>978</v>
      </c>
      <c r="C2433" s="47">
        <v>100</v>
      </c>
      <c r="D2433" s="47" t="s">
        <v>72</v>
      </c>
      <c r="E2433" s="12">
        <v>46136</v>
      </c>
      <c r="F2433" s="20">
        <f t="shared" si="37"/>
        <v>46113</v>
      </c>
    </row>
    <row r="2434" spans="1:6" ht="20.25">
      <c r="A2434" s="49"/>
      <c r="B2434" s="47" t="s">
        <v>873</v>
      </c>
      <c r="C2434" s="47">
        <v>216</v>
      </c>
      <c r="D2434" s="47" t="s">
        <v>72</v>
      </c>
      <c r="E2434" s="12">
        <v>46136</v>
      </c>
      <c r="F2434" s="20">
        <f t="shared" ref="F2434:F2497" si="38">EOMONTH(E2434,-1)+1</f>
        <v>46113</v>
      </c>
    </row>
    <row r="2435" spans="1:6" ht="20.25">
      <c r="A2435" s="49"/>
      <c r="B2435" s="47" t="s">
        <v>655</v>
      </c>
      <c r="C2435" s="47">
        <v>225</v>
      </c>
      <c r="D2435" s="47" t="s">
        <v>72</v>
      </c>
      <c r="E2435" s="12">
        <v>46136</v>
      </c>
      <c r="F2435" s="20">
        <f t="shared" si="38"/>
        <v>46113</v>
      </c>
    </row>
    <row r="2436" spans="1:6" ht="20.25">
      <c r="A2436" s="49"/>
      <c r="B2436" s="47" t="s">
        <v>829</v>
      </c>
      <c r="C2436" s="47">
        <v>440</v>
      </c>
      <c r="D2436" s="47" t="s">
        <v>72</v>
      </c>
      <c r="E2436" s="12">
        <v>46136</v>
      </c>
      <c r="F2436" s="20">
        <f t="shared" si="38"/>
        <v>46113</v>
      </c>
    </row>
    <row r="2437" spans="1:6" ht="20.25">
      <c r="A2437" s="49"/>
      <c r="B2437" s="47" t="s">
        <v>1235</v>
      </c>
      <c r="C2437" s="47">
        <v>168</v>
      </c>
      <c r="D2437" s="47" t="s">
        <v>62</v>
      </c>
      <c r="E2437" s="12">
        <v>46136</v>
      </c>
      <c r="F2437" s="20">
        <f t="shared" si="38"/>
        <v>46113</v>
      </c>
    </row>
    <row r="2438" spans="1:6" ht="20.25">
      <c r="A2438" s="49"/>
      <c r="B2438" s="47" t="s">
        <v>1338</v>
      </c>
      <c r="C2438" s="47">
        <v>42</v>
      </c>
      <c r="D2438" s="47" t="s">
        <v>62</v>
      </c>
      <c r="E2438" s="12">
        <v>46136</v>
      </c>
      <c r="F2438" s="20">
        <f t="shared" si="38"/>
        <v>46113</v>
      </c>
    </row>
    <row r="2439" spans="1:6" ht="20.25">
      <c r="A2439" s="49"/>
      <c r="B2439" s="47" t="s">
        <v>1338</v>
      </c>
      <c r="C2439" s="47">
        <v>65</v>
      </c>
      <c r="D2439" s="47" t="s">
        <v>62</v>
      </c>
      <c r="E2439" s="12">
        <v>46136</v>
      </c>
      <c r="F2439" s="20">
        <f t="shared" si="38"/>
        <v>46113</v>
      </c>
    </row>
    <row r="2440" spans="1:6" ht="20.25">
      <c r="A2440" s="49"/>
      <c r="B2440" s="47" t="s">
        <v>1338</v>
      </c>
      <c r="C2440" s="47">
        <v>65</v>
      </c>
      <c r="D2440" s="47" t="s">
        <v>62</v>
      </c>
      <c r="E2440" s="12">
        <v>46136</v>
      </c>
      <c r="F2440" s="20">
        <f t="shared" si="38"/>
        <v>46113</v>
      </c>
    </row>
    <row r="2441" spans="1:6" ht="20.25">
      <c r="A2441" s="49"/>
      <c r="B2441" s="47" t="s">
        <v>1595</v>
      </c>
      <c r="C2441" s="47">
        <v>237</v>
      </c>
      <c r="D2441" s="47" t="s">
        <v>95</v>
      </c>
      <c r="E2441" s="12">
        <v>46136</v>
      </c>
      <c r="F2441" s="20">
        <f t="shared" si="38"/>
        <v>46113</v>
      </c>
    </row>
    <row r="2442" spans="1:6" ht="20.25">
      <c r="A2442" s="49"/>
      <c r="B2442" s="47" t="s">
        <v>1239</v>
      </c>
      <c r="C2442" s="47">
        <v>64</v>
      </c>
      <c r="D2442" s="47" t="s">
        <v>95</v>
      </c>
      <c r="E2442" s="12">
        <v>46136</v>
      </c>
      <c r="F2442" s="20">
        <f t="shared" si="38"/>
        <v>46113</v>
      </c>
    </row>
    <row r="2443" spans="1:6" ht="20.25">
      <c r="A2443" s="49"/>
      <c r="B2443" s="47" t="s">
        <v>1035</v>
      </c>
      <c r="C2443" s="47">
        <v>145</v>
      </c>
      <c r="D2443" s="47" t="s">
        <v>95</v>
      </c>
      <c r="E2443" s="12">
        <v>46136</v>
      </c>
      <c r="F2443" s="20">
        <f t="shared" si="38"/>
        <v>46113</v>
      </c>
    </row>
    <row r="2444" spans="1:6" ht="20.25">
      <c r="A2444" s="49"/>
      <c r="B2444" s="47" t="s">
        <v>1592</v>
      </c>
      <c r="C2444" s="47">
        <v>592</v>
      </c>
      <c r="D2444" s="47" t="s">
        <v>95</v>
      </c>
      <c r="E2444" s="12">
        <v>46136</v>
      </c>
      <c r="F2444" s="20">
        <f t="shared" si="38"/>
        <v>46113</v>
      </c>
    </row>
    <row r="2445" spans="1:6" ht="20.25">
      <c r="A2445" s="49"/>
      <c r="B2445" s="47" t="s">
        <v>1590</v>
      </c>
      <c r="C2445" s="47">
        <v>40</v>
      </c>
      <c r="D2445" s="47" t="s">
        <v>95</v>
      </c>
      <c r="E2445" s="12">
        <v>46136</v>
      </c>
      <c r="F2445" s="20">
        <f t="shared" si="38"/>
        <v>46113</v>
      </c>
    </row>
    <row r="2446" spans="1:6" ht="20.25">
      <c r="A2446" s="49"/>
      <c r="B2446" s="47" t="s">
        <v>1611</v>
      </c>
      <c r="C2446" s="47">
        <v>28</v>
      </c>
      <c r="D2446" s="47" t="s">
        <v>114</v>
      </c>
      <c r="E2446" s="12">
        <v>46136</v>
      </c>
      <c r="F2446" s="20">
        <f t="shared" si="38"/>
        <v>46113</v>
      </c>
    </row>
    <row r="2447" spans="1:6" ht="20.25">
      <c r="A2447" s="49"/>
      <c r="B2447" s="47" t="s">
        <v>760</v>
      </c>
      <c r="C2447" s="47">
        <v>45</v>
      </c>
      <c r="D2447" s="47" t="s">
        <v>114</v>
      </c>
      <c r="E2447" s="12">
        <v>46136</v>
      </c>
      <c r="F2447" s="20">
        <f t="shared" si="38"/>
        <v>46113</v>
      </c>
    </row>
    <row r="2448" spans="1:6" ht="20.25">
      <c r="A2448" s="49"/>
      <c r="B2448" s="47" t="s">
        <v>1472</v>
      </c>
      <c r="C2448" s="47">
        <v>45</v>
      </c>
      <c r="D2448" s="47" t="s">
        <v>114</v>
      </c>
      <c r="E2448" s="12">
        <v>46136</v>
      </c>
      <c r="F2448" s="20">
        <f t="shared" si="38"/>
        <v>46113</v>
      </c>
    </row>
    <row r="2449" spans="1:6" ht="20.25">
      <c r="A2449" s="49"/>
      <c r="B2449" s="47" t="s">
        <v>1064</v>
      </c>
      <c r="C2449" s="47">
        <v>33</v>
      </c>
      <c r="D2449" s="47" t="s">
        <v>114</v>
      </c>
      <c r="E2449" s="12">
        <v>46136</v>
      </c>
      <c r="F2449" s="20">
        <f t="shared" si="38"/>
        <v>46113</v>
      </c>
    </row>
    <row r="2450" spans="1:6" ht="20.25">
      <c r="A2450" s="49"/>
      <c r="B2450" s="47" t="s">
        <v>726</v>
      </c>
      <c r="C2450" s="47">
        <v>749</v>
      </c>
      <c r="D2450" s="47" t="s">
        <v>114</v>
      </c>
      <c r="E2450" s="12">
        <v>46136</v>
      </c>
      <c r="F2450" s="20">
        <f t="shared" si="38"/>
        <v>46113</v>
      </c>
    </row>
    <row r="2451" spans="1:6" ht="20.25">
      <c r="A2451" s="49"/>
      <c r="B2451" s="47" t="s">
        <v>848</v>
      </c>
      <c r="C2451" s="47">
        <v>32</v>
      </c>
      <c r="D2451" s="47" t="s">
        <v>114</v>
      </c>
      <c r="E2451" s="12">
        <v>46136</v>
      </c>
      <c r="F2451" s="20">
        <f t="shared" si="38"/>
        <v>46113</v>
      </c>
    </row>
    <row r="2452" spans="1:6" ht="20.25">
      <c r="A2452" s="49"/>
      <c r="B2452" s="47" t="s">
        <v>1243</v>
      </c>
      <c r="C2452" s="47">
        <v>50</v>
      </c>
      <c r="D2452" s="47" t="s">
        <v>114</v>
      </c>
      <c r="E2452" s="12">
        <v>46136</v>
      </c>
      <c r="F2452" s="20">
        <f t="shared" si="38"/>
        <v>46113</v>
      </c>
    </row>
    <row r="2453" spans="1:6" ht="20.25">
      <c r="A2453" s="49"/>
      <c r="B2453" s="47" t="s">
        <v>1029</v>
      </c>
      <c r="C2453" s="47">
        <v>105</v>
      </c>
      <c r="D2453" s="47" t="s">
        <v>114</v>
      </c>
      <c r="E2453" s="12">
        <v>46136</v>
      </c>
      <c r="F2453" s="20">
        <f t="shared" si="38"/>
        <v>46113</v>
      </c>
    </row>
    <row r="2454" spans="1:6" ht="20.25">
      <c r="A2454" s="49"/>
      <c r="B2454" s="47" t="s">
        <v>1138</v>
      </c>
      <c r="C2454" s="47">
        <v>38</v>
      </c>
      <c r="D2454" s="47" t="s">
        <v>114</v>
      </c>
      <c r="E2454" s="12">
        <v>46136</v>
      </c>
      <c r="F2454" s="20">
        <f t="shared" si="38"/>
        <v>46113</v>
      </c>
    </row>
    <row r="2455" spans="1:6" ht="20.25">
      <c r="A2455" s="49"/>
      <c r="B2455" s="47" t="s">
        <v>1138</v>
      </c>
      <c r="C2455" s="47">
        <v>91</v>
      </c>
      <c r="D2455" s="47" t="s">
        <v>114</v>
      </c>
      <c r="E2455" s="12">
        <v>46136</v>
      </c>
      <c r="F2455" s="20">
        <f t="shared" si="38"/>
        <v>46113</v>
      </c>
    </row>
    <row r="2456" spans="1:6" ht="20.25">
      <c r="A2456" s="49"/>
      <c r="B2456" s="47" t="s">
        <v>1125</v>
      </c>
      <c r="C2456" s="47">
        <v>383</v>
      </c>
      <c r="D2456" s="47" t="s">
        <v>114</v>
      </c>
      <c r="E2456" s="12">
        <v>46136</v>
      </c>
      <c r="F2456" s="20">
        <f t="shared" si="38"/>
        <v>46113</v>
      </c>
    </row>
    <row r="2457" spans="1:6" ht="20.25">
      <c r="A2457" s="49"/>
      <c r="B2457" s="47" t="s">
        <v>700</v>
      </c>
      <c r="C2457" s="47">
        <v>33</v>
      </c>
      <c r="D2457" s="47" t="s">
        <v>114</v>
      </c>
      <c r="E2457" s="12">
        <v>46136</v>
      </c>
      <c r="F2457" s="20">
        <f t="shared" si="38"/>
        <v>46113</v>
      </c>
    </row>
    <row r="2458" spans="1:6" ht="20.25">
      <c r="A2458" s="49"/>
      <c r="B2458" s="47" t="s">
        <v>700</v>
      </c>
      <c r="C2458" s="47">
        <v>242</v>
      </c>
      <c r="D2458" s="47" t="s">
        <v>114</v>
      </c>
      <c r="E2458" s="12">
        <v>46136</v>
      </c>
      <c r="F2458" s="20">
        <f t="shared" si="38"/>
        <v>46113</v>
      </c>
    </row>
    <row r="2459" spans="1:6" ht="20.25">
      <c r="A2459" s="49"/>
      <c r="B2459" s="47" t="s">
        <v>1247</v>
      </c>
      <c r="C2459" s="47">
        <v>37</v>
      </c>
      <c r="D2459" s="47" t="s">
        <v>95</v>
      </c>
      <c r="E2459" s="12">
        <v>46136</v>
      </c>
      <c r="F2459" s="20">
        <f t="shared" si="38"/>
        <v>46113</v>
      </c>
    </row>
    <row r="2460" spans="1:6" ht="20.25">
      <c r="A2460" s="49"/>
      <c r="B2460" s="47" t="s">
        <v>1247</v>
      </c>
      <c r="C2460" s="47">
        <v>210</v>
      </c>
      <c r="D2460" s="47" t="s">
        <v>95</v>
      </c>
      <c r="E2460" s="12">
        <v>46136</v>
      </c>
      <c r="F2460" s="20">
        <f t="shared" si="38"/>
        <v>46113</v>
      </c>
    </row>
    <row r="2461" spans="1:6" ht="20.25">
      <c r="A2461" s="49"/>
      <c r="B2461" s="47" t="s">
        <v>1319</v>
      </c>
      <c r="C2461" s="47">
        <v>248</v>
      </c>
      <c r="D2461" s="47" t="s">
        <v>46</v>
      </c>
      <c r="E2461" s="12">
        <v>46136</v>
      </c>
      <c r="F2461" s="20">
        <f t="shared" si="38"/>
        <v>46113</v>
      </c>
    </row>
    <row r="2462" spans="1:6" ht="20.25">
      <c r="A2462" s="49"/>
      <c r="B2462" s="47" t="s">
        <v>1480</v>
      </c>
      <c r="C2462" s="47">
        <v>183</v>
      </c>
      <c r="D2462" s="47" t="s">
        <v>46</v>
      </c>
      <c r="E2462" s="12">
        <v>46136</v>
      </c>
      <c r="F2462" s="20">
        <f t="shared" si="38"/>
        <v>46113</v>
      </c>
    </row>
    <row r="2463" spans="1:6" ht="20.25">
      <c r="A2463" s="49"/>
      <c r="B2463" s="47" t="s">
        <v>709</v>
      </c>
      <c r="C2463" s="47">
        <v>50</v>
      </c>
      <c r="D2463" s="47" t="s">
        <v>72</v>
      </c>
      <c r="E2463" s="12">
        <v>46136</v>
      </c>
      <c r="F2463" s="20">
        <f t="shared" si="38"/>
        <v>46113</v>
      </c>
    </row>
    <row r="2464" spans="1:6" ht="20.25">
      <c r="A2464" s="49"/>
      <c r="B2464" s="47" t="s">
        <v>1549</v>
      </c>
      <c r="C2464" s="47">
        <v>166</v>
      </c>
      <c r="D2464" s="47" t="s">
        <v>1484</v>
      </c>
      <c r="E2464" s="12">
        <v>46136</v>
      </c>
      <c r="F2464" s="20">
        <f t="shared" si="38"/>
        <v>46113</v>
      </c>
    </row>
    <row r="2465" spans="1:6" ht="20.25">
      <c r="A2465" s="49"/>
      <c r="B2465" s="47" t="s">
        <v>1549</v>
      </c>
      <c r="C2465" s="47">
        <v>152</v>
      </c>
      <c r="D2465" s="47" t="s">
        <v>1484</v>
      </c>
      <c r="E2465" s="12">
        <v>46136</v>
      </c>
      <c r="F2465" s="20">
        <f t="shared" si="38"/>
        <v>46113</v>
      </c>
    </row>
    <row r="2466" spans="1:6" ht="20.25">
      <c r="A2466" s="49"/>
      <c r="B2466" s="47" t="s">
        <v>1549</v>
      </c>
      <c r="C2466" s="47">
        <v>482</v>
      </c>
      <c r="D2466" s="47" t="s">
        <v>1484</v>
      </c>
      <c r="E2466" s="12">
        <v>46136</v>
      </c>
      <c r="F2466" s="20">
        <f t="shared" si="38"/>
        <v>46113</v>
      </c>
    </row>
    <row r="2467" spans="1:6" ht="20.25">
      <c r="A2467" s="49"/>
      <c r="B2467" s="47" t="s">
        <v>734</v>
      </c>
      <c r="C2467" s="47">
        <v>7</v>
      </c>
      <c r="D2467" s="47" t="s">
        <v>95</v>
      </c>
      <c r="E2467" s="12">
        <v>46136</v>
      </c>
      <c r="F2467" s="20">
        <f t="shared" si="38"/>
        <v>46113</v>
      </c>
    </row>
    <row r="2468" spans="1:6" ht="20.25">
      <c r="A2468" s="49"/>
      <c r="B2468" s="47" t="s">
        <v>1373</v>
      </c>
      <c r="C2468" s="47">
        <v>24</v>
      </c>
      <c r="D2468" s="47" t="s">
        <v>55</v>
      </c>
      <c r="E2468" s="12">
        <v>46136</v>
      </c>
      <c r="F2468" s="20">
        <f t="shared" si="38"/>
        <v>46113</v>
      </c>
    </row>
    <row r="2469" spans="1:6" ht="20.25">
      <c r="A2469" s="49"/>
      <c r="B2469" s="47" t="s">
        <v>1165</v>
      </c>
      <c r="C2469" s="47">
        <v>90</v>
      </c>
      <c r="D2469" s="47" t="s">
        <v>95</v>
      </c>
      <c r="E2469" s="12">
        <v>46136</v>
      </c>
      <c r="F2469" s="20">
        <f t="shared" si="38"/>
        <v>46113</v>
      </c>
    </row>
    <row r="2470" spans="1:6" ht="20.25">
      <c r="A2470" s="49"/>
      <c r="B2470" s="47" t="s">
        <v>1045</v>
      </c>
      <c r="C2470" s="47">
        <v>99</v>
      </c>
      <c r="D2470" s="47" t="s">
        <v>160</v>
      </c>
      <c r="E2470" s="12">
        <v>46136</v>
      </c>
      <c r="F2470" s="20">
        <f t="shared" si="38"/>
        <v>46113</v>
      </c>
    </row>
    <row r="2471" spans="1:6" ht="20.25">
      <c r="A2471" s="49"/>
      <c r="B2471" s="47" t="s">
        <v>1524</v>
      </c>
      <c r="C2471" s="47">
        <v>247</v>
      </c>
      <c r="D2471" s="47" t="s">
        <v>160</v>
      </c>
      <c r="E2471" s="12">
        <v>46136</v>
      </c>
      <c r="F2471" s="20">
        <f t="shared" si="38"/>
        <v>46113</v>
      </c>
    </row>
    <row r="2472" spans="1:6" ht="20.25">
      <c r="A2472" s="49"/>
      <c r="B2472" s="47" t="s">
        <v>968</v>
      </c>
      <c r="C2472" s="47">
        <v>172</v>
      </c>
      <c r="D2472" s="47" t="s">
        <v>160</v>
      </c>
      <c r="E2472" s="12">
        <v>46136</v>
      </c>
      <c r="F2472" s="20">
        <f t="shared" si="38"/>
        <v>46113</v>
      </c>
    </row>
    <row r="2473" spans="1:6" ht="20.25">
      <c r="A2473" s="49"/>
      <c r="B2473" s="47" t="s">
        <v>737</v>
      </c>
      <c r="C2473" s="47">
        <v>33</v>
      </c>
      <c r="D2473" s="47" t="s">
        <v>62</v>
      </c>
      <c r="E2473" s="12">
        <v>46136</v>
      </c>
      <c r="F2473" s="20">
        <f t="shared" si="38"/>
        <v>46113</v>
      </c>
    </row>
    <row r="2474" spans="1:6" ht="20.25">
      <c r="A2474" s="49"/>
      <c r="B2474" s="47" t="s">
        <v>689</v>
      </c>
      <c r="C2474" s="47">
        <v>198</v>
      </c>
      <c r="D2474" s="47" t="s">
        <v>62</v>
      </c>
      <c r="E2474" s="12">
        <v>46136</v>
      </c>
      <c r="F2474" s="20">
        <f t="shared" si="38"/>
        <v>46113</v>
      </c>
    </row>
    <row r="2475" spans="1:6" ht="20.25">
      <c r="A2475" s="49"/>
      <c r="B2475" s="47" t="s">
        <v>687</v>
      </c>
      <c r="C2475" s="47">
        <v>144</v>
      </c>
      <c r="D2475" s="47" t="s">
        <v>62</v>
      </c>
      <c r="E2475" s="12">
        <v>46136</v>
      </c>
      <c r="F2475" s="20">
        <f t="shared" si="38"/>
        <v>46113</v>
      </c>
    </row>
    <row r="2476" spans="1:6" ht="20.25">
      <c r="A2476" s="49"/>
      <c r="B2476" s="47" t="s">
        <v>728</v>
      </c>
      <c r="C2476" s="47">
        <v>177</v>
      </c>
      <c r="D2476" s="47" t="s">
        <v>72</v>
      </c>
      <c r="E2476" s="12">
        <v>46136</v>
      </c>
      <c r="F2476" s="20">
        <f t="shared" si="38"/>
        <v>46113</v>
      </c>
    </row>
    <row r="2477" spans="1:6" ht="20.25">
      <c r="A2477" s="49"/>
      <c r="B2477" s="47" t="s">
        <v>1438</v>
      </c>
      <c r="C2477" s="47">
        <v>135</v>
      </c>
      <c r="D2477" s="47" t="s">
        <v>82</v>
      </c>
      <c r="E2477" s="12">
        <v>46136</v>
      </c>
      <c r="F2477" s="20">
        <f t="shared" si="38"/>
        <v>46113</v>
      </c>
    </row>
    <row r="2478" spans="1:6" ht="20.25">
      <c r="A2478" s="49"/>
      <c r="B2478" s="47" t="s">
        <v>745</v>
      </c>
      <c r="C2478" s="47">
        <v>811</v>
      </c>
      <c r="D2478" s="47" t="s">
        <v>82</v>
      </c>
      <c r="E2478" s="12">
        <v>46136</v>
      </c>
      <c r="F2478" s="20">
        <f t="shared" si="38"/>
        <v>46113</v>
      </c>
    </row>
    <row r="2479" spans="1:6" ht="20.25">
      <c r="A2479" s="49"/>
      <c r="B2479" s="47" t="s">
        <v>1012</v>
      </c>
      <c r="C2479" s="47">
        <v>49</v>
      </c>
      <c r="D2479" s="47" t="s">
        <v>82</v>
      </c>
      <c r="E2479" s="12">
        <v>46136</v>
      </c>
      <c r="F2479" s="20">
        <f t="shared" si="38"/>
        <v>46113</v>
      </c>
    </row>
    <row r="2480" spans="1:6" ht="20.25">
      <c r="A2480" s="49"/>
      <c r="B2480" s="47" t="s">
        <v>787</v>
      </c>
      <c r="C2480" s="47">
        <v>32</v>
      </c>
      <c r="D2480" s="47" t="s">
        <v>82</v>
      </c>
      <c r="E2480" s="12">
        <v>46136</v>
      </c>
      <c r="F2480" s="20">
        <f t="shared" si="38"/>
        <v>46113</v>
      </c>
    </row>
    <row r="2481" spans="1:6" ht="20.25">
      <c r="A2481" s="49"/>
      <c r="B2481" s="47" t="s">
        <v>1519</v>
      </c>
      <c r="C2481" s="47">
        <v>33</v>
      </c>
      <c r="D2481" s="47" t="s">
        <v>82</v>
      </c>
      <c r="E2481" s="12">
        <v>46136</v>
      </c>
      <c r="F2481" s="20">
        <f t="shared" si="38"/>
        <v>46113</v>
      </c>
    </row>
    <row r="2482" spans="1:6" ht="20.25">
      <c r="A2482" s="49"/>
      <c r="B2482" s="47" t="s">
        <v>1275</v>
      </c>
      <c r="C2482" s="47">
        <v>52</v>
      </c>
      <c r="D2482" s="47" t="s">
        <v>82</v>
      </c>
      <c r="E2482" s="12">
        <v>46136</v>
      </c>
      <c r="F2482" s="20">
        <f t="shared" si="38"/>
        <v>46113</v>
      </c>
    </row>
    <row r="2483" spans="1:6" ht="20.25">
      <c r="A2483" s="49"/>
      <c r="B2483" s="47" t="s">
        <v>806</v>
      </c>
      <c r="C2483" s="47">
        <v>44</v>
      </c>
      <c r="D2483" s="47" t="s">
        <v>82</v>
      </c>
      <c r="E2483" s="12">
        <v>46136</v>
      </c>
      <c r="F2483" s="20">
        <f t="shared" si="38"/>
        <v>46113</v>
      </c>
    </row>
    <row r="2484" spans="1:6" ht="20.25">
      <c r="A2484" s="49"/>
      <c r="B2484" s="47" t="s">
        <v>1008</v>
      </c>
      <c r="C2484" s="47">
        <v>50</v>
      </c>
      <c r="D2484" s="47" t="s">
        <v>82</v>
      </c>
      <c r="E2484" s="12">
        <v>46136</v>
      </c>
      <c r="F2484" s="20">
        <f t="shared" si="38"/>
        <v>46113</v>
      </c>
    </row>
    <row r="2485" spans="1:6" ht="20.25">
      <c r="A2485" s="49"/>
      <c r="B2485" s="47" t="s">
        <v>1008</v>
      </c>
      <c r="C2485" s="47">
        <v>119</v>
      </c>
      <c r="D2485" s="47" t="s">
        <v>82</v>
      </c>
      <c r="E2485" s="12">
        <v>46136</v>
      </c>
      <c r="F2485" s="20">
        <f t="shared" si="38"/>
        <v>46113</v>
      </c>
    </row>
    <row r="2486" spans="1:6" ht="20.25">
      <c r="A2486" s="49"/>
      <c r="B2486" s="47" t="s">
        <v>1009</v>
      </c>
      <c r="C2486" s="47">
        <v>87</v>
      </c>
      <c r="D2486" s="47" t="s">
        <v>82</v>
      </c>
      <c r="E2486" s="12">
        <v>46136</v>
      </c>
      <c r="F2486" s="20">
        <f t="shared" si="38"/>
        <v>46113</v>
      </c>
    </row>
    <row r="2487" spans="1:6" ht="20.25">
      <c r="A2487" s="49"/>
      <c r="B2487" s="47" t="s">
        <v>1361</v>
      </c>
      <c r="C2487" s="47">
        <v>359</v>
      </c>
      <c r="D2487" s="47" t="s">
        <v>160</v>
      </c>
      <c r="E2487" s="12">
        <v>46136</v>
      </c>
      <c r="F2487" s="20">
        <f t="shared" si="38"/>
        <v>46113</v>
      </c>
    </row>
    <row r="2488" spans="1:6" ht="20.25">
      <c r="A2488" s="49"/>
      <c r="B2488" s="47" t="s">
        <v>927</v>
      </c>
      <c r="C2488" s="47">
        <v>11</v>
      </c>
      <c r="D2488" s="47" t="s">
        <v>63</v>
      </c>
      <c r="E2488" s="12">
        <v>46136</v>
      </c>
      <c r="F2488" s="20">
        <f t="shared" si="38"/>
        <v>46113</v>
      </c>
    </row>
    <row r="2489" spans="1:6" ht="20.25">
      <c r="A2489" s="49"/>
      <c r="B2489" s="47" t="s">
        <v>927</v>
      </c>
      <c r="C2489" s="47">
        <v>3</v>
      </c>
      <c r="D2489" s="47" t="s">
        <v>63</v>
      </c>
      <c r="E2489" s="12">
        <v>46136</v>
      </c>
      <c r="F2489" s="20">
        <f t="shared" si="38"/>
        <v>46113</v>
      </c>
    </row>
    <row r="2490" spans="1:6" ht="20.25">
      <c r="A2490" s="49"/>
      <c r="B2490" s="47" t="s">
        <v>1157</v>
      </c>
      <c r="C2490" s="47">
        <v>23</v>
      </c>
      <c r="D2490" s="47" t="s">
        <v>63</v>
      </c>
      <c r="E2490" s="12">
        <v>46136</v>
      </c>
      <c r="F2490" s="20">
        <f t="shared" si="38"/>
        <v>46113</v>
      </c>
    </row>
    <row r="2491" spans="1:6" ht="20.25">
      <c r="A2491" s="49"/>
      <c r="B2491" s="47" t="s">
        <v>788</v>
      </c>
      <c r="C2491" s="47">
        <v>49</v>
      </c>
      <c r="D2491" s="47" t="s">
        <v>63</v>
      </c>
      <c r="E2491" s="12">
        <v>46136</v>
      </c>
      <c r="F2491" s="20">
        <f t="shared" si="38"/>
        <v>46113</v>
      </c>
    </row>
    <row r="2492" spans="1:6" ht="20.25">
      <c r="A2492" s="49"/>
      <c r="B2492" s="47" t="s">
        <v>882</v>
      </c>
      <c r="C2492" s="47">
        <v>98</v>
      </c>
      <c r="D2492" s="47" t="s">
        <v>63</v>
      </c>
      <c r="E2492" s="12">
        <v>46136</v>
      </c>
      <c r="F2492" s="20">
        <f t="shared" si="38"/>
        <v>46113</v>
      </c>
    </row>
    <row r="2493" spans="1:6" ht="20.25">
      <c r="A2493" s="49"/>
      <c r="B2493" s="47" t="s">
        <v>825</v>
      </c>
      <c r="C2493" s="47">
        <v>145</v>
      </c>
      <c r="D2493" s="47" t="s">
        <v>63</v>
      </c>
      <c r="E2493" s="12">
        <v>46136</v>
      </c>
      <c r="F2493" s="20">
        <f t="shared" si="38"/>
        <v>46113</v>
      </c>
    </row>
    <row r="2494" spans="1:6" ht="20.25">
      <c r="A2494" s="49"/>
      <c r="B2494" s="47" t="s">
        <v>1463</v>
      </c>
      <c r="C2494" s="47">
        <v>184</v>
      </c>
      <c r="D2494" s="47" t="s">
        <v>63</v>
      </c>
      <c r="E2494" s="12">
        <v>46136</v>
      </c>
      <c r="F2494" s="20">
        <f t="shared" si="38"/>
        <v>46113</v>
      </c>
    </row>
    <row r="2495" spans="1:6" ht="20.25">
      <c r="A2495" s="49"/>
      <c r="B2495" s="47" t="s">
        <v>1092</v>
      </c>
      <c r="C2495" s="47">
        <v>35</v>
      </c>
      <c r="D2495" s="47" t="s">
        <v>63</v>
      </c>
      <c r="E2495" s="12">
        <v>46136</v>
      </c>
      <c r="F2495" s="20">
        <f t="shared" si="38"/>
        <v>46113</v>
      </c>
    </row>
    <row r="2496" spans="1:6" ht="20.25">
      <c r="A2496" s="49"/>
      <c r="B2496" s="47" t="s">
        <v>1610</v>
      </c>
      <c r="C2496" s="47">
        <v>55</v>
      </c>
      <c r="D2496" s="47" t="s">
        <v>63</v>
      </c>
      <c r="E2496" s="12">
        <v>46136</v>
      </c>
      <c r="F2496" s="20">
        <f t="shared" si="38"/>
        <v>46113</v>
      </c>
    </row>
    <row r="2497" spans="1:6" ht="20.25">
      <c r="A2497" s="49"/>
      <c r="B2497" s="47" t="s">
        <v>1370</v>
      </c>
      <c r="C2497" s="47">
        <v>65</v>
      </c>
      <c r="D2497" s="47" t="s">
        <v>63</v>
      </c>
      <c r="E2497" s="12">
        <v>46136</v>
      </c>
      <c r="F2497" s="20">
        <f t="shared" si="38"/>
        <v>46113</v>
      </c>
    </row>
    <row r="2498" spans="1:6" ht="20.25">
      <c r="A2498" s="49"/>
      <c r="B2498" s="47" t="s">
        <v>808</v>
      </c>
      <c r="C2498" s="47">
        <v>38</v>
      </c>
      <c r="D2498" s="47" t="s">
        <v>63</v>
      </c>
      <c r="E2498" s="12">
        <v>46136</v>
      </c>
      <c r="F2498" s="20">
        <f t="shared" ref="F2498:F2561" si="39">EOMONTH(E2498,-1)+1</f>
        <v>46113</v>
      </c>
    </row>
    <row r="2499" spans="1:6" ht="20.25">
      <c r="A2499" s="49"/>
      <c r="B2499" s="47" t="s">
        <v>1232</v>
      </c>
      <c r="C2499" s="47">
        <v>168</v>
      </c>
      <c r="D2499" s="47" t="s">
        <v>55</v>
      </c>
      <c r="E2499" s="12">
        <v>46136</v>
      </c>
      <c r="F2499" s="20">
        <f t="shared" si="39"/>
        <v>46113</v>
      </c>
    </row>
    <row r="2500" spans="1:6" ht="20.25">
      <c r="A2500" s="49"/>
      <c r="B2500" s="47" t="s">
        <v>753</v>
      </c>
      <c r="C2500" s="47">
        <v>50</v>
      </c>
      <c r="D2500" s="47" t="s">
        <v>55</v>
      </c>
      <c r="E2500" s="12">
        <v>46136</v>
      </c>
      <c r="F2500" s="20">
        <f t="shared" si="39"/>
        <v>46113</v>
      </c>
    </row>
    <row r="2501" spans="1:6" ht="20.25">
      <c r="A2501" s="49"/>
      <c r="B2501" s="47" t="s">
        <v>1458</v>
      </c>
      <c r="C2501" s="47">
        <v>32</v>
      </c>
      <c r="D2501" s="47" t="s">
        <v>55</v>
      </c>
      <c r="E2501" s="12">
        <v>46136</v>
      </c>
      <c r="F2501" s="20">
        <f t="shared" si="39"/>
        <v>46113</v>
      </c>
    </row>
    <row r="2502" spans="1:6" ht="20.25">
      <c r="A2502" s="49"/>
      <c r="B2502" s="47" t="s">
        <v>1458</v>
      </c>
      <c r="C2502" s="47">
        <v>84</v>
      </c>
      <c r="D2502" s="47" t="s">
        <v>55</v>
      </c>
      <c r="E2502" s="12">
        <v>46136</v>
      </c>
      <c r="F2502" s="20">
        <f t="shared" si="39"/>
        <v>46113</v>
      </c>
    </row>
    <row r="2503" spans="1:6" ht="20.25">
      <c r="A2503" s="49"/>
      <c r="B2503" s="47" t="s">
        <v>1274</v>
      </c>
      <c r="C2503" s="47">
        <v>42</v>
      </c>
      <c r="D2503" s="47" t="s">
        <v>55</v>
      </c>
      <c r="E2503" s="12">
        <v>46136</v>
      </c>
      <c r="F2503" s="20">
        <f t="shared" si="39"/>
        <v>46113</v>
      </c>
    </row>
    <row r="2504" spans="1:6" ht="20.25">
      <c r="A2504" s="49"/>
      <c r="B2504" s="47" t="s">
        <v>1093</v>
      </c>
      <c r="C2504" s="47">
        <v>32</v>
      </c>
      <c r="D2504" s="47" t="s">
        <v>55</v>
      </c>
      <c r="E2504" s="12">
        <v>46136</v>
      </c>
      <c r="F2504" s="20">
        <f t="shared" si="39"/>
        <v>46113</v>
      </c>
    </row>
    <row r="2505" spans="1:6" ht="20.25">
      <c r="A2505" s="49"/>
      <c r="B2505" s="47" t="s">
        <v>863</v>
      </c>
      <c r="C2505" s="47">
        <v>21</v>
      </c>
      <c r="D2505" s="47" t="s">
        <v>55</v>
      </c>
      <c r="E2505" s="12">
        <v>46136</v>
      </c>
      <c r="F2505" s="20">
        <f t="shared" si="39"/>
        <v>46113</v>
      </c>
    </row>
    <row r="2506" spans="1:6" ht="20.25">
      <c r="A2506" s="49"/>
      <c r="B2506" s="47" t="s">
        <v>959</v>
      </c>
      <c r="C2506" s="47">
        <v>67</v>
      </c>
      <c r="D2506" s="47" t="s">
        <v>55</v>
      </c>
      <c r="E2506" s="12">
        <v>46136</v>
      </c>
      <c r="F2506" s="20">
        <f t="shared" si="39"/>
        <v>46113</v>
      </c>
    </row>
    <row r="2507" spans="1:6" ht="20.25">
      <c r="A2507" s="49"/>
      <c r="B2507" s="47" t="s">
        <v>1251</v>
      </c>
      <c r="C2507" s="47">
        <v>44</v>
      </c>
      <c r="D2507" s="47" t="s">
        <v>55</v>
      </c>
      <c r="E2507" s="12">
        <v>46136</v>
      </c>
      <c r="F2507" s="20">
        <f t="shared" si="39"/>
        <v>46113</v>
      </c>
    </row>
    <row r="2508" spans="1:6" ht="20.25">
      <c r="A2508" s="49"/>
      <c r="B2508" s="47" t="s">
        <v>985</v>
      </c>
      <c r="C2508" s="47">
        <v>96</v>
      </c>
      <c r="D2508" s="47" t="s">
        <v>55</v>
      </c>
      <c r="E2508" s="12">
        <v>46136</v>
      </c>
      <c r="F2508" s="20">
        <f t="shared" si="39"/>
        <v>46113</v>
      </c>
    </row>
    <row r="2509" spans="1:6" ht="20.25">
      <c r="A2509" s="49"/>
      <c r="B2509" s="47" t="s">
        <v>1377</v>
      </c>
      <c r="C2509" s="47">
        <v>38</v>
      </c>
      <c r="D2509" s="47" t="s">
        <v>55</v>
      </c>
      <c r="E2509" s="12">
        <v>46136</v>
      </c>
      <c r="F2509" s="20">
        <f t="shared" si="39"/>
        <v>46113</v>
      </c>
    </row>
    <row r="2510" spans="1:6" ht="20.25">
      <c r="A2510" s="49"/>
      <c r="B2510" s="47" t="s">
        <v>894</v>
      </c>
      <c r="C2510" s="47">
        <v>28</v>
      </c>
      <c r="D2510" s="47" t="s">
        <v>72</v>
      </c>
      <c r="E2510" s="12">
        <v>46136</v>
      </c>
      <c r="F2510" s="20">
        <f t="shared" si="39"/>
        <v>46113</v>
      </c>
    </row>
    <row r="2511" spans="1:6" ht="20.25">
      <c r="A2511" s="49"/>
      <c r="B2511" s="47" t="s">
        <v>1522</v>
      </c>
      <c r="C2511" s="47">
        <v>42</v>
      </c>
      <c r="D2511" s="47" t="s">
        <v>72</v>
      </c>
      <c r="E2511" s="12">
        <v>46136</v>
      </c>
      <c r="F2511" s="20">
        <f t="shared" si="39"/>
        <v>46113</v>
      </c>
    </row>
    <row r="2512" spans="1:6" ht="20.25">
      <c r="A2512" s="49"/>
      <c r="B2512" s="47" t="s">
        <v>809</v>
      </c>
      <c r="C2512" s="47">
        <v>142</v>
      </c>
      <c r="D2512" s="47" t="s">
        <v>160</v>
      </c>
      <c r="E2512" s="12">
        <v>46136</v>
      </c>
      <c r="F2512" s="20">
        <f t="shared" si="39"/>
        <v>46113</v>
      </c>
    </row>
    <row r="2513" spans="1:6" ht="20.25">
      <c r="A2513" s="49"/>
      <c r="B2513" s="47" t="s">
        <v>877</v>
      </c>
      <c r="C2513" s="47">
        <v>5</v>
      </c>
      <c r="D2513" s="47" t="s">
        <v>160</v>
      </c>
      <c r="E2513" s="12">
        <v>46136</v>
      </c>
      <c r="F2513" s="20">
        <f t="shared" si="39"/>
        <v>46113</v>
      </c>
    </row>
    <row r="2514" spans="1:6" ht="20.25">
      <c r="A2514" s="49"/>
      <c r="B2514" s="47" t="s">
        <v>627</v>
      </c>
      <c r="C2514" s="47">
        <v>48</v>
      </c>
      <c r="D2514" s="47" t="s">
        <v>55</v>
      </c>
      <c r="E2514" s="12">
        <v>46136</v>
      </c>
      <c r="F2514" s="20">
        <f t="shared" si="39"/>
        <v>46113</v>
      </c>
    </row>
    <row r="2515" spans="1:6" ht="20.25">
      <c r="A2515" s="49"/>
      <c r="B2515" s="47" t="s">
        <v>884</v>
      </c>
      <c r="C2515" s="47">
        <v>37</v>
      </c>
      <c r="D2515" s="47" t="s">
        <v>55</v>
      </c>
      <c r="E2515" s="12">
        <v>46136</v>
      </c>
      <c r="F2515" s="20">
        <f t="shared" si="39"/>
        <v>46113</v>
      </c>
    </row>
    <row r="2516" spans="1:6" ht="20.25">
      <c r="A2516" s="49"/>
      <c r="B2516" s="47" t="s">
        <v>800</v>
      </c>
      <c r="C2516" s="47">
        <v>41</v>
      </c>
      <c r="D2516" s="47" t="s">
        <v>55</v>
      </c>
      <c r="E2516" s="12">
        <v>46136</v>
      </c>
      <c r="F2516" s="20">
        <f t="shared" si="39"/>
        <v>46113</v>
      </c>
    </row>
    <row r="2517" spans="1:6" ht="20.25">
      <c r="A2517" s="49"/>
      <c r="B2517" s="47" t="s">
        <v>628</v>
      </c>
      <c r="C2517" s="47">
        <v>46</v>
      </c>
      <c r="D2517" s="47" t="s">
        <v>55</v>
      </c>
      <c r="E2517" s="12">
        <v>46136</v>
      </c>
      <c r="F2517" s="20">
        <f t="shared" si="39"/>
        <v>46113</v>
      </c>
    </row>
    <row r="2518" spans="1:6" ht="20.25">
      <c r="A2518" s="49"/>
      <c r="B2518" s="47" t="s">
        <v>1082</v>
      </c>
      <c r="C2518" s="47">
        <v>33</v>
      </c>
      <c r="D2518" s="47" t="s">
        <v>82</v>
      </c>
      <c r="E2518" s="12">
        <v>46136</v>
      </c>
      <c r="F2518" s="20">
        <f t="shared" si="39"/>
        <v>46113</v>
      </c>
    </row>
    <row r="2519" spans="1:6" ht="20.25">
      <c r="A2519" s="49"/>
      <c r="B2519" s="47" t="s">
        <v>697</v>
      </c>
      <c r="C2519" s="47">
        <v>192</v>
      </c>
      <c r="D2519" s="47" t="s">
        <v>82</v>
      </c>
      <c r="E2519" s="12">
        <v>46136</v>
      </c>
      <c r="F2519" s="20">
        <f t="shared" si="39"/>
        <v>46113</v>
      </c>
    </row>
    <row r="2520" spans="1:6" ht="20.25">
      <c r="A2520" s="49"/>
      <c r="B2520" s="47" t="s">
        <v>697</v>
      </c>
      <c r="C2520" s="47">
        <v>45</v>
      </c>
      <c r="D2520" s="47" t="s">
        <v>82</v>
      </c>
      <c r="E2520" s="12">
        <v>46136</v>
      </c>
      <c r="F2520" s="20">
        <f t="shared" si="39"/>
        <v>46113</v>
      </c>
    </row>
    <row r="2521" spans="1:6" ht="20.25">
      <c r="A2521" s="49"/>
      <c r="B2521" s="47" t="s">
        <v>784</v>
      </c>
      <c r="C2521" s="47">
        <v>263</v>
      </c>
      <c r="D2521" s="47" t="s">
        <v>62</v>
      </c>
      <c r="E2521" s="12">
        <v>46136</v>
      </c>
      <c r="F2521" s="20">
        <f t="shared" si="39"/>
        <v>46113</v>
      </c>
    </row>
    <row r="2522" spans="1:6" ht="20.25">
      <c r="A2522" s="49"/>
      <c r="B2522" s="47" t="s">
        <v>721</v>
      </c>
      <c r="C2522" s="47">
        <v>134</v>
      </c>
      <c r="D2522" s="47" t="s">
        <v>97</v>
      </c>
      <c r="E2522" s="12">
        <v>46136</v>
      </c>
      <c r="F2522" s="20">
        <f t="shared" si="39"/>
        <v>46113</v>
      </c>
    </row>
    <row r="2523" spans="1:6" ht="20.25">
      <c r="A2523" s="49"/>
      <c r="B2523" s="47" t="s">
        <v>1154</v>
      </c>
      <c r="C2523" s="47">
        <v>21</v>
      </c>
      <c r="D2523" s="47" t="s">
        <v>97</v>
      </c>
      <c r="E2523" s="12">
        <v>46136</v>
      </c>
      <c r="F2523" s="20">
        <f t="shared" si="39"/>
        <v>46113</v>
      </c>
    </row>
    <row r="2524" spans="1:6" ht="20.25">
      <c r="A2524" s="49"/>
      <c r="B2524" s="47" t="s">
        <v>1257</v>
      </c>
      <c r="C2524" s="47">
        <v>44</v>
      </c>
      <c r="D2524" s="47" t="s">
        <v>97</v>
      </c>
      <c r="E2524" s="12">
        <v>46136</v>
      </c>
      <c r="F2524" s="20">
        <f t="shared" si="39"/>
        <v>46113</v>
      </c>
    </row>
    <row r="2525" spans="1:6" ht="20.25">
      <c r="A2525" s="49"/>
      <c r="B2525" s="47" t="s">
        <v>1102</v>
      </c>
      <c r="C2525" s="47">
        <v>1</v>
      </c>
      <c r="D2525" s="47" t="s">
        <v>97</v>
      </c>
      <c r="E2525" s="12">
        <v>46136</v>
      </c>
      <c r="F2525" s="20">
        <f t="shared" si="39"/>
        <v>46113</v>
      </c>
    </row>
    <row r="2526" spans="1:6" ht="20.25">
      <c r="A2526" s="49"/>
      <c r="B2526" s="47" t="s">
        <v>723</v>
      </c>
      <c r="C2526" s="47">
        <v>6</v>
      </c>
      <c r="D2526" s="47" t="s">
        <v>97</v>
      </c>
      <c r="E2526" s="12">
        <v>46136</v>
      </c>
      <c r="F2526" s="20">
        <f t="shared" si="39"/>
        <v>46113</v>
      </c>
    </row>
    <row r="2527" spans="1:6" ht="20.25">
      <c r="A2527" s="49"/>
      <c r="B2527" s="47" t="s">
        <v>1347</v>
      </c>
      <c r="C2527" s="47">
        <v>5</v>
      </c>
      <c r="D2527" s="47" t="s">
        <v>97</v>
      </c>
      <c r="E2527" s="12">
        <v>46136</v>
      </c>
      <c r="F2527" s="20">
        <f t="shared" si="39"/>
        <v>46113</v>
      </c>
    </row>
    <row r="2528" spans="1:6" ht="20.25">
      <c r="A2528" s="49"/>
      <c r="B2528" s="47" t="s">
        <v>1357</v>
      </c>
      <c r="C2528" s="47">
        <v>2</v>
      </c>
      <c r="D2528" s="47" t="s">
        <v>97</v>
      </c>
      <c r="E2528" s="12">
        <v>46136</v>
      </c>
      <c r="F2528" s="20">
        <f t="shared" si="39"/>
        <v>46113</v>
      </c>
    </row>
    <row r="2529" spans="1:6" ht="20.25">
      <c r="A2529" s="49"/>
      <c r="B2529" s="47" t="s">
        <v>1357</v>
      </c>
      <c r="C2529" s="47">
        <v>1</v>
      </c>
      <c r="D2529" s="47" t="s">
        <v>97</v>
      </c>
      <c r="E2529" s="12">
        <v>46136</v>
      </c>
      <c r="F2529" s="20">
        <f t="shared" si="39"/>
        <v>46113</v>
      </c>
    </row>
    <row r="2530" spans="1:6" ht="20.25">
      <c r="A2530" s="49"/>
      <c r="B2530" s="47" t="s">
        <v>1154</v>
      </c>
      <c r="C2530" s="47">
        <v>5</v>
      </c>
      <c r="D2530" s="47" t="s">
        <v>97</v>
      </c>
      <c r="E2530" s="12">
        <v>46136</v>
      </c>
      <c r="F2530" s="20">
        <f t="shared" si="39"/>
        <v>46113</v>
      </c>
    </row>
    <row r="2531" spans="1:6" ht="20.25">
      <c r="A2531" s="49"/>
      <c r="B2531" s="47" t="s">
        <v>1153</v>
      </c>
      <c r="C2531" s="47">
        <v>54</v>
      </c>
      <c r="D2531" s="47" t="s">
        <v>55</v>
      </c>
      <c r="E2531" s="12">
        <v>46136</v>
      </c>
      <c r="F2531" s="20">
        <f t="shared" si="39"/>
        <v>46113</v>
      </c>
    </row>
    <row r="2532" spans="1:6" ht="20.25">
      <c r="A2532" s="49"/>
      <c r="B2532" s="47" t="s">
        <v>1153</v>
      </c>
      <c r="C2532" s="47">
        <v>139</v>
      </c>
      <c r="D2532" s="47" t="s">
        <v>55</v>
      </c>
      <c r="E2532" s="12">
        <v>46136</v>
      </c>
      <c r="F2532" s="20">
        <f t="shared" si="39"/>
        <v>46113</v>
      </c>
    </row>
    <row r="2533" spans="1:6" ht="20.25">
      <c r="A2533" s="49"/>
      <c r="B2533" s="47" t="s">
        <v>1597</v>
      </c>
      <c r="C2533" s="47">
        <v>447</v>
      </c>
      <c r="D2533" s="47" t="s">
        <v>66</v>
      </c>
      <c r="E2533" s="12">
        <v>46136</v>
      </c>
      <c r="F2533" s="20">
        <f t="shared" si="39"/>
        <v>46113</v>
      </c>
    </row>
    <row r="2534" spans="1:6" ht="20.25">
      <c r="A2534" s="49"/>
      <c r="B2534" s="47" t="s">
        <v>1328</v>
      </c>
      <c r="C2534" s="47">
        <v>143</v>
      </c>
      <c r="D2534" s="47" t="s">
        <v>66</v>
      </c>
      <c r="E2534" s="12">
        <v>46136</v>
      </c>
      <c r="F2534" s="20">
        <f t="shared" si="39"/>
        <v>46113</v>
      </c>
    </row>
    <row r="2535" spans="1:6" ht="20.25">
      <c r="A2535" s="49"/>
      <c r="B2535" s="47" t="s">
        <v>1328</v>
      </c>
      <c r="C2535" s="47">
        <v>154</v>
      </c>
      <c r="D2535" s="47" t="s">
        <v>66</v>
      </c>
      <c r="E2535" s="12">
        <v>46136</v>
      </c>
      <c r="F2535" s="20">
        <f t="shared" si="39"/>
        <v>46113</v>
      </c>
    </row>
    <row r="2536" spans="1:6" ht="20.25">
      <c r="A2536" s="49"/>
      <c r="B2536" s="47" t="s">
        <v>1459</v>
      </c>
      <c r="C2536" s="47">
        <v>466</v>
      </c>
      <c r="D2536" s="47" t="s">
        <v>66</v>
      </c>
      <c r="E2536" s="12">
        <v>46136</v>
      </c>
      <c r="F2536" s="20">
        <f t="shared" si="39"/>
        <v>46113</v>
      </c>
    </row>
    <row r="2537" spans="1:6" ht="20.25">
      <c r="A2537" s="49"/>
      <c r="B2537" s="47" t="s">
        <v>1319</v>
      </c>
      <c r="C2537" s="47">
        <v>84</v>
      </c>
      <c r="D2537" s="47" t="s">
        <v>66</v>
      </c>
      <c r="E2537" s="12">
        <v>46136</v>
      </c>
      <c r="F2537" s="20">
        <f t="shared" si="39"/>
        <v>46113</v>
      </c>
    </row>
    <row r="2538" spans="1:6" ht="20.25">
      <c r="A2538" s="49"/>
      <c r="B2538" s="47" t="s">
        <v>1319</v>
      </c>
      <c r="C2538" s="47">
        <v>210</v>
      </c>
      <c r="D2538" s="47" t="s">
        <v>66</v>
      </c>
      <c r="E2538" s="12">
        <v>46136</v>
      </c>
      <c r="F2538" s="20">
        <f t="shared" si="39"/>
        <v>46113</v>
      </c>
    </row>
    <row r="2539" spans="1:6" ht="20.25">
      <c r="A2539" s="49"/>
      <c r="B2539" s="47" t="s">
        <v>694</v>
      </c>
      <c r="C2539" s="47">
        <v>28</v>
      </c>
      <c r="D2539" s="47" t="s">
        <v>66</v>
      </c>
      <c r="E2539" s="12">
        <v>46136</v>
      </c>
      <c r="F2539" s="20">
        <f t="shared" si="39"/>
        <v>46113</v>
      </c>
    </row>
    <row r="2540" spans="1:6" ht="20.25">
      <c r="A2540" s="49"/>
      <c r="B2540" s="47" t="s">
        <v>1549</v>
      </c>
      <c r="C2540" s="47">
        <v>130</v>
      </c>
      <c r="D2540" s="47" t="s">
        <v>66</v>
      </c>
      <c r="E2540" s="12">
        <v>46136</v>
      </c>
      <c r="F2540" s="20">
        <f t="shared" si="39"/>
        <v>46113</v>
      </c>
    </row>
    <row r="2541" spans="1:6" ht="20.25">
      <c r="A2541" s="49"/>
      <c r="B2541" s="47" t="s">
        <v>1599</v>
      </c>
      <c r="C2541" s="47">
        <v>130</v>
      </c>
      <c r="D2541" s="47" t="s">
        <v>66</v>
      </c>
      <c r="E2541" s="12">
        <v>46136</v>
      </c>
      <c r="F2541" s="20">
        <f t="shared" si="39"/>
        <v>46113</v>
      </c>
    </row>
    <row r="2542" spans="1:6" ht="20.25">
      <c r="A2542" s="49"/>
      <c r="B2542" s="47" t="s">
        <v>883</v>
      </c>
      <c r="C2542" s="47">
        <v>273</v>
      </c>
      <c r="D2542" s="47" t="s">
        <v>63</v>
      </c>
      <c r="E2542" s="12">
        <v>46136</v>
      </c>
      <c r="F2542" s="20">
        <f t="shared" si="39"/>
        <v>46113</v>
      </c>
    </row>
    <row r="2543" spans="1:6" ht="20.25">
      <c r="A2543" s="49"/>
      <c r="B2543" s="47" t="s">
        <v>807</v>
      </c>
      <c r="C2543" s="47">
        <v>320</v>
      </c>
      <c r="D2543" s="47" t="s">
        <v>82</v>
      </c>
      <c r="E2543" s="12">
        <v>46136</v>
      </c>
      <c r="F2543" s="20">
        <f t="shared" si="39"/>
        <v>46113</v>
      </c>
    </row>
    <row r="2544" spans="1:6" ht="20.25">
      <c r="A2544" s="49"/>
      <c r="B2544" s="47" t="s">
        <v>631</v>
      </c>
      <c r="C2544" s="47">
        <v>668</v>
      </c>
      <c r="D2544" s="47" t="s">
        <v>55</v>
      </c>
      <c r="E2544" s="12">
        <v>46136</v>
      </c>
      <c r="F2544" s="20">
        <f t="shared" si="39"/>
        <v>46113</v>
      </c>
    </row>
    <row r="2545" spans="1:6" ht="20.25">
      <c r="A2545" s="49"/>
      <c r="B2545" s="47" t="s">
        <v>640</v>
      </c>
      <c r="C2545" s="47">
        <v>620</v>
      </c>
      <c r="D2545" s="47" t="s">
        <v>55</v>
      </c>
      <c r="E2545" s="12">
        <v>46136</v>
      </c>
      <c r="F2545" s="20">
        <f t="shared" si="39"/>
        <v>46113</v>
      </c>
    </row>
    <row r="2546" spans="1:6" ht="20.25">
      <c r="A2546" s="49"/>
      <c r="B2546" s="47" t="s">
        <v>603</v>
      </c>
      <c r="C2546" s="47">
        <v>456</v>
      </c>
      <c r="D2546" s="47" t="s">
        <v>63</v>
      </c>
      <c r="E2546" s="12">
        <v>46136</v>
      </c>
      <c r="F2546" s="20">
        <f t="shared" si="39"/>
        <v>46113</v>
      </c>
    </row>
    <row r="2547" spans="1:6" ht="20.25">
      <c r="A2547" s="49"/>
      <c r="B2547" s="47" t="s">
        <v>665</v>
      </c>
      <c r="C2547" s="47">
        <v>1</v>
      </c>
      <c r="D2547" s="47" t="s">
        <v>97</v>
      </c>
      <c r="E2547" s="12">
        <v>46136</v>
      </c>
      <c r="F2547" s="20">
        <f t="shared" si="39"/>
        <v>46113</v>
      </c>
    </row>
    <row r="2548" spans="1:6" ht="20.25">
      <c r="A2548" s="49"/>
      <c r="B2548" s="47" t="s">
        <v>664</v>
      </c>
      <c r="C2548" s="47">
        <v>2</v>
      </c>
      <c r="D2548" s="47" t="s">
        <v>97</v>
      </c>
      <c r="E2548" s="12">
        <v>46136</v>
      </c>
      <c r="F2548" s="20">
        <f t="shared" si="39"/>
        <v>46113</v>
      </c>
    </row>
    <row r="2549" spans="1:6" ht="20.25">
      <c r="A2549" s="49"/>
      <c r="B2549" s="47" t="s">
        <v>1264</v>
      </c>
      <c r="C2549" s="47">
        <v>9</v>
      </c>
      <c r="D2549" s="47" t="s">
        <v>62</v>
      </c>
      <c r="E2549" s="12">
        <v>46136</v>
      </c>
      <c r="F2549" s="20">
        <f t="shared" si="39"/>
        <v>46113</v>
      </c>
    </row>
    <row r="2550" spans="1:6" ht="20.25">
      <c r="A2550" s="49"/>
      <c r="B2550" s="47" t="s">
        <v>668</v>
      </c>
      <c r="C2550" s="47">
        <v>28</v>
      </c>
      <c r="D2550" s="47" t="s">
        <v>72</v>
      </c>
      <c r="E2550" s="12">
        <v>46136</v>
      </c>
      <c r="F2550" s="20">
        <f t="shared" si="39"/>
        <v>46113</v>
      </c>
    </row>
    <row r="2551" spans="1:6" ht="20.25">
      <c r="A2551" s="49"/>
      <c r="B2551" s="47" t="s">
        <v>1017</v>
      </c>
      <c r="C2551" s="47">
        <v>473</v>
      </c>
      <c r="D2551" s="47" t="s">
        <v>55</v>
      </c>
      <c r="E2551" s="12">
        <v>46136</v>
      </c>
      <c r="F2551" s="20">
        <f t="shared" si="39"/>
        <v>46113</v>
      </c>
    </row>
    <row r="2552" spans="1:6" ht="20.25">
      <c r="A2552" s="49"/>
      <c r="B2552" s="47" t="s">
        <v>765</v>
      </c>
      <c r="C2552" s="47">
        <v>146</v>
      </c>
      <c r="D2552" s="47" t="s">
        <v>55</v>
      </c>
      <c r="E2552" s="12">
        <v>46136</v>
      </c>
      <c r="F2552" s="20">
        <f t="shared" si="39"/>
        <v>46113</v>
      </c>
    </row>
    <row r="2553" spans="1:6" ht="20.25">
      <c r="A2553" s="49"/>
      <c r="B2553" s="47" t="s">
        <v>884</v>
      </c>
      <c r="C2553" s="47">
        <v>124</v>
      </c>
      <c r="D2553" s="47" t="s">
        <v>55</v>
      </c>
      <c r="E2553" s="12">
        <v>46136</v>
      </c>
      <c r="F2553" s="20">
        <f t="shared" si="39"/>
        <v>46113</v>
      </c>
    </row>
    <row r="2554" spans="1:6" ht="20.25">
      <c r="A2554" s="49"/>
      <c r="B2554" s="47" t="s">
        <v>867</v>
      </c>
      <c r="C2554" s="47">
        <v>1</v>
      </c>
      <c r="D2554" s="47" t="s">
        <v>46</v>
      </c>
      <c r="E2554" s="12">
        <v>46136</v>
      </c>
      <c r="F2554" s="20">
        <f t="shared" si="39"/>
        <v>46113</v>
      </c>
    </row>
    <row r="2555" spans="1:6" ht="20.25">
      <c r="A2555" s="49"/>
      <c r="B2555" s="47" t="s">
        <v>1549</v>
      </c>
      <c r="C2555" s="47">
        <v>-1</v>
      </c>
      <c r="D2555" s="47" t="s">
        <v>63</v>
      </c>
      <c r="E2555" s="12">
        <v>46136</v>
      </c>
      <c r="F2555" s="20">
        <f t="shared" si="39"/>
        <v>46113</v>
      </c>
    </row>
    <row r="2556" spans="1:6" ht="20.25">
      <c r="A2556" s="49"/>
      <c r="B2556" s="47" t="s">
        <v>930</v>
      </c>
      <c r="C2556" s="47">
        <v>1</v>
      </c>
      <c r="D2556" s="47" t="s">
        <v>95</v>
      </c>
      <c r="E2556" s="12">
        <v>46136</v>
      </c>
      <c r="F2556" s="20">
        <f t="shared" si="39"/>
        <v>46113</v>
      </c>
    </row>
    <row r="2557" spans="1:6" ht="20.25">
      <c r="A2557" s="49"/>
      <c r="B2557" s="47" t="s">
        <v>758</v>
      </c>
      <c r="C2557" s="47">
        <v>4</v>
      </c>
      <c r="D2557" s="47" t="s">
        <v>97</v>
      </c>
      <c r="E2557" s="12">
        <v>46136</v>
      </c>
      <c r="F2557" s="20">
        <f t="shared" si="39"/>
        <v>46113</v>
      </c>
    </row>
    <row r="2558" spans="1:6" ht="20.25">
      <c r="A2558" s="49"/>
      <c r="B2558" s="47" t="s">
        <v>1440</v>
      </c>
      <c r="C2558" s="47">
        <v>-4</v>
      </c>
      <c r="D2558" s="47" t="s">
        <v>114</v>
      </c>
      <c r="E2558" s="12">
        <v>46136</v>
      </c>
      <c r="F2558" s="20">
        <f t="shared" si="39"/>
        <v>46113</v>
      </c>
    </row>
    <row r="2559" spans="1:6" ht="20.25">
      <c r="A2559" s="49"/>
      <c r="B2559" s="47" t="s">
        <v>731</v>
      </c>
      <c r="C2559" s="47">
        <v>33</v>
      </c>
      <c r="D2559" s="47" t="s">
        <v>97</v>
      </c>
      <c r="E2559" s="12">
        <v>46136</v>
      </c>
      <c r="F2559" s="20">
        <f t="shared" si="39"/>
        <v>46113</v>
      </c>
    </row>
    <row r="2560" spans="1:6" ht="20.25">
      <c r="A2560" s="49"/>
      <c r="B2560" s="47" t="s">
        <v>974</v>
      </c>
      <c r="C2560" s="47">
        <v>36</v>
      </c>
      <c r="D2560" s="47" t="s">
        <v>46</v>
      </c>
      <c r="E2560" s="12">
        <v>46137</v>
      </c>
      <c r="F2560" s="20">
        <f t="shared" si="39"/>
        <v>46113</v>
      </c>
    </row>
    <row r="2561" spans="1:6" ht="20.25">
      <c r="A2561" s="49"/>
      <c r="B2561" s="47" t="s">
        <v>856</v>
      </c>
      <c r="C2561" s="47">
        <v>60</v>
      </c>
      <c r="D2561" s="47" t="s">
        <v>46</v>
      </c>
      <c r="E2561" s="12">
        <v>46137</v>
      </c>
      <c r="F2561" s="20">
        <f t="shared" si="39"/>
        <v>46113</v>
      </c>
    </row>
    <row r="2562" spans="1:6" ht="20.25">
      <c r="A2562" s="49"/>
      <c r="B2562" s="47" t="s">
        <v>645</v>
      </c>
      <c r="C2562" s="47">
        <v>64</v>
      </c>
      <c r="D2562" s="47" t="s">
        <v>46</v>
      </c>
      <c r="E2562" s="12">
        <v>46137</v>
      </c>
      <c r="F2562" s="20">
        <f t="shared" ref="F2562:F2625" si="40">EOMONTH(E2562,-1)+1</f>
        <v>46113</v>
      </c>
    </row>
    <row r="2563" spans="1:6" ht="20.25">
      <c r="A2563" s="49"/>
      <c r="B2563" s="47" t="s">
        <v>1056</v>
      </c>
      <c r="C2563" s="47">
        <v>33</v>
      </c>
      <c r="D2563" s="47" t="s">
        <v>46</v>
      </c>
      <c r="E2563" s="12">
        <v>46137</v>
      </c>
      <c r="F2563" s="20">
        <f t="shared" si="40"/>
        <v>46113</v>
      </c>
    </row>
    <row r="2564" spans="1:6" ht="20.25">
      <c r="A2564" s="49"/>
      <c r="B2564" s="47" t="s">
        <v>1110</v>
      </c>
      <c r="C2564" s="47">
        <v>32</v>
      </c>
      <c r="D2564" s="47" t="s">
        <v>46</v>
      </c>
      <c r="E2564" s="12">
        <v>46137</v>
      </c>
      <c r="F2564" s="20">
        <f t="shared" si="40"/>
        <v>46113</v>
      </c>
    </row>
    <row r="2565" spans="1:6" ht="20.25">
      <c r="A2565" s="49"/>
      <c r="B2565" s="47" t="s">
        <v>1124</v>
      </c>
      <c r="C2565" s="47">
        <v>138</v>
      </c>
      <c r="D2565" s="47" t="s">
        <v>46</v>
      </c>
      <c r="E2565" s="12">
        <v>46137</v>
      </c>
      <c r="F2565" s="20">
        <f t="shared" si="40"/>
        <v>46113</v>
      </c>
    </row>
    <row r="2566" spans="1:6" ht="20.25">
      <c r="A2566" s="49"/>
      <c r="B2566" s="47" t="s">
        <v>897</v>
      </c>
      <c r="C2566" s="47">
        <v>36</v>
      </c>
      <c r="D2566" s="47" t="s">
        <v>46</v>
      </c>
      <c r="E2566" s="12">
        <v>46137</v>
      </c>
      <c r="F2566" s="20">
        <f t="shared" si="40"/>
        <v>46113</v>
      </c>
    </row>
    <row r="2567" spans="1:6" ht="20.25">
      <c r="A2567" s="49"/>
      <c r="B2567" s="47" t="s">
        <v>1077</v>
      </c>
      <c r="C2567" s="47">
        <v>37</v>
      </c>
      <c r="D2567" s="47" t="s">
        <v>46</v>
      </c>
      <c r="E2567" s="12">
        <v>46137</v>
      </c>
      <c r="F2567" s="20">
        <f t="shared" si="40"/>
        <v>46113</v>
      </c>
    </row>
    <row r="2568" spans="1:6" ht="20.25">
      <c r="A2568" s="49"/>
      <c r="B2568" s="47" t="s">
        <v>1052</v>
      </c>
      <c r="C2568" s="47">
        <v>89</v>
      </c>
      <c r="D2568" s="47" t="s">
        <v>46</v>
      </c>
      <c r="E2568" s="12">
        <v>46137</v>
      </c>
      <c r="F2568" s="20">
        <f t="shared" si="40"/>
        <v>46113</v>
      </c>
    </row>
    <row r="2569" spans="1:6" ht="20.25">
      <c r="A2569" s="49"/>
      <c r="B2569" s="47" t="s">
        <v>670</v>
      </c>
      <c r="C2569" s="47">
        <v>58</v>
      </c>
      <c r="D2569" s="47" t="s">
        <v>46</v>
      </c>
      <c r="E2569" s="12">
        <v>46137</v>
      </c>
      <c r="F2569" s="20">
        <f t="shared" si="40"/>
        <v>46113</v>
      </c>
    </row>
    <row r="2570" spans="1:6" ht="20.25">
      <c r="A2570" s="49"/>
      <c r="B2570" s="47" t="s">
        <v>671</v>
      </c>
      <c r="C2570" s="47">
        <v>288</v>
      </c>
      <c r="D2570" s="47" t="s">
        <v>46</v>
      </c>
      <c r="E2570" s="12">
        <v>46137</v>
      </c>
      <c r="F2570" s="20">
        <f t="shared" si="40"/>
        <v>46113</v>
      </c>
    </row>
    <row r="2571" spans="1:6" ht="20.25">
      <c r="A2571" s="49"/>
      <c r="B2571" s="47" t="s">
        <v>756</v>
      </c>
      <c r="C2571" s="47">
        <v>29</v>
      </c>
      <c r="D2571" s="47" t="s">
        <v>46</v>
      </c>
      <c r="E2571" s="12">
        <v>46137</v>
      </c>
      <c r="F2571" s="20">
        <f t="shared" si="40"/>
        <v>46113</v>
      </c>
    </row>
    <row r="2572" spans="1:6" ht="20.25">
      <c r="A2572" s="49"/>
      <c r="B2572" s="47" t="s">
        <v>1343</v>
      </c>
      <c r="C2572" s="47">
        <v>73</v>
      </c>
      <c r="D2572" s="47" t="s">
        <v>72</v>
      </c>
      <c r="E2572" s="12">
        <v>46137</v>
      </c>
      <c r="F2572" s="20">
        <f t="shared" si="40"/>
        <v>46113</v>
      </c>
    </row>
    <row r="2573" spans="1:6" ht="20.25">
      <c r="A2573" s="49"/>
      <c r="B2573" s="47" t="s">
        <v>861</v>
      </c>
      <c r="C2573" s="47">
        <v>116</v>
      </c>
      <c r="D2573" s="47" t="s">
        <v>72</v>
      </c>
      <c r="E2573" s="12">
        <v>46137</v>
      </c>
      <c r="F2573" s="20">
        <f t="shared" si="40"/>
        <v>46113</v>
      </c>
    </row>
    <row r="2574" spans="1:6" ht="20.25">
      <c r="A2574" s="49"/>
      <c r="B2574" s="47" t="s">
        <v>616</v>
      </c>
      <c r="C2574" s="47">
        <v>160</v>
      </c>
      <c r="D2574" s="47" t="s">
        <v>72</v>
      </c>
      <c r="E2574" s="12">
        <v>46137</v>
      </c>
      <c r="F2574" s="20">
        <f t="shared" si="40"/>
        <v>46113</v>
      </c>
    </row>
    <row r="2575" spans="1:6" ht="20.25">
      <c r="A2575" s="49"/>
      <c r="B2575" s="47" t="s">
        <v>978</v>
      </c>
      <c r="C2575" s="47">
        <v>2</v>
      </c>
      <c r="D2575" s="47" t="s">
        <v>72</v>
      </c>
      <c r="E2575" s="12">
        <v>46137</v>
      </c>
      <c r="F2575" s="20">
        <f t="shared" si="40"/>
        <v>46113</v>
      </c>
    </row>
    <row r="2576" spans="1:6" ht="20.25">
      <c r="A2576" s="49"/>
      <c r="B2576" s="47" t="s">
        <v>978</v>
      </c>
      <c r="C2576" s="47">
        <v>77</v>
      </c>
      <c r="D2576" s="47" t="s">
        <v>72</v>
      </c>
      <c r="E2576" s="12">
        <v>46137</v>
      </c>
      <c r="F2576" s="20">
        <f t="shared" si="40"/>
        <v>46113</v>
      </c>
    </row>
    <row r="2577" spans="1:6" ht="20.25">
      <c r="A2577" s="49"/>
      <c r="B2577" s="47" t="s">
        <v>701</v>
      </c>
      <c r="C2577" s="47">
        <v>381</v>
      </c>
      <c r="D2577" s="47" t="s">
        <v>72</v>
      </c>
      <c r="E2577" s="12">
        <v>46137</v>
      </c>
      <c r="F2577" s="20">
        <f t="shared" si="40"/>
        <v>46113</v>
      </c>
    </row>
    <row r="2578" spans="1:6" ht="20.25">
      <c r="A2578" s="49"/>
      <c r="B2578" s="47" t="s">
        <v>728</v>
      </c>
      <c r="C2578" s="47">
        <v>397</v>
      </c>
      <c r="D2578" s="47" t="s">
        <v>72</v>
      </c>
      <c r="E2578" s="12">
        <v>46137</v>
      </c>
      <c r="F2578" s="20">
        <f t="shared" si="40"/>
        <v>46113</v>
      </c>
    </row>
    <row r="2579" spans="1:6" ht="20.25">
      <c r="A2579" s="49"/>
      <c r="B2579" s="47" t="s">
        <v>728</v>
      </c>
      <c r="C2579" s="47">
        <v>215</v>
      </c>
      <c r="D2579" s="47" t="s">
        <v>72</v>
      </c>
      <c r="E2579" s="12">
        <v>46137</v>
      </c>
      <c r="F2579" s="20">
        <f t="shared" si="40"/>
        <v>46113</v>
      </c>
    </row>
    <row r="2580" spans="1:6" ht="20.25">
      <c r="A2580" s="49"/>
      <c r="B2580" s="47" t="s">
        <v>1148</v>
      </c>
      <c r="C2580" s="47">
        <v>69</v>
      </c>
      <c r="D2580" s="47" t="s">
        <v>160</v>
      </c>
      <c r="E2580" s="12">
        <v>46137</v>
      </c>
      <c r="F2580" s="20">
        <f t="shared" si="40"/>
        <v>46113</v>
      </c>
    </row>
    <row r="2581" spans="1:6" ht="20.25">
      <c r="A2581" s="49"/>
      <c r="B2581" s="47" t="s">
        <v>1046</v>
      </c>
      <c r="C2581" s="47">
        <v>82</v>
      </c>
      <c r="D2581" s="47" t="s">
        <v>160</v>
      </c>
      <c r="E2581" s="12">
        <v>46137</v>
      </c>
      <c r="F2581" s="20">
        <f t="shared" si="40"/>
        <v>46113</v>
      </c>
    </row>
    <row r="2582" spans="1:6" ht="20.25">
      <c r="A2582" s="49"/>
      <c r="B2582" s="47" t="s">
        <v>1106</v>
      </c>
      <c r="C2582" s="47">
        <v>162</v>
      </c>
      <c r="D2582" s="47" t="s">
        <v>160</v>
      </c>
      <c r="E2582" s="12">
        <v>46137</v>
      </c>
      <c r="F2582" s="20">
        <f t="shared" si="40"/>
        <v>46113</v>
      </c>
    </row>
    <row r="2583" spans="1:6" ht="20.25">
      <c r="A2583" s="49"/>
      <c r="B2583" s="47" t="s">
        <v>1361</v>
      </c>
      <c r="C2583" s="47">
        <v>28</v>
      </c>
      <c r="D2583" s="47" t="s">
        <v>160</v>
      </c>
      <c r="E2583" s="12">
        <v>46137</v>
      </c>
      <c r="F2583" s="20">
        <f t="shared" si="40"/>
        <v>46113</v>
      </c>
    </row>
    <row r="2584" spans="1:6" ht="20.25">
      <c r="A2584" s="49"/>
      <c r="B2584" s="47" t="s">
        <v>835</v>
      </c>
      <c r="C2584" s="47">
        <v>199</v>
      </c>
      <c r="D2584" s="47" t="s">
        <v>160</v>
      </c>
      <c r="E2584" s="12">
        <v>46137</v>
      </c>
      <c r="F2584" s="20">
        <f t="shared" si="40"/>
        <v>46113</v>
      </c>
    </row>
    <row r="2585" spans="1:6" ht="20.25">
      <c r="A2585" s="49"/>
      <c r="B2585" s="47" t="s">
        <v>835</v>
      </c>
      <c r="C2585" s="47">
        <v>8</v>
      </c>
      <c r="D2585" s="47" t="s">
        <v>160</v>
      </c>
      <c r="E2585" s="12">
        <v>46137</v>
      </c>
      <c r="F2585" s="20">
        <f t="shared" si="40"/>
        <v>46113</v>
      </c>
    </row>
    <row r="2586" spans="1:6" ht="20.25">
      <c r="A2586" s="49"/>
      <c r="B2586" s="47" t="s">
        <v>1259</v>
      </c>
      <c r="C2586" s="47">
        <v>24</v>
      </c>
      <c r="D2586" s="47" t="s">
        <v>95</v>
      </c>
      <c r="E2586" s="12">
        <v>46137</v>
      </c>
      <c r="F2586" s="20">
        <f t="shared" si="40"/>
        <v>46113</v>
      </c>
    </row>
    <row r="2587" spans="1:6" ht="20.25">
      <c r="A2587" s="49"/>
      <c r="B2587" s="47" t="s">
        <v>1145</v>
      </c>
      <c r="C2587" s="47">
        <v>87</v>
      </c>
      <c r="D2587" s="47" t="s">
        <v>95</v>
      </c>
      <c r="E2587" s="12">
        <v>46137</v>
      </c>
      <c r="F2587" s="20">
        <f t="shared" si="40"/>
        <v>46113</v>
      </c>
    </row>
    <row r="2588" spans="1:6" ht="20.25">
      <c r="A2588" s="49"/>
      <c r="B2588" s="47" t="s">
        <v>1145</v>
      </c>
      <c r="C2588" s="47">
        <v>168</v>
      </c>
      <c r="D2588" s="47" t="s">
        <v>95</v>
      </c>
      <c r="E2588" s="12">
        <v>46137</v>
      </c>
      <c r="F2588" s="20">
        <f t="shared" si="40"/>
        <v>46113</v>
      </c>
    </row>
    <row r="2589" spans="1:6" ht="20.25">
      <c r="A2589" s="49"/>
      <c r="B2589" s="47" t="s">
        <v>810</v>
      </c>
      <c r="C2589" s="47">
        <v>69</v>
      </c>
      <c r="D2589" s="47" t="s">
        <v>95</v>
      </c>
      <c r="E2589" s="12">
        <v>46137</v>
      </c>
      <c r="F2589" s="20">
        <f t="shared" si="40"/>
        <v>46113</v>
      </c>
    </row>
    <row r="2590" spans="1:6" ht="20.25">
      <c r="A2590" s="49"/>
      <c r="B2590" s="47" t="s">
        <v>813</v>
      </c>
      <c r="C2590" s="47">
        <v>88</v>
      </c>
      <c r="D2590" s="47" t="s">
        <v>95</v>
      </c>
      <c r="E2590" s="12">
        <v>46137</v>
      </c>
      <c r="F2590" s="20">
        <f t="shared" si="40"/>
        <v>46113</v>
      </c>
    </row>
    <row r="2591" spans="1:6" ht="20.25">
      <c r="A2591" s="49"/>
      <c r="B2591" s="47" t="s">
        <v>603</v>
      </c>
      <c r="C2591" s="47">
        <v>238</v>
      </c>
      <c r="D2591" s="47" t="s">
        <v>63</v>
      </c>
      <c r="E2591" s="12">
        <v>46137</v>
      </c>
      <c r="F2591" s="20">
        <f t="shared" si="40"/>
        <v>46113</v>
      </c>
    </row>
    <row r="2592" spans="1:6" ht="20.25">
      <c r="A2592" s="49"/>
      <c r="B2592" s="47" t="s">
        <v>1091</v>
      </c>
      <c r="C2592" s="47">
        <v>626</v>
      </c>
      <c r="D2592" s="47" t="s">
        <v>63</v>
      </c>
      <c r="E2592" s="12">
        <v>46137</v>
      </c>
      <c r="F2592" s="20">
        <f t="shared" si="40"/>
        <v>46113</v>
      </c>
    </row>
    <row r="2593" spans="1:6" ht="20.25">
      <c r="A2593" s="49"/>
      <c r="B2593" s="47" t="s">
        <v>882</v>
      </c>
      <c r="C2593" s="47">
        <v>66</v>
      </c>
      <c r="D2593" s="47" t="s">
        <v>63</v>
      </c>
      <c r="E2593" s="12">
        <v>46137</v>
      </c>
      <c r="F2593" s="20">
        <f t="shared" si="40"/>
        <v>46113</v>
      </c>
    </row>
    <row r="2594" spans="1:6" ht="20.25">
      <c r="A2594" s="49"/>
      <c r="B2594" s="47" t="s">
        <v>717</v>
      </c>
      <c r="C2594" s="47">
        <v>102</v>
      </c>
      <c r="D2594" s="47" t="s">
        <v>63</v>
      </c>
      <c r="E2594" s="12">
        <v>46137</v>
      </c>
      <c r="F2594" s="20">
        <f t="shared" si="40"/>
        <v>46113</v>
      </c>
    </row>
    <row r="2595" spans="1:6" ht="20.25">
      <c r="A2595" s="49"/>
      <c r="B2595" s="47" t="s">
        <v>1546</v>
      </c>
      <c r="C2595" s="47">
        <v>334</v>
      </c>
      <c r="D2595" s="47" t="s">
        <v>63</v>
      </c>
      <c r="E2595" s="12">
        <v>46137</v>
      </c>
      <c r="F2595" s="20">
        <f t="shared" si="40"/>
        <v>46113</v>
      </c>
    </row>
    <row r="2596" spans="1:6" ht="20.25">
      <c r="A2596" s="49"/>
      <c r="B2596" s="47" t="s">
        <v>971</v>
      </c>
      <c r="C2596" s="47">
        <v>143</v>
      </c>
      <c r="D2596" s="47" t="s">
        <v>62</v>
      </c>
      <c r="E2596" s="12">
        <v>46137</v>
      </c>
      <c r="F2596" s="20">
        <f t="shared" si="40"/>
        <v>46113</v>
      </c>
    </row>
    <row r="2597" spans="1:6" ht="20.25">
      <c r="A2597" s="49"/>
      <c r="B2597" s="47" t="s">
        <v>971</v>
      </c>
      <c r="C2597" s="47">
        <v>270</v>
      </c>
      <c r="D2597" s="47" t="s">
        <v>62</v>
      </c>
      <c r="E2597" s="12">
        <v>46137</v>
      </c>
      <c r="F2597" s="20">
        <f t="shared" si="40"/>
        <v>46113</v>
      </c>
    </row>
    <row r="2598" spans="1:6" ht="20.25">
      <c r="A2598" s="49"/>
      <c r="B2598" s="47" t="s">
        <v>1130</v>
      </c>
      <c r="C2598" s="47">
        <v>43</v>
      </c>
      <c r="D2598" s="47" t="s">
        <v>62</v>
      </c>
      <c r="E2598" s="12">
        <v>46137</v>
      </c>
      <c r="F2598" s="20">
        <f t="shared" si="40"/>
        <v>46113</v>
      </c>
    </row>
    <row r="2599" spans="1:6" ht="20.25">
      <c r="A2599" s="49"/>
      <c r="B2599" s="47" t="s">
        <v>1130</v>
      </c>
      <c r="C2599" s="47">
        <v>1</v>
      </c>
      <c r="D2599" s="47" t="s">
        <v>62</v>
      </c>
      <c r="E2599" s="12">
        <v>46137</v>
      </c>
      <c r="F2599" s="20">
        <f t="shared" si="40"/>
        <v>46113</v>
      </c>
    </row>
    <row r="2600" spans="1:6" ht="20.25">
      <c r="A2600" s="49"/>
      <c r="B2600" s="47" t="s">
        <v>690</v>
      </c>
      <c r="C2600" s="47">
        <v>24</v>
      </c>
      <c r="D2600" s="47" t="s">
        <v>62</v>
      </c>
      <c r="E2600" s="12">
        <v>46137</v>
      </c>
      <c r="F2600" s="20">
        <f t="shared" si="40"/>
        <v>46113</v>
      </c>
    </row>
    <row r="2601" spans="1:6" ht="20.25">
      <c r="A2601" s="49"/>
      <c r="B2601" s="47" t="s">
        <v>796</v>
      </c>
      <c r="C2601" s="47">
        <v>63</v>
      </c>
      <c r="D2601" s="47" t="s">
        <v>62</v>
      </c>
      <c r="E2601" s="12">
        <v>46137</v>
      </c>
      <c r="F2601" s="20">
        <f t="shared" si="40"/>
        <v>46113</v>
      </c>
    </row>
    <row r="2602" spans="1:6" ht="20.25">
      <c r="A2602" s="49"/>
      <c r="B2602" s="47" t="s">
        <v>1598</v>
      </c>
      <c r="C2602" s="47">
        <v>42</v>
      </c>
      <c r="D2602" s="47" t="s">
        <v>62</v>
      </c>
      <c r="E2602" s="12">
        <v>46137</v>
      </c>
      <c r="F2602" s="20">
        <f t="shared" si="40"/>
        <v>46113</v>
      </c>
    </row>
    <row r="2603" spans="1:6" ht="20.25">
      <c r="A2603" s="49"/>
      <c r="B2603" s="47" t="s">
        <v>1598</v>
      </c>
      <c r="C2603" s="47">
        <v>116</v>
      </c>
      <c r="D2603" s="47" t="s">
        <v>62</v>
      </c>
      <c r="E2603" s="12">
        <v>46137</v>
      </c>
      <c r="F2603" s="20">
        <f t="shared" si="40"/>
        <v>46113</v>
      </c>
    </row>
    <row r="2604" spans="1:6" ht="20.25">
      <c r="A2604" s="49"/>
      <c r="B2604" s="47" t="s">
        <v>1263</v>
      </c>
      <c r="C2604" s="47">
        <v>70</v>
      </c>
      <c r="D2604" s="47" t="s">
        <v>62</v>
      </c>
      <c r="E2604" s="12">
        <v>46137</v>
      </c>
      <c r="F2604" s="20">
        <f t="shared" si="40"/>
        <v>46113</v>
      </c>
    </row>
    <row r="2605" spans="1:6" ht="20.25">
      <c r="A2605" s="49"/>
      <c r="B2605" s="47" t="s">
        <v>630</v>
      </c>
      <c r="C2605" s="47">
        <v>152</v>
      </c>
      <c r="D2605" s="47" t="s">
        <v>62</v>
      </c>
      <c r="E2605" s="12">
        <v>46137</v>
      </c>
      <c r="F2605" s="20">
        <f t="shared" si="40"/>
        <v>46113</v>
      </c>
    </row>
    <row r="2606" spans="1:6" ht="20.25">
      <c r="A2606" s="49"/>
      <c r="B2606" s="47" t="s">
        <v>630</v>
      </c>
      <c r="C2606" s="47">
        <v>42</v>
      </c>
      <c r="D2606" s="47" t="s">
        <v>62</v>
      </c>
      <c r="E2606" s="12">
        <v>46137</v>
      </c>
      <c r="F2606" s="20">
        <f t="shared" si="40"/>
        <v>46113</v>
      </c>
    </row>
    <row r="2607" spans="1:6" ht="20.25">
      <c r="A2607" s="49"/>
      <c r="B2607" s="47" t="s">
        <v>1531</v>
      </c>
      <c r="C2607" s="47">
        <v>32</v>
      </c>
      <c r="D2607" s="47" t="s">
        <v>62</v>
      </c>
      <c r="E2607" s="12">
        <v>46137</v>
      </c>
      <c r="F2607" s="20">
        <f t="shared" si="40"/>
        <v>46113</v>
      </c>
    </row>
    <row r="2608" spans="1:6" ht="20.25">
      <c r="A2608" s="49"/>
      <c r="B2608" s="47" t="s">
        <v>833</v>
      </c>
      <c r="C2608" s="47">
        <v>332</v>
      </c>
      <c r="D2608" s="47" t="s">
        <v>62</v>
      </c>
      <c r="E2608" s="12">
        <v>46137</v>
      </c>
      <c r="F2608" s="20">
        <f t="shared" si="40"/>
        <v>46113</v>
      </c>
    </row>
    <row r="2609" spans="1:6" ht="20.25">
      <c r="A2609" s="49"/>
      <c r="B2609" s="47" t="s">
        <v>711</v>
      </c>
      <c r="C2609" s="47">
        <v>193</v>
      </c>
      <c r="D2609" s="47" t="s">
        <v>62</v>
      </c>
      <c r="E2609" s="12">
        <v>46137</v>
      </c>
      <c r="F2609" s="20">
        <f t="shared" si="40"/>
        <v>46113</v>
      </c>
    </row>
    <row r="2610" spans="1:6" ht="20.25">
      <c r="A2610" s="49"/>
      <c r="B2610" s="47" t="s">
        <v>1119</v>
      </c>
      <c r="C2610" s="47">
        <v>233</v>
      </c>
      <c r="D2610" s="47" t="s">
        <v>62</v>
      </c>
      <c r="E2610" s="12">
        <v>46137</v>
      </c>
      <c r="F2610" s="20">
        <f t="shared" si="40"/>
        <v>46113</v>
      </c>
    </row>
    <row r="2611" spans="1:6" ht="20.25">
      <c r="A2611" s="49"/>
      <c r="B2611" s="47" t="s">
        <v>798</v>
      </c>
      <c r="C2611" s="47">
        <v>148</v>
      </c>
      <c r="D2611" s="47" t="s">
        <v>62</v>
      </c>
      <c r="E2611" s="12">
        <v>46137</v>
      </c>
      <c r="F2611" s="20">
        <f t="shared" si="40"/>
        <v>46113</v>
      </c>
    </row>
    <row r="2612" spans="1:6" ht="20.25">
      <c r="A2612" s="49"/>
      <c r="B2612" s="47" t="s">
        <v>798</v>
      </c>
      <c r="C2612" s="47">
        <v>374</v>
      </c>
      <c r="D2612" s="47" t="s">
        <v>62</v>
      </c>
      <c r="E2612" s="12">
        <v>46137</v>
      </c>
      <c r="F2612" s="20">
        <f t="shared" si="40"/>
        <v>46113</v>
      </c>
    </row>
    <row r="2613" spans="1:6" ht="20.25">
      <c r="A2613" s="49"/>
      <c r="B2613" s="47" t="s">
        <v>646</v>
      </c>
      <c r="C2613" s="47">
        <v>26</v>
      </c>
      <c r="D2613" s="47" t="s">
        <v>55</v>
      </c>
      <c r="E2613" s="12">
        <v>46137</v>
      </c>
      <c r="F2613" s="20">
        <f t="shared" si="40"/>
        <v>46113</v>
      </c>
    </row>
    <row r="2614" spans="1:6" ht="20.25">
      <c r="A2614" s="49"/>
      <c r="B2614" s="47" t="s">
        <v>630</v>
      </c>
      <c r="C2614" s="47">
        <v>137</v>
      </c>
      <c r="D2614" s="47" t="s">
        <v>55</v>
      </c>
      <c r="E2614" s="12">
        <v>46137</v>
      </c>
      <c r="F2614" s="20">
        <f t="shared" si="40"/>
        <v>46113</v>
      </c>
    </row>
    <row r="2615" spans="1:6" ht="20.25">
      <c r="A2615" s="49"/>
      <c r="B2615" s="47" t="s">
        <v>765</v>
      </c>
      <c r="C2615" s="47">
        <v>31</v>
      </c>
      <c r="D2615" s="47" t="s">
        <v>55</v>
      </c>
      <c r="E2615" s="12">
        <v>46137</v>
      </c>
      <c r="F2615" s="20">
        <f t="shared" si="40"/>
        <v>46113</v>
      </c>
    </row>
    <row r="2616" spans="1:6" ht="20.25">
      <c r="A2616" s="49"/>
      <c r="B2616" s="47" t="s">
        <v>884</v>
      </c>
      <c r="C2616" s="47">
        <v>20</v>
      </c>
      <c r="D2616" s="47" t="s">
        <v>55</v>
      </c>
      <c r="E2616" s="12">
        <v>46137</v>
      </c>
      <c r="F2616" s="20">
        <f t="shared" si="40"/>
        <v>46113</v>
      </c>
    </row>
    <row r="2617" spans="1:6" ht="20.25">
      <c r="A2617" s="49"/>
      <c r="B2617" s="47" t="s">
        <v>1017</v>
      </c>
      <c r="C2617" s="47">
        <v>50</v>
      </c>
      <c r="D2617" s="47" t="s">
        <v>55</v>
      </c>
      <c r="E2617" s="12">
        <v>46137</v>
      </c>
      <c r="F2617" s="20">
        <f t="shared" si="40"/>
        <v>46113</v>
      </c>
    </row>
    <row r="2618" spans="1:6" ht="20.25">
      <c r="A2618" s="49"/>
      <c r="B2618" s="47" t="s">
        <v>640</v>
      </c>
      <c r="C2618" s="47">
        <v>71</v>
      </c>
      <c r="D2618" s="47" t="s">
        <v>55</v>
      </c>
      <c r="E2618" s="12">
        <v>46137</v>
      </c>
      <c r="F2618" s="20">
        <f t="shared" si="40"/>
        <v>46113</v>
      </c>
    </row>
    <row r="2619" spans="1:6" ht="20.25">
      <c r="A2619" s="49"/>
      <c r="B2619" s="47" t="s">
        <v>700</v>
      </c>
      <c r="C2619" s="47">
        <v>117</v>
      </c>
      <c r="D2619" s="47" t="s">
        <v>114</v>
      </c>
      <c r="E2619" s="12">
        <v>46137</v>
      </c>
      <c r="F2619" s="20">
        <f t="shared" si="40"/>
        <v>46113</v>
      </c>
    </row>
    <row r="2620" spans="1:6" ht="20.25">
      <c r="A2620" s="49"/>
      <c r="B2620" s="47" t="s">
        <v>1359</v>
      </c>
      <c r="C2620" s="47">
        <v>421</v>
      </c>
      <c r="D2620" s="47" t="s">
        <v>114</v>
      </c>
      <c r="E2620" s="12">
        <v>46137</v>
      </c>
      <c r="F2620" s="20">
        <f t="shared" si="40"/>
        <v>46113</v>
      </c>
    </row>
    <row r="2621" spans="1:6" ht="20.25">
      <c r="A2621" s="49"/>
      <c r="B2621" s="47" t="s">
        <v>1272</v>
      </c>
      <c r="C2621" s="47">
        <v>345</v>
      </c>
      <c r="D2621" s="47" t="s">
        <v>114</v>
      </c>
      <c r="E2621" s="12">
        <v>46137</v>
      </c>
      <c r="F2621" s="20">
        <f t="shared" si="40"/>
        <v>46113</v>
      </c>
    </row>
    <row r="2622" spans="1:6" ht="20.25">
      <c r="A2622" s="49"/>
      <c r="B2622" s="47" t="s">
        <v>1139</v>
      </c>
      <c r="C2622" s="47">
        <v>39</v>
      </c>
      <c r="D2622" s="47" t="s">
        <v>114</v>
      </c>
      <c r="E2622" s="12">
        <v>46137</v>
      </c>
      <c r="F2622" s="20">
        <f t="shared" si="40"/>
        <v>46113</v>
      </c>
    </row>
    <row r="2623" spans="1:6" ht="20.25">
      <c r="A2623" s="49"/>
      <c r="B2623" s="47" t="s">
        <v>1139</v>
      </c>
      <c r="C2623" s="47">
        <v>40</v>
      </c>
      <c r="D2623" s="47" t="s">
        <v>114</v>
      </c>
      <c r="E2623" s="12">
        <v>46137</v>
      </c>
      <c r="F2623" s="20">
        <f t="shared" si="40"/>
        <v>46113</v>
      </c>
    </row>
    <row r="2624" spans="1:6" ht="20.25">
      <c r="A2624" s="49"/>
      <c r="B2624" s="47" t="s">
        <v>700</v>
      </c>
      <c r="C2624" s="47">
        <v>42</v>
      </c>
      <c r="D2624" s="47" t="s">
        <v>114</v>
      </c>
      <c r="E2624" s="12">
        <v>46137</v>
      </c>
      <c r="F2624" s="20">
        <f t="shared" si="40"/>
        <v>46113</v>
      </c>
    </row>
    <row r="2625" spans="1:6" ht="20.25">
      <c r="A2625" s="49"/>
      <c r="B2625" s="47" t="s">
        <v>665</v>
      </c>
      <c r="C2625" s="47">
        <v>333</v>
      </c>
      <c r="D2625" s="47" t="s">
        <v>97</v>
      </c>
      <c r="E2625" s="12">
        <v>46137</v>
      </c>
      <c r="F2625" s="20">
        <f t="shared" si="40"/>
        <v>46113</v>
      </c>
    </row>
    <row r="2626" spans="1:6" ht="20.25">
      <c r="A2626" s="49"/>
      <c r="B2626" s="47" t="s">
        <v>749</v>
      </c>
      <c r="C2626" s="47">
        <v>68</v>
      </c>
      <c r="D2626" s="47" t="s">
        <v>82</v>
      </c>
      <c r="E2626" s="12">
        <v>46137</v>
      </c>
      <c r="F2626" s="20">
        <f t="shared" ref="F2626:F2689" si="41">EOMONTH(E2626,-1)+1</f>
        <v>46113</v>
      </c>
    </row>
    <row r="2627" spans="1:6" ht="20.25">
      <c r="A2627" s="49"/>
      <c r="B2627" s="47" t="s">
        <v>1329</v>
      </c>
      <c r="C2627" s="47">
        <v>109</v>
      </c>
      <c r="D2627" s="47" t="s">
        <v>82</v>
      </c>
      <c r="E2627" s="12">
        <v>46137</v>
      </c>
      <c r="F2627" s="20">
        <f t="shared" si="41"/>
        <v>46113</v>
      </c>
    </row>
    <row r="2628" spans="1:6" ht="20.25">
      <c r="A2628" s="49"/>
      <c r="B2628" s="47" t="s">
        <v>697</v>
      </c>
      <c r="C2628" s="47">
        <v>493</v>
      </c>
      <c r="D2628" s="47" t="s">
        <v>82</v>
      </c>
      <c r="E2628" s="12">
        <v>46137</v>
      </c>
      <c r="F2628" s="20">
        <f t="shared" si="41"/>
        <v>46113</v>
      </c>
    </row>
    <row r="2629" spans="1:6" ht="20.25">
      <c r="A2629" s="49"/>
      <c r="B2629" s="47" t="s">
        <v>807</v>
      </c>
      <c r="C2629" s="47">
        <v>174</v>
      </c>
      <c r="D2629" s="47" t="s">
        <v>82</v>
      </c>
      <c r="E2629" s="12">
        <v>46137</v>
      </c>
      <c r="F2629" s="20">
        <f t="shared" si="41"/>
        <v>46113</v>
      </c>
    </row>
    <row r="2630" spans="1:6" ht="20.25">
      <c r="A2630" s="49"/>
      <c r="B2630" s="47" t="s">
        <v>1438</v>
      </c>
      <c r="C2630" s="47">
        <v>104</v>
      </c>
      <c r="D2630" s="47" t="s">
        <v>82</v>
      </c>
      <c r="E2630" s="12">
        <v>46137</v>
      </c>
      <c r="F2630" s="20">
        <f t="shared" si="41"/>
        <v>46113</v>
      </c>
    </row>
    <row r="2631" spans="1:6" ht="20.25">
      <c r="A2631" s="49"/>
      <c r="B2631" s="47" t="s">
        <v>611</v>
      </c>
      <c r="C2631" s="47">
        <v>2</v>
      </c>
      <c r="D2631" s="47" t="s">
        <v>63</v>
      </c>
      <c r="E2631" s="12">
        <v>46137</v>
      </c>
      <c r="F2631" s="20">
        <f t="shared" si="41"/>
        <v>46113</v>
      </c>
    </row>
    <row r="2632" spans="1:6" ht="20.25">
      <c r="A2632" s="49"/>
      <c r="B2632" s="47" t="s">
        <v>611</v>
      </c>
      <c r="C2632" s="47">
        <v>61</v>
      </c>
      <c r="D2632" s="47" t="s">
        <v>63</v>
      </c>
      <c r="E2632" s="12">
        <v>46137</v>
      </c>
      <c r="F2632" s="20">
        <f t="shared" si="41"/>
        <v>46113</v>
      </c>
    </row>
    <row r="2633" spans="1:6" ht="20.25">
      <c r="A2633" s="49"/>
      <c r="B2633" s="47" t="s">
        <v>611</v>
      </c>
      <c r="C2633" s="47">
        <v>206</v>
      </c>
      <c r="D2633" s="47" t="s">
        <v>63</v>
      </c>
      <c r="E2633" s="12">
        <v>46137</v>
      </c>
      <c r="F2633" s="20">
        <f t="shared" si="41"/>
        <v>46113</v>
      </c>
    </row>
    <row r="2634" spans="1:6" ht="20.25">
      <c r="A2634" s="49"/>
      <c r="B2634" s="47" t="s">
        <v>655</v>
      </c>
      <c r="C2634" s="47">
        <v>694</v>
      </c>
      <c r="D2634" s="47" t="s">
        <v>55</v>
      </c>
      <c r="E2634" s="12">
        <v>46137</v>
      </c>
      <c r="F2634" s="20">
        <f t="shared" si="41"/>
        <v>46113</v>
      </c>
    </row>
    <row r="2635" spans="1:6" ht="20.25">
      <c r="A2635" s="49"/>
      <c r="B2635" s="47" t="s">
        <v>935</v>
      </c>
      <c r="C2635" s="47">
        <v>179</v>
      </c>
      <c r="D2635" s="47" t="s">
        <v>72</v>
      </c>
      <c r="E2635" s="12">
        <v>46137</v>
      </c>
      <c r="F2635" s="20">
        <f t="shared" si="41"/>
        <v>46113</v>
      </c>
    </row>
    <row r="2636" spans="1:6" ht="20.25">
      <c r="A2636" s="49"/>
      <c r="B2636" s="47" t="s">
        <v>615</v>
      </c>
      <c r="C2636" s="47">
        <v>231</v>
      </c>
      <c r="D2636" s="47" t="s">
        <v>82</v>
      </c>
      <c r="E2636" s="12">
        <v>46137</v>
      </c>
      <c r="F2636" s="20">
        <f t="shared" si="41"/>
        <v>46113</v>
      </c>
    </row>
    <row r="2637" spans="1:6" ht="20.25">
      <c r="A2637" s="49"/>
      <c r="B2637" s="47" t="s">
        <v>1156</v>
      </c>
      <c r="C2637" s="47">
        <v>377</v>
      </c>
      <c r="D2637" s="47" t="s">
        <v>82</v>
      </c>
      <c r="E2637" s="12">
        <v>46137</v>
      </c>
      <c r="F2637" s="20">
        <f t="shared" si="41"/>
        <v>46113</v>
      </c>
    </row>
    <row r="2638" spans="1:6" ht="20.25">
      <c r="A2638" s="49"/>
      <c r="B2638" s="47" t="s">
        <v>655</v>
      </c>
      <c r="C2638" s="47">
        <v>209</v>
      </c>
      <c r="D2638" s="47" t="s">
        <v>82</v>
      </c>
      <c r="E2638" s="12">
        <v>46137</v>
      </c>
      <c r="F2638" s="20">
        <f t="shared" si="41"/>
        <v>46113</v>
      </c>
    </row>
    <row r="2639" spans="1:6" ht="20.25">
      <c r="A2639" s="49"/>
      <c r="B2639" s="47" t="s">
        <v>1595</v>
      </c>
      <c r="C2639" s="47">
        <v>165</v>
      </c>
      <c r="D2639" s="47" t="s">
        <v>95</v>
      </c>
      <c r="E2639" s="12">
        <v>46137</v>
      </c>
      <c r="F2639" s="20">
        <f t="shared" si="41"/>
        <v>46113</v>
      </c>
    </row>
    <row r="2640" spans="1:6" ht="20.25">
      <c r="A2640" s="49"/>
      <c r="B2640" s="47" t="s">
        <v>1033</v>
      </c>
      <c r="C2640" s="47">
        <v>32</v>
      </c>
      <c r="D2640" s="47" t="s">
        <v>95</v>
      </c>
      <c r="E2640" s="12">
        <v>46137</v>
      </c>
      <c r="F2640" s="20">
        <f t="shared" si="41"/>
        <v>46113</v>
      </c>
    </row>
    <row r="2641" spans="1:6" ht="20.25">
      <c r="A2641" s="49"/>
      <c r="B2641" s="47" t="s">
        <v>1161</v>
      </c>
      <c r="C2641" s="47">
        <v>41</v>
      </c>
      <c r="D2641" s="47" t="s">
        <v>95</v>
      </c>
      <c r="E2641" s="12">
        <v>46137</v>
      </c>
      <c r="F2641" s="20">
        <f t="shared" si="41"/>
        <v>46113</v>
      </c>
    </row>
    <row r="2642" spans="1:6" ht="20.25">
      <c r="A2642" s="49"/>
      <c r="B2642" s="47" t="s">
        <v>1590</v>
      </c>
      <c r="C2642" s="47">
        <v>138</v>
      </c>
      <c r="D2642" s="47" t="s">
        <v>95</v>
      </c>
      <c r="E2642" s="12">
        <v>46137</v>
      </c>
      <c r="F2642" s="20">
        <f t="shared" si="41"/>
        <v>46113</v>
      </c>
    </row>
    <row r="2643" spans="1:6" ht="20.25">
      <c r="A2643" s="49"/>
      <c r="B2643" s="47" t="s">
        <v>939</v>
      </c>
      <c r="C2643" s="47">
        <v>34</v>
      </c>
      <c r="D2643" s="47" t="s">
        <v>95</v>
      </c>
      <c r="E2643" s="12">
        <v>46137</v>
      </c>
      <c r="F2643" s="20">
        <f t="shared" si="41"/>
        <v>46113</v>
      </c>
    </row>
    <row r="2644" spans="1:6" ht="20.25">
      <c r="A2644" s="49"/>
      <c r="B2644" s="47" t="s">
        <v>1095</v>
      </c>
      <c r="C2644" s="47">
        <v>102</v>
      </c>
      <c r="D2644" s="47" t="s">
        <v>95</v>
      </c>
      <c r="E2644" s="12">
        <v>46137</v>
      </c>
      <c r="F2644" s="20">
        <f t="shared" si="41"/>
        <v>46113</v>
      </c>
    </row>
    <row r="2645" spans="1:6" ht="20.25">
      <c r="A2645" s="49"/>
      <c r="B2645" s="47" t="s">
        <v>1042</v>
      </c>
      <c r="C2645" s="47">
        <v>181</v>
      </c>
      <c r="D2645" s="47" t="s">
        <v>95</v>
      </c>
      <c r="E2645" s="12">
        <v>46137</v>
      </c>
      <c r="F2645" s="20">
        <f t="shared" si="41"/>
        <v>46113</v>
      </c>
    </row>
    <row r="2646" spans="1:6" ht="20.25">
      <c r="A2646" s="49"/>
      <c r="B2646" s="47" t="s">
        <v>966</v>
      </c>
      <c r="C2646" s="47">
        <v>42</v>
      </c>
      <c r="D2646" s="47" t="s">
        <v>95</v>
      </c>
      <c r="E2646" s="12">
        <v>46137</v>
      </c>
      <c r="F2646" s="20">
        <f t="shared" si="41"/>
        <v>46113</v>
      </c>
    </row>
    <row r="2647" spans="1:6" ht="20.25">
      <c r="A2647" s="49"/>
      <c r="B2647" s="47" t="s">
        <v>840</v>
      </c>
      <c r="C2647" s="47">
        <v>600</v>
      </c>
      <c r="D2647" s="47" t="s">
        <v>72</v>
      </c>
      <c r="E2647" s="12">
        <v>46137</v>
      </c>
      <c r="F2647" s="20">
        <f t="shared" si="41"/>
        <v>46113</v>
      </c>
    </row>
    <row r="2648" spans="1:6" ht="20.25">
      <c r="A2648" s="49"/>
      <c r="B2648" s="47" t="s">
        <v>1457</v>
      </c>
      <c r="C2648" s="47">
        <v>3</v>
      </c>
      <c r="D2648" s="47" t="s">
        <v>72</v>
      </c>
      <c r="E2648" s="12">
        <v>46137</v>
      </c>
      <c r="F2648" s="20">
        <f t="shared" si="41"/>
        <v>46113</v>
      </c>
    </row>
    <row r="2649" spans="1:6" ht="20.25">
      <c r="A2649" s="49"/>
      <c r="B2649" s="47" t="s">
        <v>914</v>
      </c>
      <c r="C2649" s="47">
        <v>25</v>
      </c>
      <c r="D2649" s="47" t="s">
        <v>95</v>
      </c>
      <c r="E2649" s="12">
        <v>46137</v>
      </c>
      <c r="F2649" s="20">
        <f t="shared" si="41"/>
        <v>46113</v>
      </c>
    </row>
    <row r="2650" spans="1:6" ht="20.25">
      <c r="A2650" s="49"/>
      <c r="B2650" s="47" t="s">
        <v>1436</v>
      </c>
      <c r="C2650" s="47">
        <v>37</v>
      </c>
      <c r="D2650" s="47" t="s">
        <v>95</v>
      </c>
      <c r="E2650" s="12">
        <v>46137</v>
      </c>
      <c r="F2650" s="20">
        <f t="shared" si="41"/>
        <v>46113</v>
      </c>
    </row>
    <row r="2651" spans="1:6" ht="20.25">
      <c r="A2651" s="49"/>
      <c r="B2651" s="47" t="s">
        <v>1351</v>
      </c>
      <c r="C2651" s="47">
        <v>54</v>
      </c>
      <c r="D2651" s="47" t="s">
        <v>95</v>
      </c>
      <c r="E2651" s="12">
        <v>46137</v>
      </c>
      <c r="F2651" s="20">
        <f t="shared" si="41"/>
        <v>46113</v>
      </c>
    </row>
    <row r="2652" spans="1:6" ht="20.25">
      <c r="A2652" s="49"/>
      <c r="B2652" s="47" t="s">
        <v>700</v>
      </c>
      <c r="C2652" s="47">
        <v>258</v>
      </c>
      <c r="D2652" s="47" t="s">
        <v>114</v>
      </c>
      <c r="E2652" s="12">
        <v>46137</v>
      </c>
      <c r="F2652" s="20">
        <f t="shared" si="41"/>
        <v>46113</v>
      </c>
    </row>
    <row r="2653" spans="1:6" ht="20.25">
      <c r="A2653" s="49"/>
      <c r="B2653" s="47" t="s">
        <v>726</v>
      </c>
      <c r="C2653" s="47">
        <v>100</v>
      </c>
      <c r="D2653" s="47" t="s">
        <v>114</v>
      </c>
      <c r="E2653" s="12">
        <v>46137</v>
      </c>
      <c r="F2653" s="20">
        <f t="shared" si="41"/>
        <v>46113</v>
      </c>
    </row>
    <row r="2654" spans="1:6" ht="20.25">
      <c r="A2654" s="49"/>
      <c r="B2654" s="47" t="s">
        <v>1596</v>
      </c>
      <c r="C2654" s="47">
        <v>314</v>
      </c>
      <c r="D2654" s="47" t="s">
        <v>66</v>
      </c>
      <c r="E2654" s="12">
        <v>46137</v>
      </c>
      <c r="F2654" s="20">
        <f t="shared" si="41"/>
        <v>46113</v>
      </c>
    </row>
    <row r="2655" spans="1:6" ht="20.25">
      <c r="A2655" s="49"/>
      <c r="B2655" s="47" t="s">
        <v>1597</v>
      </c>
      <c r="C2655" s="47">
        <v>266</v>
      </c>
      <c r="D2655" s="47" t="s">
        <v>66</v>
      </c>
      <c r="E2655" s="12">
        <v>46137</v>
      </c>
      <c r="F2655" s="20">
        <f t="shared" si="41"/>
        <v>46113</v>
      </c>
    </row>
    <row r="2656" spans="1:6" ht="20.25">
      <c r="A2656" s="49"/>
      <c r="B2656" s="47" t="s">
        <v>1597</v>
      </c>
      <c r="C2656" s="47">
        <v>138</v>
      </c>
      <c r="D2656" s="47" t="s">
        <v>66</v>
      </c>
      <c r="E2656" s="12">
        <v>46137</v>
      </c>
      <c r="F2656" s="20">
        <f t="shared" si="41"/>
        <v>46113</v>
      </c>
    </row>
    <row r="2657" spans="1:6" ht="20.25">
      <c r="A2657" s="49"/>
      <c r="B2657" s="47" t="s">
        <v>1423</v>
      </c>
      <c r="C2657" s="47">
        <v>255</v>
      </c>
      <c r="D2657" s="47" t="s">
        <v>66</v>
      </c>
      <c r="E2657" s="12">
        <v>46137</v>
      </c>
      <c r="F2657" s="20">
        <f t="shared" si="41"/>
        <v>46113</v>
      </c>
    </row>
    <row r="2658" spans="1:6" ht="20.25">
      <c r="A2658" s="49"/>
      <c r="B2658" s="47" t="s">
        <v>1423</v>
      </c>
      <c r="C2658" s="47">
        <v>95</v>
      </c>
      <c r="D2658" s="47" t="s">
        <v>66</v>
      </c>
      <c r="E2658" s="12">
        <v>46137</v>
      </c>
      <c r="F2658" s="20">
        <f t="shared" si="41"/>
        <v>46113</v>
      </c>
    </row>
    <row r="2659" spans="1:6" ht="20.25">
      <c r="A2659" s="49"/>
      <c r="B2659" s="47" t="s">
        <v>1137</v>
      </c>
      <c r="C2659" s="47">
        <v>604</v>
      </c>
      <c r="D2659" s="47" t="s">
        <v>66</v>
      </c>
      <c r="E2659" s="12">
        <v>46137</v>
      </c>
      <c r="F2659" s="20">
        <f t="shared" si="41"/>
        <v>46113</v>
      </c>
    </row>
    <row r="2660" spans="1:6" ht="20.25">
      <c r="A2660" s="49"/>
      <c r="B2660" s="47" t="s">
        <v>936</v>
      </c>
      <c r="C2660" s="47">
        <v>235</v>
      </c>
      <c r="D2660" s="47" t="s">
        <v>66</v>
      </c>
      <c r="E2660" s="12">
        <v>46137</v>
      </c>
      <c r="F2660" s="20">
        <f t="shared" si="41"/>
        <v>46113</v>
      </c>
    </row>
    <row r="2661" spans="1:6" ht="20.25">
      <c r="A2661" s="49"/>
      <c r="B2661" s="47" t="s">
        <v>789</v>
      </c>
      <c r="C2661" s="47">
        <v>113</v>
      </c>
      <c r="D2661" s="47" t="s">
        <v>97</v>
      </c>
      <c r="E2661" s="12">
        <v>46137</v>
      </c>
      <c r="F2661" s="20">
        <f t="shared" si="41"/>
        <v>46113</v>
      </c>
    </row>
    <row r="2662" spans="1:6" ht="20.25">
      <c r="A2662" s="49"/>
      <c r="B2662" s="47" t="s">
        <v>789</v>
      </c>
      <c r="C2662" s="47">
        <v>56</v>
      </c>
      <c r="D2662" s="47" t="s">
        <v>97</v>
      </c>
      <c r="E2662" s="12">
        <v>46137</v>
      </c>
      <c r="F2662" s="20">
        <f t="shared" si="41"/>
        <v>46113</v>
      </c>
    </row>
    <row r="2663" spans="1:6" ht="20.25">
      <c r="A2663" s="49"/>
      <c r="B2663" s="47" t="s">
        <v>789</v>
      </c>
      <c r="C2663" s="47">
        <v>105</v>
      </c>
      <c r="D2663" s="47" t="s">
        <v>97</v>
      </c>
      <c r="E2663" s="12">
        <v>46137</v>
      </c>
      <c r="F2663" s="20">
        <f t="shared" si="41"/>
        <v>46113</v>
      </c>
    </row>
    <row r="2664" spans="1:6" ht="20.25">
      <c r="A2664" s="49"/>
      <c r="B2664" s="47" t="s">
        <v>954</v>
      </c>
      <c r="C2664" s="47">
        <v>90</v>
      </c>
      <c r="D2664" s="47" t="s">
        <v>97</v>
      </c>
      <c r="E2664" s="12">
        <v>46137</v>
      </c>
      <c r="F2664" s="20">
        <f t="shared" si="41"/>
        <v>46113</v>
      </c>
    </row>
    <row r="2665" spans="1:6" ht="20.25">
      <c r="A2665" s="49"/>
      <c r="B2665" s="47" t="s">
        <v>954</v>
      </c>
      <c r="C2665" s="47">
        <v>53</v>
      </c>
      <c r="D2665" s="47" t="s">
        <v>97</v>
      </c>
      <c r="E2665" s="12">
        <v>46137</v>
      </c>
      <c r="F2665" s="20">
        <f t="shared" si="41"/>
        <v>46113</v>
      </c>
    </row>
    <row r="2666" spans="1:6" ht="20.25">
      <c r="A2666" s="49"/>
      <c r="B2666" s="47" t="s">
        <v>954</v>
      </c>
      <c r="C2666" s="47">
        <v>108</v>
      </c>
      <c r="D2666" s="47" t="s">
        <v>97</v>
      </c>
      <c r="E2666" s="12">
        <v>46137</v>
      </c>
      <c r="F2666" s="20">
        <f t="shared" si="41"/>
        <v>46113</v>
      </c>
    </row>
    <row r="2667" spans="1:6" ht="20.25">
      <c r="A2667" s="49"/>
      <c r="B2667" s="47" t="s">
        <v>1046</v>
      </c>
      <c r="C2667" s="47">
        <v>95</v>
      </c>
      <c r="D2667" s="47" t="s">
        <v>97</v>
      </c>
      <c r="E2667" s="12">
        <v>46137</v>
      </c>
      <c r="F2667" s="20">
        <f t="shared" si="41"/>
        <v>46113</v>
      </c>
    </row>
    <row r="2668" spans="1:6" ht="20.25">
      <c r="A2668" s="49"/>
      <c r="B2668" s="47" t="s">
        <v>732</v>
      </c>
      <c r="C2668" s="47">
        <v>61</v>
      </c>
      <c r="D2668" s="47" t="s">
        <v>97</v>
      </c>
      <c r="E2668" s="12">
        <v>46137</v>
      </c>
      <c r="F2668" s="20">
        <f t="shared" si="41"/>
        <v>46113</v>
      </c>
    </row>
    <row r="2669" spans="1:6" ht="20.25">
      <c r="A2669" s="49"/>
      <c r="B2669" s="47" t="s">
        <v>732</v>
      </c>
      <c r="C2669" s="47">
        <v>53</v>
      </c>
      <c r="D2669" s="47" t="s">
        <v>97</v>
      </c>
      <c r="E2669" s="12">
        <v>46137</v>
      </c>
      <c r="F2669" s="20">
        <f t="shared" si="41"/>
        <v>46113</v>
      </c>
    </row>
    <row r="2670" spans="1:6" ht="20.25">
      <c r="A2670" s="49"/>
      <c r="B2670" s="47" t="s">
        <v>732</v>
      </c>
      <c r="C2670" s="47">
        <v>32</v>
      </c>
      <c r="D2670" s="47" t="s">
        <v>97</v>
      </c>
      <c r="E2670" s="12">
        <v>46137</v>
      </c>
      <c r="F2670" s="20">
        <f t="shared" si="41"/>
        <v>46113</v>
      </c>
    </row>
    <row r="2671" spans="1:6" ht="20.25">
      <c r="A2671" s="49"/>
      <c r="B2671" s="47" t="s">
        <v>827</v>
      </c>
      <c r="C2671" s="47">
        <v>31</v>
      </c>
      <c r="D2671" s="47" t="s">
        <v>97</v>
      </c>
      <c r="E2671" s="12">
        <v>46137</v>
      </c>
      <c r="F2671" s="20">
        <f t="shared" si="41"/>
        <v>46113</v>
      </c>
    </row>
    <row r="2672" spans="1:6" ht="20.25">
      <c r="A2672" s="49"/>
      <c r="B2672" s="47" t="s">
        <v>1102</v>
      </c>
      <c r="C2672" s="47">
        <v>47</v>
      </c>
      <c r="D2672" s="47" t="s">
        <v>97</v>
      </c>
      <c r="E2672" s="12">
        <v>46137</v>
      </c>
      <c r="F2672" s="20">
        <f t="shared" si="41"/>
        <v>46113</v>
      </c>
    </row>
    <row r="2673" spans="1:6" ht="20.25">
      <c r="A2673" s="49"/>
      <c r="B2673" s="47" t="s">
        <v>722</v>
      </c>
      <c r="C2673" s="47">
        <v>63</v>
      </c>
      <c r="D2673" s="47" t="s">
        <v>97</v>
      </c>
      <c r="E2673" s="12">
        <v>46137</v>
      </c>
      <c r="F2673" s="20">
        <f t="shared" si="41"/>
        <v>46113</v>
      </c>
    </row>
    <row r="2674" spans="1:6" ht="20.25">
      <c r="A2674" s="49"/>
      <c r="B2674" s="47" t="s">
        <v>1348</v>
      </c>
      <c r="C2674" s="47">
        <v>31</v>
      </c>
      <c r="D2674" s="47" t="s">
        <v>97</v>
      </c>
      <c r="E2674" s="12">
        <v>46137</v>
      </c>
      <c r="F2674" s="20">
        <f t="shared" si="41"/>
        <v>46113</v>
      </c>
    </row>
    <row r="2675" spans="1:6" ht="20.25">
      <c r="A2675" s="49"/>
      <c r="B2675" s="47" t="s">
        <v>790</v>
      </c>
      <c r="C2675" s="47">
        <v>29</v>
      </c>
      <c r="D2675" s="47" t="s">
        <v>97</v>
      </c>
      <c r="E2675" s="12">
        <v>46137</v>
      </c>
      <c r="F2675" s="20">
        <f t="shared" si="41"/>
        <v>46113</v>
      </c>
    </row>
    <row r="2676" spans="1:6" ht="20.25">
      <c r="A2676" s="49"/>
      <c r="B2676" s="47" t="s">
        <v>1476</v>
      </c>
      <c r="C2676" s="47">
        <v>24</v>
      </c>
      <c r="D2676" s="47" t="s">
        <v>97</v>
      </c>
      <c r="E2676" s="12">
        <v>46137</v>
      </c>
      <c r="F2676" s="20">
        <f t="shared" si="41"/>
        <v>46113</v>
      </c>
    </row>
    <row r="2677" spans="1:6" ht="20.25">
      <c r="A2677" s="49"/>
      <c r="B2677" s="47" t="s">
        <v>1473</v>
      </c>
      <c r="C2677" s="47">
        <v>19</v>
      </c>
      <c r="D2677" s="47" t="s">
        <v>97</v>
      </c>
      <c r="E2677" s="12">
        <v>46137</v>
      </c>
      <c r="F2677" s="20">
        <f t="shared" si="41"/>
        <v>46113</v>
      </c>
    </row>
    <row r="2678" spans="1:6" ht="20.25">
      <c r="A2678" s="49"/>
      <c r="B2678" s="47" t="s">
        <v>655</v>
      </c>
      <c r="C2678" s="47">
        <v>985</v>
      </c>
      <c r="D2678" s="47" t="s">
        <v>95</v>
      </c>
      <c r="E2678" s="12">
        <v>46137</v>
      </c>
      <c r="F2678" s="20">
        <f t="shared" si="41"/>
        <v>46113</v>
      </c>
    </row>
    <row r="2679" spans="1:6" ht="20.25">
      <c r="A2679" s="49"/>
      <c r="B2679" s="47" t="s">
        <v>905</v>
      </c>
      <c r="C2679" s="47">
        <v>7</v>
      </c>
      <c r="D2679" s="47" t="s">
        <v>133</v>
      </c>
      <c r="E2679" s="12">
        <v>46137</v>
      </c>
      <c r="F2679" s="20">
        <f t="shared" si="41"/>
        <v>46113</v>
      </c>
    </row>
    <row r="2680" spans="1:6" ht="20.25">
      <c r="A2680" s="49"/>
      <c r="B2680" s="47" t="s">
        <v>705</v>
      </c>
      <c r="C2680" s="47">
        <v>87</v>
      </c>
      <c r="D2680" s="47" t="s">
        <v>133</v>
      </c>
      <c r="E2680" s="12">
        <v>46137</v>
      </c>
      <c r="F2680" s="20">
        <f t="shared" si="41"/>
        <v>46113</v>
      </c>
    </row>
    <row r="2681" spans="1:6" ht="20.25">
      <c r="A2681" s="49"/>
      <c r="B2681" s="47" t="s">
        <v>736</v>
      </c>
      <c r="C2681" s="47">
        <v>2</v>
      </c>
      <c r="D2681" s="47" t="s">
        <v>1484</v>
      </c>
      <c r="E2681" s="12">
        <v>46137</v>
      </c>
      <c r="F2681" s="20">
        <f t="shared" si="41"/>
        <v>46113</v>
      </c>
    </row>
    <row r="2682" spans="1:6" ht="20.25">
      <c r="A2682" s="49"/>
      <c r="B2682" s="47" t="s">
        <v>770</v>
      </c>
      <c r="C2682" s="47">
        <v>11</v>
      </c>
      <c r="D2682" s="47" t="s">
        <v>1484</v>
      </c>
      <c r="E2682" s="12">
        <v>46137</v>
      </c>
      <c r="F2682" s="20">
        <f t="shared" si="41"/>
        <v>46113</v>
      </c>
    </row>
    <row r="2683" spans="1:6" ht="20.25">
      <c r="A2683" s="49"/>
      <c r="B2683" s="47" t="s">
        <v>1603</v>
      </c>
      <c r="C2683" s="47">
        <v>3</v>
      </c>
      <c r="D2683" s="47" t="s">
        <v>133</v>
      </c>
      <c r="E2683" s="12">
        <v>46137</v>
      </c>
      <c r="F2683" s="20">
        <f t="shared" si="41"/>
        <v>46113</v>
      </c>
    </row>
    <row r="2684" spans="1:6" ht="20.25">
      <c r="A2684" s="49"/>
      <c r="B2684" s="47" t="s">
        <v>734</v>
      </c>
      <c r="C2684" s="47">
        <v>2</v>
      </c>
      <c r="D2684" s="47" t="s">
        <v>1484</v>
      </c>
      <c r="E2684" s="12">
        <v>46137</v>
      </c>
      <c r="F2684" s="20">
        <f t="shared" si="41"/>
        <v>46113</v>
      </c>
    </row>
    <row r="2685" spans="1:6" ht="20.25">
      <c r="A2685" s="49"/>
      <c r="B2685" s="47" t="s">
        <v>1360</v>
      </c>
      <c r="C2685" s="47">
        <v>54</v>
      </c>
      <c r="D2685" s="47" t="s">
        <v>133</v>
      </c>
      <c r="E2685" s="12">
        <v>46137</v>
      </c>
      <c r="F2685" s="20">
        <f t="shared" si="41"/>
        <v>46113</v>
      </c>
    </row>
    <row r="2686" spans="1:6" ht="20.25">
      <c r="A2686" s="49"/>
      <c r="B2686" s="47" t="s">
        <v>817</v>
      </c>
      <c r="C2686" s="47">
        <v>52</v>
      </c>
      <c r="D2686" s="47" t="s">
        <v>133</v>
      </c>
      <c r="E2686" s="12">
        <v>46137</v>
      </c>
      <c r="F2686" s="20">
        <f t="shared" si="41"/>
        <v>46113</v>
      </c>
    </row>
    <row r="2687" spans="1:6" ht="20.25">
      <c r="A2687" s="49"/>
      <c r="B2687" s="47" t="s">
        <v>1549</v>
      </c>
      <c r="C2687" s="47">
        <v>491</v>
      </c>
      <c r="D2687" s="47" t="s">
        <v>1484</v>
      </c>
      <c r="E2687" s="12">
        <v>46137</v>
      </c>
      <c r="F2687" s="20">
        <f t="shared" si="41"/>
        <v>46113</v>
      </c>
    </row>
    <row r="2688" spans="1:6" ht="20.25">
      <c r="A2688" s="49"/>
      <c r="B2688" s="47" t="s">
        <v>906</v>
      </c>
      <c r="C2688" s="47">
        <v>7</v>
      </c>
      <c r="D2688" s="47" t="s">
        <v>133</v>
      </c>
      <c r="E2688" s="12">
        <v>46137</v>
      </c>
      <c r="F2688" s="20">
        <f t="shared" si="41"/>
        <v>46113</v>
      </c>
    </row>
    <row r="2689" spans="1:6" ht="20.25">
      <c r="A2689" s="49"/>
      <c r="B2689" s="47" t="s">
        <v>1331</v>
      </c>
      <c r="C2689" s="47">
        <v>60</v>
      </c>
      <c r="D2689" s="47" t="s">
        <v>55</v>
      </c>
      <c r="E2689" s="12">
        <v>46137</v>
      </c>
      <c r="F2689" s="20">
        <f t="shared" si="41"/>
        <v>46113</v>
      </c>
    </row>
    <row r="2690" spans="1:6" ht="20.25">
      <c r="A2690" s="49"/>
      <c r="B2690" s="47" t="s">
        <v>947</v>
      </c>
      <c r="C2690" s="47">
        <v>38</v>
      </c>
      <c r="D2690" s="47" t="s">
        <v>55</v>
      </c>
      <c r="E2690" s="12">
        <v>46137</v>
      </c>
      <c r="F2690" s="20">
        <f t="shared" ref="F2690:F2753" si="42">EOMONTH(E2690,-1)+1</f>
        <v>46113</v>
      </c>
    </row>
    <row r="2691" spans="1:6" ht="20.25">
      <c r="A2691" s="49"/>
      <c r="B2691" s="47" t="s">
        <v>1023</v>
      </c>
      <c r="C2691" s="47">
        <v>162</v>
      </c>
      <c r="D2691" s="47" t="s">
        <v>97</v>
      </c>
      <c r="E2691" s="12">
        <v>46137</v>
      </c>
      <c r="F2691" s="20">
        <f t="shared" si="42"/>
        <v>46113</v>
      </c>
    </row>
    <row r="2692" spans="1:6" ht="20.25">
      <c r="A2692" s="49"/>
      <c r="B2692" s="47" t="s">
        <v>1023</v>
      </c>
      <c r="C2692" s="47">
        <v>147</v>
      </c>
      <c r="D2692" s="47" t="s">
        <v>97</v>
      </c>
      <c r="E2692" s="12">
        <v>46137</v>
      </c>
      <c r="F2692" s="20">
        <f t="shared" si="42"/>
        <v>46113</v>
      </c>
    </row>
    <row r="2693" spans="1:6" ht="20.25">
      <c r="A2693" s="49"/>
      <c r="B2693" s="47" t="s">
        <v>1549</v>
      </c>
      <c r="C2693" s="47">
        <v>989</v>
      </c>
      <c r="D2693" s="47" t="s">
        <v>55</v>
      </c>
      <c r="E2693" s="12">
        <v>46137</v>
      </c>
      <c r="F2693" s="20">
        <f t="shared" si="42"/>
        <v>46113</v>
      </c>
    </row>
    <row r="2694" spans="1:6" ht="20.25">
      <c r="A2694" s="49"/>
      <c r="B2694" s="47" t="s">
        <v>1049</v>
      </c>
      <c r="C2694" s="47">
        <v>27</v>
      </c>
      <c r="D2694" s="47" t="s">
        <v>97</v>
      </c>
      <c r="E2694" s="12">
        <v>46137</v>
      </c>
      <c r="F2694" s="20">
        <f t="shared" si="42"/>
        <v>46113</v>
      </c>
    </row>
    <row r="2695" spans="1:6" ht="20.25">
      <c r="A2695" s="49"/>
      <c r="B2695" s="47" t="s">
        <v>752</v>
      </c>
      <c r="C2695" s="47">
        <v>43</v>
      </c>
      <c r="D2695" s="47" t="s">
        <v>63</v>
      </c>
      <c r="E2695" s="12">
        <v>46137</v>
      </c>
      <c r="F2695" s="20">
        <f t="shared" si="42"/>
        <v>46113</v>
      </c>
    </row>
    <row r="2696" spans="1:6" ht="20.25">
      <c r="A2696" s="49"/>
      <c r="B2696" s="47" t="s">
        <v>806</v>
      </c>
      <c r="C2696" s="47">
        <v>112</v>
      </c>
      <c r="D2696" s="47" t="s">
        <v>63</v>
      </c>
      <c r="E2696" s="12">
        <v>46137</v>
      </c>
      <c r="F2696" s="20">
        <f t="shared" si="42"/>
        <v>46113</v>
      </c>
    </row>
    <row r="2697" spans="1:6" ht="20.25">
      <c r="A2697" s="49"/>
      <c r="B2697" s="47" t="s">
        <v>754</v>
      </c>
      <c r="C2697" s="47">
        <v>238</v>
      </c>
      <c r="D2697" s="47" t="s">
        <v>63</v>
      </c>
      <c r="E2697" s="12">
        <v>46137</v>
      </c>
      <c r="F2697" s="20">
        <f t="shared" si="42"/>
        <v>46113</v>
      </c>
    </row>
    <row r="2698" spans="1:6" ht="20.25">
      <c r="A2698" s="49"/>
      <c r="B2698" s="47" t="s">
        <v>819</v>
      </c>
      <c r="C2698" s="47">
        <v>1000</v>
      </c>
      <c r="D2698" s="47" t="s">
        <v>55</v>
      </c>
      <c r="E2698" s="12">
        <v>46137</v>
      </c>
      <c r="F2698" s="20">
        <f t="shared" si="42"/>
        <v>46113</v>
      </c>
    </row>
    <row r="2699" spans="1:6" ht="20.25">
      <c r="A2699" s="49"/>
      <c r="B2699" s="47" t="s">
        <v>816</v>
      </c>
      <c r="C2699" s="47">
        <v>-1</v>
      </c>
      <c r="D2699" s="47" t="s">
        <v>55</v>
      </c>
      <c r="E2699" s="12">
        <v>46137</v>
      </c>
      <c r="F2699" s="20">
        <f t="shared" si="42"/>
        <v>46113</v>
      </c>
    </row>
    <row r="2700" spans="1:6" ht="20.25">
      <c r="A2700" s="49"/>
      <c r="B2700" s="47" t="s">
        <v>1079</v>
      </c>
      <c r="C2700" s="47">
        <v>-4</v>
      </c>
      <c r="D2700" s="47" t="s">
        <v>114</v>
      </c>
      <c r="E2700" s="12">
        <v>46137</v>
      </c>
      <c r="F2700" s="20">
        <f t="shared" si="42"/>
        <v>46113</v>
      </c>
    </row>
    <row r="2701" spans="1:6" ht="20.25">
      <c r="A2701" s="49"/>
      <c r="B2701" s="47" t="s">
        <v>655</v>
      </c>
      <c r="C2701" s="47">
        <v>605</v>
      </c>
      <c r="D2701" s="47" t="s">
        <v>72</v>
      </c>
      <c r="E2701" s="12">
        <v>46139</v>
      </c>
      <c r="F2701" s="20">
        <f t="shared" si="42"/>
        <v>46113</v>
      </c>
    </row>
    <row r="2702" spans="1:6" ht="20.25">
      <c r="A2702" s="49"/>
      <c r="B2702" s="47" t="s">
        <v>712</v>
      </c>
      <c r="C2702" s="47">
        <v>98</v>
      </c>
      <c r="D2702" s="47" t="s">
        <v>72</v>
      </c>
      <c r="E2702" s="12">
        <v>46139</v>
      </c>
      <c r="F2702" s="20">
        <f t="shared" si="42"/>
        <v>46113</v>
      </c>
    </row>
    <row r="2703" spans="1:6" ht="20.25">
      <c r="A2703" s="49"/>
      <c r="B2703" s="47" t="s">
        <v>840</v>
      </c>
      <c r="C2703" s="47">
        <v>287</v>
      </c>
      <c r="D2703" s="47" t="s">
        <v>72</v>
      </c>
      <c r="E2703" s="12">
        <v>46139</v>
      </c>
      <c r="F2703" s="20">
        <f t="shared" si="42"/>
        <v>46113</v>
      </c>
    </row>
    <row r="2704" spans="1:6" ht="20.25">
      <c r="A2704" s="49"/>
      <c r="B2704" s="47" t="s">
        <v>709</v>
      </c>
      <c r="C2704" s="47">
        <v>64</v>
      </c>
      <c r="D2704" s="47" t="s">
        <v>72</v>
      </c>
      <c r="E2704" s="12">
        <v>46139</v>
      </c>
      <c r="F2704" s="20">
        <f t="shared" si="42"/>
        <v>46113</v>
      </c>
    </row>
    <row r="2705" spans="1:6" ht="20.25">
      <c r="A2705" s="49"/>
      <c r="B2705" s="47" t="s">
        <v>709</v>
      </c>
      <c r="C2705" s="47">
        <v>75</v>
      </c>
      <c r="D2705" s="47" t="s">
        <v>72</v>
      </c>
      <c r="E2705" s="12">
        <v>46139</v>
      </c>
      <c r="F2705" s="20">
        <f t="shared" si="42"/>
        <v>46113</v>
      </c>
    </row>
    <row r="2706" spans="1:6" ht="20.25">
      <c r="A2706" s="49"/>
      <c r="B2706" s="47" t="s">
        <v>832</v>
      </c>
      <c r="C2706" s="47">
        <v>39</v>
      </c>
      <c r="D2706" s="47" t="s">
        <v>72</v>
      </c>
      <c r="E2706" s="12">
        <v>46139</v>
      </c>
      <c r="F2706" s="20">
        <f t="shared" si="42"/>
        <v>46113</v>
      </c>
    </row>
    <row r="2707" spans="1:6" ht="20.25">
      <c r="A2707" s="49"/>
      <c r="B2707" s="47" t="s">
        <v>933</v>
      </c>
      <c r="C2707" s="47">
        <v>299</v>
      </c>
      <c r="D2707" s="47" t="s">
        <v>72</v>
      </c>
      <c r="E2707" s="12">
        <v>46139</v>
      </c>
      <c r="F2707" s="20">
        <f t="shared" si="42"/>
        <v>46113</v>
      </c>
    </row>
    <row r="2708" spans="1:6" ht="20.25">
      <c r="A2708" s="49"/>
      <c r="B2708" s="47" t="s">
        <v>1457</v>
      </c>
      <c r="C2708" s="47">
        <v>195</v>
      </c>
      <c r="D2708" s="47" t="s">
        <v>72</v>
      </c>
      <c r="E2708" s="12">
        <v>46139</v>
      </c>
      <c r="F2708" s="20">
        <f t="shared" si="42"/>
        <v>46113</v>
      </c>
    </row>
    <row r="2709" spans="1:6" ht="20.25">
      <c r="A2709" s="49"/>
      <c r="B2709" s="47" t="s">
        <v>1164</v>
      </c>
      <c r="C2709" s="47">
        <v>194</v>
      </c>
      <c r="D2709" s="47" t="s">
        <v>95</v>
      </c>
      <c r="E2709" s="12">
        <v>46139</v>
      </c>
      <c r="F2709" s="20">
        <f t="shared" si="42"/>
        <v>46113</v>
      </c>
    </row>
    <row r="2710" spans="1:6" ht="20.25">
      <c r="A2710" s="49"/>
      <c r="B2710" s="47" t="s">
        <v>603</v>
      </c>
      <c r="C2710" s="47">
        <v>85</v>
      </c>
      <c r="D2710" s="47" t="s">
        <v>95</v>
      </c>
      <c r="E2710" s="12">
        <v>46139</v>
      </c>
      <c r="F2710" s="20">
        <f t="shared" si="42"/>
        <v>46113</v>
      </c>
    </row>
    <row r="2711" spans="1:6" ht="20.25">
      <c r="A2711" s="49"/>
      <c r="B2711" s="47" t="s">
        <v>1247</v>
      </c>
      <c r="C2711" s="47">
        <v>193</v>
      </c>
      <c r="D2711" s="47" t="s">
        <v>95</v>
      </c>
      <c r="E2711" s="12">
        <v>46139</v>
      </c>
      <c r="F2711" s="20">
        <f t="shared" si="42"/>
        <v>46113</v>
      </c>
    </row>
    <row r="2712" spans="1:6" ht="20.25">
      <c r="A2712" s="49"/>
      <c r="B2712" s="47" t="s">
        <v>1165</v>
      </c>
      <c r="C2712" s="47">
        <v>94</v>
      </c>
      <c r="D2712" s="47" t="s">
        <v>95</v>
      </c>
      <c r="E2712" s="12">
        <v>46139</v>
      </c>
      <c r="F2712" s="20">
        <f t="shared" si="42"/>
        <v>46113</v>
      </c>
    </row>
    <row r="2713" spans="1:6" ht="20.25">
      <c r="A2713" s="49"/>
      <c r="B2713" s="47" t="s">
        <v>965</v>
      </c>
      <c r="C2713" s="47">
        <v>33</v>
      </c>
      <c r="D2713" s="47" t="s">
        <v>95</v>
      </c>
      <c r="E2713" s="12">
        <v>46139</v>
      </c>
      <c r="F2713" s="20">
        <f t="shared" si="42"/>
        <v>46113</v>
      </c>
    </row>
    <row r="2714" spans="1:6" ht="20.25">
      <c r="A2714" s="49"/>
      <c r="B2714" s="47" t="s">
        <v>1161</v>
      </c>
      <c r="C2714" s="47">
        <v>39</v>
      </c>
      <c r="D2714" s="47" t="s">
        <v>95</v>
      </c>
      <c r="E2714" s="12">
        <v>46139</v>
      </c>
      <c r="F2714" s="20">
        <f t="shared" si="42"/>
        <v>46113</v>
      </c>
    </row>
    <row r="2715" spans="1:6" ht="20.25">
      <c r="A2715" s="49"/>
      <c r="B2715" s="47" t="s">
        <v>707</v>
      </c>
      <c r="C2715" s="47">
        <v>816</v>
      </c>
      <c r="D2715" s="47" t="s">
        <v>95</v>
      </c>
      <c r="E2715" s="12">
        <v>46139</v>
      </c>
      <c r="F2715" s="20">
        <f t="shared" si="42"/>
        <v>46113</v>
      </c>
    </row>
    <row r="2716" spans="1:6" ht="20.25">
      <c r="A2716" s="49"/>
      <c r="B2716" s="47" t="s">
        <v>1358</v>
      </c>
      <c r="C2716" s="47">
        <v>57</v>
      </c>
      <c r="D2716" s="47" t="s">
        <v>95</v>
      </c>
      <c r="E2716" s="12">
        <v>46139</v>
      </c>
      <c r="F2716" s="20">
        <f t="shared" si="42"/>
        <v>46113</v>
      </c>
    </row>
    <row r="2717" spans="1:6" ht="20.25">
      <c r="A2717" s="49"/>
      <c r="B2717" s="47" t="s">
        <v>1118</v>
      </c>
      <c r="C2717" s="47">
        <v>367</v>
      </c>
      <c r="D2717" s="47" t="s">
        <v>72</v>
      </c>
      <c r="E2717" s="12">
        <v>46139</v>
      </c>
      <c r="F2717" s="20">
        <f t="shared" si="42"/>
        <v>46113</v>
      </c>
    </row>
    <row r="2718" spans="1:6" ht="20.25">
      <c r="A2718" s="49"/>
      <c r="B2718" s="47" t="s">
        <v>1133</v>
      </c>
      <c r="C2718" s="47">
        <v>41</v>
      </c>
      <c r="D2718" s="47" t="s">
        <v>62</v>
      </c>
      <c r="E2718" s="12">
        <v>46139</v>
      </c>
      <c r="F2718" s="20">
        <f t="shared" si="42"/>
        <v>46113</v>
      </c>
    </row>
    <row r="2719" spans="1:6" ht="20.25">
      <c r="A2719" s="49"/>
      <c r="B2719" s="47" t="s">
        <v>688</v>
      </c>
      <c r="C2719" s="47">
        <v>43</v>
      </c>
      <c r="D2719" s="47" t="s">
        <v>62</v>
      </c>
      <c r="E2719" s="12">
        <v>46139</v>
      </c>
      <c r="F2719" s="20">
        <f t="shared" si="42"/>
        <v>46113</v>
      </c>
    </row>
    <row r="2720" spans="1:6" ht="20.25">
      <c r="A2720" s="49"/>
      <c r="B2720" s="47" t="s">
        <v>938</v>
      </c>
      <c r="C2720" s="47">
        <v>66</v>
      </c>
      <c r="D2720" s="47" t="s">
        <v>62</v>
      </c>
      <c r="E2720" s="12">
        <v>46139</v>
      </c>
      <c r="F2720" s="20">
        <f t="shared" si="42"/>
        <v>46113</v>
      </c>
    </row>
    <row r="2721" spans="1:6" ht="20.25">
      <c r="A2721" s="49"/>
      <c r="B2721" s="47" t="s">
        <v>771</v>
      </c>
      <c r="C2721" s="47">
        <v>91</v>
      </c>
      <c r="D2721" s="47" t="s">
        <v>62</v>
      </c>
      <c r="E2721" s="12">
        <v>46139</v>
      </c>
      <c r="F2721" s="20">
        <f t="shared" si="42"/>
        <v>46113</v>
      </c>
    </row>
    <row r="2722" spans="1:6" ht="20.25">
      <c r="A2722" s="49"/>
      <c r="B2722" s="47" t="s">
        <v>1429</v>
      </c>
      <c r="C2722" s="47">
        <v>161</v>
      </c>
      <c r="D2722" s="47" t="s">
        <v>62</v>
      </c>
      <c r="E2722" s="12">
        <v>46139</v>
      </c>
      <c r="F2722" s="20">
        <f t="shared" si="42"/>
        <v>46113</v>
      </c>
    </row>
    <row r="2723" spans="1:6" ht="20.25">
      <c r="A2723" s="49"/>
      <c r="B2723" s="47" t="s">
        <v>742</v>
      </c>
      <c r="C2723" s="47">
        <v>30</v>
      </c>
      <c r="D2723" s="47" t="s">
        <v>62</v>
      </c>
      <c r="E2723" s="12">
        <v>46139</v>
      </c>
      <c r="F2723" s="20">
        <f t="shared" si="42"/>
        <v>46113</v>
      </c>
    </row>
    <row r="2724" spans="1:6" ht="20.25">
      <c r="A2724" s="49"/>
      <c r="B2724" s="47" t="s">
        <v>742</v>
      </c>
      <c r="C2724" s="47">
        <v>51</v>
      </c>
      <c r="D2724" s="47" t="s">
        <v>62</v>
      </c>
      <c r="E2724" s="12">
        <v>46139</v>
      </c>
      <c r="F2724" s="20">
        <f t="shared" si="42"/>
        <v>46113</v>
      </c>
    </row>
    <row r="2725" spans="1:6" ht="20.25">
      <c r="A2725" s="49"/>
      <c r="B2725" s="47" t="s">
        <v>612</v>
      </c>
      <c r="C2725" s="47">
        <v>350</v>
      </c>
      <c r="D2725" s="47" t="s">
        <v>62</v>
      </c>
      <c r="E2725" s="12">
        <v>46139</v>
      </c>
      <c r="F2725" s="20">
        <f t="shared" si="42"/>
        <v>46113</v>
      </c>
    </row>
    <row r="2726" spans="1:6" ht="20.25">
      <c r="A2726" s="49"/>
      <c r="B2726" s="47" t="s">
        <v>1598</v>
      </c>
      <c r="C2726" s="47">
        <v>606</v>
      </c>
      <c r="D2726" s="47" t="s">
        <v>62</v>
      </c>
      <c r="E2726" s="12">
        <v>46139</v>
      </c>
      <c r="F2726" s="20">
        <f t="shared" si="42"/>
        <v>46113</v>
      </c>
    </row>
    <row r="2727" spans="1:6" ht="20.25">
      <c r="A2727" s="49"/>
      <c r="B2727" s="47" t="s">
        <v>1594</v>
      </c>
      <c r="C2727" s="47">
        <v>956</v>
      </c>
      <c r="D2727" s="47" t="s">
        <v>62</v>
      </c>
      <c r="E2727" s="12">
        <v>46139</v>
      </c>
      <c r="F2727" s="20">
        <f t="shared" si="42"/>
        <v>46113</v>
      </c>
    </row>
    <row r="2728" spans="1:6" ht="20.25">
      <c r="A2728" s="49"/>
      <c r="B2728" s="47" t="s">
        <v>656</v>
      </c>
      <c r="C2728" s="47">
        <v>61</v>
      </c>
      <c r="D2728" s="47" t="s">
        <v>62</v>
      </c>
      <c r="E2728" s="12">
        <v>46139</v>
      </c>
      <c r="F2728" s="20">
        <f t="shared" si="42"/>
        <v>46113</v>
      </c>
    </row>
    <row r="2729" spans="1:6" ht="20.25">
      <c r="A2729" s="49"/>
      <c r="B2729" s="47" t="s">
        <v>656</v>
      </c>
      <c r="C2729" s="47">
        <v>50</v>
      </c>
      <c r="D2729" s="47" t="s">
        <v>62</v>
      </c>
      <c r="E2729" s="12">
        <v>46139</v>
      </c>
      <c r="F2729" s="20">
        <f t="shared" si="42"/>
        <v>46113</v>
      </c>
    </row>
    <row r="2730" spans="1:6" ht="20.25">
      <c r="A2730" s="49"/>
      <c r="B2730" s="47" t="s">
        <v>1336</v>
      </c>
      <c r="C2730" s="47">
        <v>167</v>
      </c>
      <c r="D2730" s="47" t="s">
        <v>72</v>
      </c>
      <c r="E2730" s="12">
        <v>46139</v>
      </c>
      <c r="F2730" s="20">
        <f t="shared" si="42"/>
        <v>46113</v>
      </c>
    </row>
    <row r="2731" spans="1:6" ht="20.25">
      <c r="A2731" s="49"/>
      <c r="B2731" s="47" t="s">
        <v>817</v>
      </c>
      <c r="C2731" s="47">
        <v>56</v>
      </c>
      <c r="D2731" s="47" t="s">
        <v>133</v>
      </c>
      <c r="E2731" s="12">
        <v>46139</v>
      </c>
      <c r="F2731" s="20">
        <f t="shared" si="42"/>
        <v>46113</v>
      </c>
    </row>
    <row r="2732" spans="1:6" ht="20.25">
      <c r="A2732" s="49"/>
      <c r="B2732" s="47" t="s">
        <v>1479</v>
      </c>
      <c r="C2732" s="47">
        <v>44</v>
      </c>
      <c r="D2732" s="47" t="s">
        <v>133</v>
      </c>
      <c r="E2732" s="12">
        <v>46139</v>
      </c>
      <c r="F2732" s="20">
        <f t="shared" si="42"/>
        <v>46113</v>
      </c>
    </row>
    <row r="2733" spans="1:6" ht="20.25">
      <c r="A2733" s="49"/>
      <c r="B2733" s="47" t="s">
        <v>1266</v>
      </c>
      <c r="C2733" s="47">
        <v>80</v>
      </c>
      <c r="D2733" s="47" t="s">
        <v>133</v>
      </c>
      <c r="E2733" s="12">
        <v>46139</v>
      </c>
      <c r="F2733" s="20">
        <f t="shared" si="42"/>
        <v>46113</v>
      </c>
    </row>
    <row r="2734" spans="1:6" ht="20.25">
      <c r="A2734" s="49"/>
      <c r="B2734" s="47" t="s">
        <v>1549</v>
      </c>
      <c r="C2734" s="47">
        <v>70</v>
      </c>
      <c r="D2734" s="47" t="s">
        <v>1484</v>
      </c>
      <c r="E2734" s="12">
        <v>46139</v>
      </c>
      <c r="F2734" s="20">
        <f t="shared" si="42"/>
        <v>46113</v>
      </c>
    </row>
    <row r="2735" spans="1:6" ht="20.25">
      <c r="A2735" s="49"/>
      <c r="B2735" s="47" t="s">
        <v>1549</v>
      </c>
      <c r="C2735" s="47">
        <v>466</v>
      </c>
      <c r="D2735" s="47" t="s">
        <v>1484</v>
      </c>
      <c r="E2735" s="12">
        <v>46139</v>
      </c>
      <c r="F2735" s="20">
        <f t="shared" si="42"/>
        <v>46113</v>
      </c>
    </row>
    <row r="2736" spans="1:6" ht="20.25">
      <c r="A2736" s="49"/>
      <c r="B2736" s="47" t="s">
        <v>1549</v>
      </c>
      <c r="C2736" s="47">
        <v>100</v>
      </c>
      <c r="D2736" s="47" t="s">
        <v>1484</v>
      </c>
      <c r="E2736" s="12">
        <v>46139</v>
      </c>
      <c r="F2736" s="20">
        <f t="shared" si="42"/>
        <v>46113</v>
      </c>
    </row>
    <row r="2737" spans="1:6" ht="20.25">
      <c r="A2737" s="49"/>
      <c r="B2737" s="47" t="s">
        <v>1549</v>
      </c>
      <c r="C2737" s="47">
        <v>412</v>
      </c>
      <c r="D2737" s="47" t="s">
        <v>1484</v>
      </c>
      <c r="E2737" s="12">
        <v>46139</v>
      </c>
      <c r="F2737" s="20">
        <f t="shared" si="42"/>
        <v>46113</v>
      </c>
    </row>
    <row r="2738" spans="1:6" ht="20.25">
      <c r="A2738" s="49"/>
      <c r="B2738" s="47" t="s">
        <v>997</v>
      </c>
      <c r="C2738" s="47">
        <v>111</v>
      </c>
      <c r="D2738" s="47" t="s">
        <v>95</v>
      </c>
      <c r="E2738" s="12">
        <v>46139</v>
      </c>
      <c r="F2738" s="20">
        <f t="shared" si="42"/>
        <v>46113</v>
      </c>
    </row>
    <row r="2739" spans="1:6" ht="20.25">
      <c r="A2739" s="49"/>
      <c r="B2739" s="47" t="s">
        <v>1114</v>
      </c>
      <c r="C2739" s="47">
        <v>131</v>
      </c>
      <c r="D2739" s="47" t="s">
        <v>95</v>
      </c>
      <c r="E2739" s="12">
        <v>46139</v>
      </c>
      <c r="F2739" s="20">
        <f t="shared" si="42"/>
        <v>46113</v>
      </c>
    </row>
    <row r="2740" spans="1:6" ht="20.25">
      <c r="A2740" s="49"/>
      <c r="B2740" s="47" t="s">
        <v>1096</v>
      </c>
      <c r="C2740" s="47">
        <v>270</v>
      </c>
      <c r="D2740" s="47" t="s">
        <v>95</v>
      </c>
      <c r="E2740" s="12">
        <v>46139</v>
      </c>
      <c r="F2740" s="20">
        <f t="shared" si="42"/>
        <v>46113</v>
      </c>
    </row>
    <row r="2741" spans="1:6" ht="20.25">
      <c r="A2741" s="49"/>
      <c r="B2741" s="47" t="s">
        <v>1360</v>
      </c>
      <c r="C2741" s="47">
        <v>19</v>
      </c>
      <c r="D2741" s="47" t="s">
        <v>133</v>
      </c>
      <c r="E2741" s="12">
        <v>46139</v>
      </c>
      <c r="F2741" s="20">
        <f t="shared" si="42"/>
        <v>46113</v>
      </c>
    </row>
    <row r="2742" spans="1:6" ht="20.25">
      <c r="A2742" s="49"/>
      <c r="B2742" s="47" t="s">
        <v>963</v>
      </c>
      <c r="C2742" s="47">
        <v>460</v>
      </c>
      <c r="D2742" s="47" t="s">
        <v>63</v>
      </c>
      <c r="E2742" s="12">
        <v>46139</v>
      </c>
      <c r="F2742" s="20">
        <f t="shared" si="42"/>
        <v>46113</v>
      </c>
    </row>
    <row r="2743" spans="1:6" ht="20.25">
      <c r="A2743" s="49"/>
      <c r="B2743" s="47" t="s">
        <v>963</v>
      </c>
      <c r="C2743" s="47">
        <v>770</v>
      </c>
      <c r="D2743" s="47" t="s">
        <v>63</v>
      </c>
      <c r="E2743" s="12">
        <v>46139</v>
      </c>
      <c r="F2743" s="20">
        <f t="shared" si="42"/>
        <v>46113</v>
      </c>
    </row>
    <row r="2744" spans="1:6" ht="20.25">
      <c r="A2744" s="49"/>
      <c r="B2744" s="47" t="s">
        <v>1365</v>
      </c>
      <c r="C2744" s="47">
        <v>150</v>
      </c>
      <c r="D2744" s="47" t="s">
        <v>63</v>
      </c>
      <c r="E2744" s="12">
        <v>46139</v>
      </c>
      <c r="F2744" s="20">
        <f t="shared" si="42"/>
        <v>46113</v>
      </c>
    </row>
    <row r="2745" spans="1:6" ht="20.25">
      <c r="A2745" s="49"/>
      <c r="B2745" s="47" t="s">
        <v>652</v>
      </c>
      <c r="C2745" s="47">
        <v>95</v>
      </c>
      <c r="D2745" s="47" t="s">
        <v>63</v>
      </c>
      <c r="E2745" s="12">
        <v>46139</v>
      </c>
      <c r="F2745" s="20">
        <f t="shared" si="42"/>
        <v>46113</v>
      </c>
    </row>
    <row r="2746" spans="1:6" ht="20.25">
      <c r="A2746" s="49"/>
      <c r="B2746" s="47" t="s">
        <v>652</v>
      </c>
      <c r="C2746" s="47">
        <v>33</v>
      </c>
      <c r="D2746" s="47" t="s">
        <v>63</v>
      </c>
      <c r="E2746" s="12">
        <v>46139</v>
      </c>
      <c r="F2746" s="20">
        <f t="shared" si="42"/>
        <v>46113</v>
      </c>
    </row>
    <row r="2747" spans="1:6" ht="20.25">
      <c r="A2747" s="49"/>
      <c r="B2747" s="47" t="s">
        <v>611</v>
      </c>
      <c r="C2747" s="47">
        <v>50</v>
      </c>
      <c r="D2747" s="47" t="s">
        <v>63</v>
      </c>
      <c r="E2747" s="12">
        <v>46139</v>
      </c>
      <c r="F2747" s="20">
        <f t="shared" si="42"/>
        <v>46113</v>
      </c>
    </row>
    <row r="2748" spans="1:6" ht="20.25">
      <c r="A2748" s="49"/>
      <c r="B2748" s="47" t="s">
        <v>883</v>
      </c>
      <c r="C2748" s="47">
        <v>0</v>
      </c>
      <c r="D2748" s="47" t="s">
        <v>63</v>
      </c>
      <c r="E2748" s="12">
        <v>46139</v>
      </c>
      <c r="F2748" s="20">
        <f t="shared" si="42"/>
        <v>46113</v>
      </c>
    </row>
    <row r="2749" spans="1:6" ht="20.25">
      <c r="A2749" s="49"/>
      <c r="B2749" s="47" t="s">
        <v>788</v>
      </c>
      <c r="C2749" s="47">
        <v>20</v>
      </c>
      <c r="D2749" s="47" t="s">
        <v>63</v>
      </c>
      <c r="E2749" s="12">
        <v>46139</v>
      </c>
      <c r="F2749" s="20">
        <f t="shared" si="42"/>
        <v>46113</v>
      </c>
    </row>
    <row r="2750" spans="1:6" ht="20.25">
      <c r="A2750" s="49"/>
      <c r="B2750" s="47" t="s">
        <v>825</v>
      </c>
      <c r="C2750" s="47">
        <v>32</v>
      </c>
      <c r="D2750" s="47" t="s">
        <v>63</v>
      </c>
      <c r="E2750" s="12">
        <v>46139</v>
      </c>
      <c r="F2750" s="20">
        <f t="shared" si="42"/>
        <v>46113</v>
      </c>
    </row>
    <row r="2751" spans="1:6" ht="20.25">
      <c r="A2751" s="49"/>
      <c r="B2751" s="47" t="s">
        <v>1546</v>
      </c>
      <c r="C2751" s="47">
        <v>50</v>
      </c>
      <c r="D2751" s="47" t="s">
        <v>63</v>
      </c>
      <c r="E2751" s="12">
        <v>46139</v>
      </c>
      <c r="F2751" s="20">
        <f t="shared" si="42"/>
        <v>46113</v>
      </c>
    </row>
    <row r="2752" spans="1:6" ht="20.25">
      <c r="A2752" s="49"/>
      <c r="B2752" s="47" t="s">
        <v>1091</v>
      </c>
      <c r="C2752" s="47">
        <v>80</v>
      </c>
      <c r="D2752" s="47" t="s">
        <v>63</v>
      </c>
      <c r="E2752" s="12">
        <v>46139</v>
      </c>
      <c r="F2752" s="20">
        <f t="shared" si="42"/>
        <v>46113</v>
      </c>
    </row>
    <row r="2753" spans="1:6" ht="20.25">
      <c r="A2753" s="49"/>
      <c r="B2753" s="47" t="s">
        <v>798</v>
      </c>
      <c r="C2753" s="47">
        <v>224</v>
      </c>
      <c r="D2753" s="47" t="s">
        <v>62</v>
      </c>
      <c r="E2753" s="12">
        <v>46139</v>
      </c>
      <c r="F2753" s="20">
        <f t="shared" si="42"/>
        <v>46113</v>
      </c>
    </row>
    <row r="2754" spans="1:6" ht="20.25">
      <c r="A2754" s="49"/>
      <c r="B2754" s="47" t="s">
        <v>816</v>
      </c>
      <c r="C2754" s="47">
        <v>36</v>
      </c>
      <c r="D2754" s="47" t="s">
        <v>55</v>
      </c>
      <c r="E2754" s="12">
        <v>46139</v>
      </c>
      <c r="F2754" s="20">
        <f t="shared" ref="F2754:F2817" si="43">EOMONTH(E2754,-1)+1</f>
        <v>46113</v>
      </c>
    </row>
    <row r="2755" spans="1:6" ht="20.25">
      <c r="A2755" s="49"/>
      <c r="B2755" s="47" t="s">
        <v>816</v>
      </c>
      <c r="C2755" s="47">
        <v>98</v>
      </c>
      <c r="D2755" s="47" t="s">
        <v>55</v>
      </c>
      <c r="E2755" s="12">
        <v>46139</v>
      </c>
      <c r="F2755" s="20">
        <f t="shared" si="43"/>
        <v>46113</v>
      </c>
    </row>
    <row r="2756" spans="1:6" ht="20.25">
      <c r="A2756" s="49"/>
      <c r="B2756" s="47" t="s">
        <v>1058</v>
      </c>
      <c r="C2756" s="47">
        <v>29</v>
      </c>
      <c r="D2756" s="47" t="s">
        <v>55</v>
      </c>
      <c r="E2756" s="12">
        <v>46139</v>
      </c>
      <c r="F2756" s="20">
        <f t="shared" si="43"/>
        <v>46113</v>
      </c>
    </row>
    <row r="2757" spans="1:6" ht="20.25">
      <c r="A2757" s="49"/>
      <c r="B2757" s="47" t="s">
        <v>982</v>
      </c>
      <c r="C2757" s="47">
        <v>131</v>
      </c>
      <c r="D2757" s="47" t="s">
        <v>55</v>
      </c>
      <c r="E2757" s="12">
        <v>46139</v>
      </c>
      <c r="F2757" s="20">
        <f t="shared" si="43"/>
        <v>46113</v>
      </c>
    </row>
    <row r="2758" spans="1:6" ht="20.25">
      <c r="A2758" s="49"/>
      <c r="B2758" s="47" t="s">
        <v>1284</v>
      </c>
      <c r="C2758" s="47">
        <v>90</v>
      </c>
      <c r="D2758" s="47" t="s">
        <v>55</v>
      </c>
      <c r="E2758" s="12">
        <v>46139</v>
      </c>
      <c r="F2758" s="20">
        <f t="shared" si="43"/>
        <v>46113</v>
      </c>
    </row>
    <row r="2759" spans="1:6" ht="20.25">
      <c r="A2759" s="49"/>
      <c r="B2759" s="47" t="s">
        <v>886</v>
      </c>
      <c r="C2759" s="47">
        <v>75</v>
      </c>
      <c r="D2759" s="47" t="s">
        <v>55</v>
      </c>
      <c r="E2759" s="12">
        <v>46139</v>
      </c>
      <c r="F2759" s="20">
        <f t="shared" si="43"/>
        <v>46113</v>
      </c>
    </row>
    <row r="2760" spans="1:6" ht="20.25">
      <c r="A2760" s="49"/>
      <c r="B2760" s="47" t="s">
        <v>627</v>
      </c>
      <c r="C2760" s="47">
        <v>51</v>
      </c>
      <c r="D2760" s="47" t="s">
        <v>55</v>
      </c>
      <c r="E2760" s="12">
        <v>46139</v>
      </c>
      <c r="F2760" s="20">
        <f t="shared" si="43"/>
        <v>46113</v>
      </c>
    </row>
    <row r="2761" spans="1:6" ht="20.25">
      <c r="A2761" s="49"/>
      <c r="B2761" s="47" t="s">
        <v>627</v>
      </c>
      <c r="C2761" s="47">
        <v>230</v>
      </c>
      <c r="D2761" s="47" t="s">
        <v>55</v>
      </c>
      <c r="E2761" s="12">
        <v>46139</v>
      </c>
      <c r="F2761" s="20">
        <f t="shared" si="43"/>
        <v>46113</v>
      </c>
    </row>
    <row r="2762" spans="1:6" ht="20.25">
      <c r="A2762" s="49"/>
      <c r="B2762" s="47" t="s">
        <v>865</v>
      </c>
      <c r="C2762" s="47">
        <v>325</v>
      </c>
      <c r="D2762" s="47" t="s">
        <v>55</v>
      </c>
      <c r="E2762" s="12">
        <v>46139</v>
      </c>
      <c r="F2762" s="20">
        <f t="shared" si="43"/>
        <v>46113</v>
      </c>
    </row>
    <row r="2763" spans="1:6" ht="20.25">
      <c r="A2763" s="49"/>
      <c r="B2763" s="47" t="s">
        <v>1442</v>
      </c>
      <c r="C2763" s="47">
        <v>38</v>
      </c>
      <c r="D2763" s="47" t="s">
        <v>55</v>
      </c>
      <c r="E2763" s="12">
        <v>46139</v>
      </c>
      <c r="F2763" s="20">
        <f t="shared" si="43"/>
        <v>46113</v>
      </c>
    </row>
    <row r="2764" spans="1:6" ht="20.25">
      <c r="A2764" s="49"/>
      <c r="B2764" s="47" t="s">
        <v>821</v>
      </c>
      <c r="C2764" s="47">
        <v>183</v>
      </c>
      <c r="D2764" s="47" t="s">
        <v>63</v>
      </c>
      <c r="E2764" s="12">
        <v>46139</v>
      </c>
      <c r="F2764" s="20">
        <f t="shared" si="43"/>
        <v>46113</v>
      </c>
    </row>
    <row r="2765" spans="1:6" ht="20.25">
      <c r="A2765" s="49"/>
      <c r="B2765" s="47" t="s">
        <v>1549</v>
      </c>
      <c r="C2765" s="47">
        <v>66</v>
      </c>
      <c r="D2765" s="47" t="s">
        <v>66</v>
      </c>
      <c r="E2765" s="12">
        <v>46139</v>
      </c>
      <c r="F2765" s="20">
        <f t="shared" si="43"/>
        <v>46113</v>
      </c>
    </row>
    <row r="2766" spans="1:6" ht="20.25">
      <c r="A2766" s="49"/>
      <c r="B2766" s="47" t="s">
        <v>606</v>
      </c>
      <c r="C2766" s="47">
        <v>185</v>
      </c>
      <c r="D2766" s="47" t="s">
        <v>66</v>
      </c>
      <c r="E2766" s="12">
        <v>46139</v>
      </c>
      <c r="F2766" s="20">
        <f t="shared" si="43"/>
        <v>46113</v>
      </c>
    </row>
    <row r="2767" spans="1:6" ht="20.25">
      <c r="A2767" s="49"/>
      <c r="B2767" s="47" t="s">
        <v>1319</v>
      </c>
      <c r="C2767" s="47">
        <v>25</v>
      </c>
      <c r="D2767" s="47" t="s">
        <v>66</v>
      </c>
      <c r="E2767" s="12">
        <v>46139</v>
      </c>
      <c r="F2767" s="20">
        <f t="shared" si="43"/>
        <v>46113</v>
      </c>
    </row>
    <row r="2768" spans="1:6" ht="20.25">
      <c r="A2768" s="49"/>
      <c r="B2768" s="47" t="s">
        <v>1319</v>
      </c>
      <c r="C2768" s="47">
        <v>507</v>
      </c>
      <c r="D2768" s="47" t="s">
        <v>66</v>
      </c>
      <c r="E2768" s="12">
        <v>46139</v>
      </c>
      <c r="F2768" s="20">
        <f t="shared" si="43"/>
        <v>46113</v>
      </c>
    </row>
    <row r="2769" spans="1:6" ht="20.25">
      <c r="A2769" s="49"/>
      <c r="B2769" s="47" t="s">
        <v>1319</v>
      </c>
      <c r="C2769" s="47">
        <v>80</v>
      </c>
      <c r="D2769" s="47" t="s">
        <v>66</v>
      </c>
      <c r="E2769" s="12">
        <v>46139</v>
      </c>
      <c r="F2769" s="20">
        <f t="shared" si="43"/>
        <v>46113</v>
      </c>
    </row>
    <row r="2770" spans="1:6" ht="20.25">
      <c r="A2770" s="49"/>
      <c r="B2770" s="47" t="s">
        <v>858</v>
      </c>
      <c r="C2770" s="47">
        <v>94</v>
      </c>
      <c r="D2770" s="47" t="s">
        <v>66</v>
      </c>
      <c r="E2770" s="12">
        <v>46139</v>
      </c>
      <c r="F2770" s="20">
        <f t="shared" si="43"/>
        <v>46113</v>
      </c>
    </row>
    <row r="2771" spans="1:6" ht="20.25">
      <c r="A2771" s="49"/>
      <c r="B2771" s="47" t="s">
        <v>858</v>
      </c>
      <c r="C2771" s="47">
        <v>124</v>
      </c>
      <c r="D2771" s="47" t="s">
        <v>66</v>
      </c>
      <c r="E2771" s="12">
        <v>46139</v>
      </c>
      <c r="F2771" s="20">
        <f t="shared" si="43"/>
        <v>46113</v>
      </c>
    </row>
    <row r="2772" spans="1:6" ht="20.25">
      <c r="A2772" s="49"/>
      <c r="B2772" s="47" t="s">
        <v>858</v>
      </c>
      <c r="C2772" s="47">
        <v>141</v>
      </c>
      <c r="D2772" s="47" t="s">
        <v>66</v>
      </c>
      <c r="E2772" s="12">
        <v>46139</v>
      </c>
      <c r="F2772" s="20">
        <f t="shared" si="43"/>
        <v>46113</v>
      </c>
    </row>
    <row r="2773" spans="1:6" ht="20.25">
      <c r="A2773" s="49"/>
      <c r="B2773" s="47" t="s">
        <v>1328</v>
      </c>
      <c r="C2773" s="47">
        <v>96</v>
      </c>
      <c r="D2773" s="47" t="s">
        <v>66</v>
      </c>
      <c r="E2773" s="12">
        <v>46139</v>
      </c>
      <c r="F2773" s="20">
        <f t="shared" si="43"/>
        <v>46113</v>
      </c>
    </row>
    <row r="2774" spans="1:6" ht="20.25">
      <c r="A2774" s="49"/>
      <c r="B2774" s="47" t="s">
        <v>638</v>
      </c>
      <c r="C2774" s="47">
        <v>44</v>
      </c>
      <c r="D2774" s="47" t="s">
        <v>66</v>
      </c>
      <c r="E2774" s="12">
        <v>46139</v>
      </c>
      <c r="F2774" s="20">
        <f t="shared" si="43"/>
        <v>46113</v>
      </c>
    </row>
    <row r="2775" spans="1:6" ht="20.25">
      <c r="A2775" s="49"/>
      <c r="B2775" s="47" t="s">
        <v>638</v>
      </c>
      <c r="C2775" s="47">
        <v>71</v>
      </c>
      <c r="D2775" s="47" t="s">
        <v>66</v>
      </c>
      <c r="E2775" s="12">
        <v>46139</v>
      </c>
      <c r="F2775" s="20">
        <f t="shared" si="43"/>
        <v>46113</v>
      </c>
    </row>
    <row r="2776" spans="1:6" ht="20.25">
      <c r="A2776" s="49"/>
      <c r="B2776" s="47" t="s">
        <v>638</v>
      </c>
      <c r="C2776" s="47">
        <v>352</v>
      </c>
      <c r="D2776" s="47" t="s">
        <v>66</v>
      </c>
      <c r="E2776" s="12">
        <v>46139</v>
      </c>
      <c r="F2776" s="20">
        <f t="shared" si="43"/>
        <v>46113</v>
      </c>
    </row>
    <row r="2777" spans="1:6" ht="20.25">
      <c r="A2777" s="49"/>
      <c r="B2777" s="47" t="s">
        <v>692</v>
      </c>
      <c r="C2777" s="47">
        <v>41</v>
      </c>
      <c r="D2777" s="47" t="s">
        <v>66</v>
      </c>
      <c r="E2777" s="12">
        <v>46139</v>
      </c>
      <c r="F2777" s="20">
        <f t="shared" si="43"/>
        <v>46113</v>
      </c>
    </row>
    <row r="2778" spans="1:6" ht="20.25">
      <c r="A2778" s="49"/>
      <c r="B2778" s="47" t="s">
        <v>936</v>
      </c>
      <c r="C2778" s="47">
        <v>140</v>
      </c>
      <c r="D2778" s="47" t="s">
        <v>66</v>
      </c>
      <c r="E2778" s="12">
        <v>46139</v>
      </c>
      <c r="F2778" s="20">
        <f t="shared" si="43"/>
        <v>46113</v>
      </c>
    </row>
    <row r="2779" spans="1:6" ht="20.25">
      <c r="A2779" s="49"/>
      <c r="B2779" s="47" t="s">
        <v>789</v>
      </c>
      <c r="C2779" s="47">
        <v>1</v>
      </c>
      <c r="D2779" s="47" t="s">
        <v>97</v>
      </c>
      <c r="E2779" s="12">
        <v>46139</v>
      </c>
      <c r="F2779" s="20">
        <f t="shared" si="43"/>
        <v>46113</v>
      </c>
    </row>
    <row r="2780" spans="1:6" ht="20.25">
      <c r="A2780" s="49"/>
      <c r="B2780" s="47" t="s">
        <v>722</v>
      </c>
      <c r="C2780" s="47">
        <v>1</v>
      </c>
      <c r="D2780" s="47" t="s">
        <v>97</v>
      </c>
      <c r="E2780" s="12">
        <v>46139</v>
      </c>
      <c r="F2780" s="20">
        <f t="shared" si="43"/>
        <v>46113</v>
      </c>
    </row>
    <row r="2781" spans="1:6" ht="20.25">
      <c r="A2781" s="49"/>
      <c r="B2781" s="47" t="s">
        <v>1023</v>
      </c>
      <c r="C2781" s="47">
        <v>1</v>
      </c>
      <c r="D2781" s="47" t="s">
        <v>97</v>
      </c>
      <c r="E2781" s="12">
        <v>46139</v>
      </c>
      <c r="F2781" s="20">
        <f t="shared" si="43"/>
        <v>46113</v>
      </c>
    </row>
    <row r="2782" spans="1:6" ht="20.25">
      <c r="A2782" s="49"/>
      <c r="B2782" s="47" t="s">
        <v>1347</v>
      </c>
      <c r="C2782" s="47">
        <v>56</v>
      </c>
      <c r="D2782" s="47" t="s">
        <v>97</v>
      </c>
      <c r="E2782" s="12">
        <v>46139</v>
      </c>
      <c r="F2782" s="20">
        <f t="shared" si="43"/>
        <v>46113</v>
      </c>
    </row>
    <row r="2783" spans="1:6" ht="20.25">
      <c r="A2783" s="49"/>
      <c r="B2783" s="47" t="s">
        <v>1347</v>
      </c>
      <c r="C2783" s="47">
        <v>82</v>
      </c>
      <c r="D2783" s="47" t="s">
        <v>97</v>
      </c>
      <c r="E2783" s="12">
        <v>46139</v>
      </c>
      <c r="F2783" s="20">
        <f t="shared" si="43"/>
        <v>46113</v>
      </c>
    </row>
    <row r="2784" spans="1:6" ht="20.25">
      <c r="A2784" s="49"/>
      <c r="B2784" s="47" t="s">
        <v>791</v>
      </c>
      <c r="C2784" s="47">
        <v>48</v>
      </c>
      <c r="D2784" s="47" t="s">
        <v>97</v>
      </c>
      <c r="E2784" s="12">
        <v>46139</v>
      </c>
      <c r="F2784" s="20">
        <f t="shared" si="43"/>
        <v>46113</v>
      </c>
    </row>
    <row r="2785" spans="1:6" ht="20.25">
      <c r="A2785" s="49"/>
      <c r="B2785" s="47" t="s">
        <v>915</v>
      </c>
      <c r="C2785" s="47">
        <v>351</v>
      </c>
      <c r="D2785" s="47" t="s">
        <v>114</v>
      </c>
      <c r="E2785" s="12">
        <v>46139</v>
      </c>
      <c r="F2785" s="20">
        <f t="shared" si="43"/>
        <v>46113</v>
      </c>
    </row>
    <row r="2786" spans="1:6" ht="20.25">
      <c r="A2786" s="49"/>
      <c r="B2786" s="47" t="s">
        <v>867</v>
      </c>
      <c r="C2786" s="47">
        <v>819</v>
      </c>
      <c r="D2786" s="47" t="s">
        <v>114</v>
      </c>
      <c r="E2786" s="12">
        <v>46139</v>
      </c>
      <c r="F2786" s="20">
        <f t="shared" si="43"/>
        <v>46113</v>
      </c>
    </row>
    <row r="2787" spans="1:6" ht="20.25">
      <c r="A2787" s="49"/>
      <c r="B2787" s="47" t="s">
        <v>848</v>
      </c>
      <c r="C2787" s="47">
        <v>164</v>
      </c>
      <c r="D2787" s="47" t="s">
        <v>114</v>
      </c>
      <c r="E2787" s="12">
        <v>46139</v>
      </c>
      <c r="F2787" s="20">
        <f t="shared" si="43"/>
        <v>46113</v>
      </c>
    </row>
    <row r="2788" spans="1:6" ht="20.25">
      <c r="A2788" s="49"/>
      <c r="B2788" s="47" t="s">
        <v>988</v>
      </c>
      <c r="C2788" s="47">
        <v>232</v>
      </c>
      <c r="D2788" s="47" t="s">
        <v>114</v>
      </c>
      <c r="E2788" s="12">
        <v>46139</v>
      </c>
      <c r="F2788" s="20">
        <f t="shared" si="43"/>
        <v>46113</v>
      </c>
    </row>
    <row r="2789" spans="1:6" ht="20.25">
      <c r="A2789" s="49"/>
      <c r="B2789" s="47" t="s">
        <v>848</v>
      </c>
      <c r="C2789" s="47">
        <v>93</v>
      </c>
      <c r="D2789" s="47" t="s">
        <v>114</v>
      </c>
      <c r="E2789" s="12">
        <v>46139</v>
      </c>
      <c r="F2789" s="20">
        <f t="shared" si="43"/>
        <v>46113</v>
      </c>
    </row>
    <row r="2790" spans="1:6" ht="20.25">
      <c r="A2790" s="49"/>
      <c r="B2790" s="47" t="s">
        <v>849</v>
      </c>
      <c r="C2790" s="47">
        <v>74</v>
      </c>
      <c r="D2790" s="47" t="s">
        <v>114</v>
      </c>
      <c r="E2790" s="12">
        <v>46139</v>
      </c>
      <c r="F2790" s="20">
        <f t="shared" si="43"/>
        <v>46113</v>
      </c>
    </row>
    <row r="2791" spans="1:6" ht="20.25">
      <c r="A2791" s="49"/>
      <c r="B2791" s="47" t="s">
        <v>828</v>
      </c>
      <c r="C2791" s="47">
        <v>175</v>
      </c>
      <c r="D2791" s="47" t="s">
        <v>114</v>
      </c>
      <c r="E2791" s="12">
        <v>46139</v>
      </c>
      <c r="F2791" s="20">
        <f t="shared" si="43"/>
        <v>46113</v>
      </c>
    </row>
    <row r="2792" spans="1:6" ht="20.25">
      <c r="A2792" s="49"/>
      <c r="B2792" s="47" t="s">
        <v>1359</v>
      </c>
      <c r="C2792" s="47">
        <v>31</v>
      </c>
      <c r="D2792" s="47" t="s">
        <v>114</v>
      </c>
      <c r="E2792" s="12">
        <v>46139</v>
      </c>
      <c r="F2792" s="20">
        <f t="shared" si="43"/>
        <v>46113</v>
      </c>
    </row>
    <row r="2793" spans="1:6" ht="20.25">
      <c r="A2793" s="49"/>
      <c r="B2793" s="47" t="s">
        <v>1272</v>
      </c>
      <c r="C2793" s="47">
        <v>50</v>
      </c>
      <c r="D2793" s="47" t="s">
        <v>114</v>
      </c>
      <c r="E2793" s="12">
        <v>46139</v>
      </c>
      <c r="F2793" s="20">
        <f t="shared" si="43"/>
        <v>46113</v>
      </c>
    </row>
    <row r="2794" spans="1:6" ht="20.25">
      <c r="A2794" s="49"/>
      <c r="B2794" s="47" t="s">
        <v>1273</v>
      </c>
      <c r="C2794" s="47">
        <v>87</v>
      </c>
      <c r="D2794" s="47" t="s">
        <v>114</v>
      </c>
      <c r="E2794" s="12">
        <v>46139</v>
      </c>
      <c r="F2794" s="20">
        <f t="shared" si="43"/>
        <v>46113</v>
      </c>
    </row>
    <row r="2795" spans="1:6" ht="20.25">
      <c r="A2795" s="49"/>
      <c r="B2795" s="47" t="s">
        <v>765</v>
      </c>
      <c r="C2795" s="47">
        <v>349</v>
      </c>
      <c r="D2795" s="47" t="s">
        <v>55</v>
      </c>
      <c r="E2795" s="12">
        <v>46139</v>
      </c>
      <c r="F2795" s="20">
        <f t="shared" si="43"/>
        <v>46113</v>
      </c>
    </row>
    <row r="2796" spans="1:6" ht="20.25">
      <c r="A2796" s="49"/>
      <c r="B2796" s="47" t="s">
        <v>986</v>
      </c>
      <c r="C2796" s="47">
        <v>182</v>
      </c>
      <c r="D2796" s="47" t="s">
        <v>160</v>
      </c>
      <c r="E2796" s="12">
        <v>46139</v>
      </c>
      <c r="F2796" s="20">
        <f t="shared" si="43"/>
        <v>46113</v>
      </c>
    </row>
    <row r="2797" spans="1:6" ht="20.25">
      <c r="A2797" s="49"/>
      <c r="B2797" s="47" t="s">
        <v>672</v>
      </c>
      <c r="C2797" s="47">
        <v>36</v>
      </c>
      <c r="D2797" s="47" t="s">
        <v>160</v>
      </c>
      <c r="E2797" s="12">
        <v>46139</v>
      </c>
      <c r="F2797" s="20">
        <f t="shared" si="43"/>
        <v>46113</v>
      </c>
    </row>
    <row r="2798" spans="1:6" ht="20.25">
      <c r="A2798" s="49"/>
      <c r="B2798" s="47" t="s">
        <v>1063</v>
      </c>
      <c r="C2798" s="47">
        <v>110</v>
      </c>
      <c r="D2798" s="47" t="s">
        <v>160</v>
      </c>
      <c r="E2798" s="12">
        <v>46139</v>
      </c>
      <c r="F2798" s="20">
        <f t="shared" si="43"/>
        <v>46113</v>
      </c>
    </row>
    <row r="2799" spans="1:6" ht="20.25">
      <c r="A2799" s="49"/>
      <c r="B2799" s="47" t="s">
        <v>1063</v>
      </c>
      <c r="C2799" s="47">
        <v>116</v>
      </c>
      <c r="D2799" s="47" t="s">
        <v>160</v>
      </c>
      <c r="E2799" s="12">
        <v>46139</v>
      </c>
      <c r="F2799" s="20">
        <f t="shared" si="43"/>
        <v>46113</v>
      </c>
    </row>
    <row r="2800" spans="1:6" ht="20.25">
      <c r="A2800" s="49"/>
      <c r="B2800" s="47" t="s">
        <v>1063</v>
      </c>
      <c r="C2800" s="47">
        <v>49</v>
      </c>
      <c r="D2800" s="47" t="s">
        <v>160</v>
      </c>
      <c r="E2800" s="12">
        <v>46139</v>
      </c>
      <c r="F2800" s="20">
        <f t="shared" si="43"/>
        <v>46113</v>
      </c>
    </row>
    <row r="2801" spans="1:6" ht="20.25">
      <c r="A2801" s="49"/>
      <c r="B2801" s="47" t="s">
        <v>1361</v>
      </c>
      <c r="C2801" s="47">
        <v>94</v>
      </c>
      <c r="D2801" s="47" t="s">
        <v>160</v>
      </c>
      <c r="E2801" s="12">
        <v>46139</v>
      </c>
      <c r="F2801" s="20">
        <f t="shared" si="43"/>
        <v>46113</v>
      </c>
    </row>
    <row r="2802" spans="1:6" ht="20.25">
      <c r="A2802" s="49"/>
      <c r="B2802" s="47" t="s">
        <v>720</v>
      </c>
      <c r="C2802" s="47">
        <v>388</v>
      </c>
      <c r="D2802" s="47" t="s">
        <v>160</v>
      </c>
      <c r="E2802" s="12">
        <v>46139</v>
      </c>
      <c r="F2802" s="20">
        <f t="shared" si="43"/>
        <v>46113</v>
      </c>
    </row>
    <row r="2803" spans="1:6" ht="20.25">
      <c r="A2803" s="49"/>
      <c r="B2803" s="47" t="s">
        <v>720</v>
      </c>
      <c r="C2803" s="47">
        <v>142</v>
      </c>
      <c r="D2803" s="47" t="s">
        <v>160</v>
      </c>
      <c r="E2803" s="12">
        <v>46139</v>
      </c>
      <c r="F2803" s="20">
        <f t="shared" si="43"/>
        <v>46113</v>
      </c>
    </row>
    <row r="2804" spans="1:6" ht="20.25">
      <c r="A2804" s="49"/>
      <c r="B2804" s="47" t="s">
        <v>993</v>
      </c>
      <c r="C2804" s="47">
        <v>250</v>
      </c>
      <c r="D2804" s="47" t="s">
        <v>160</v>
      </c>
      <c r="E2804" s="12">
        <v>46139</v>
      </c>
      <c r="F2804" s="20">
        <f t="shared" si="43"/>
        <v>46113</v>
      </c>
    </row>
    <row r="2805" spans="1:6" ht="20.25">
      <c r="A2805" s="49"/>
      <c r="B2805" s="47" t="s">
        <v>720</v>
      </c>
      <c r="C2805" s="47">
        <v>55</v>
      </c>
      <c r="D2805" s="47" t="s">
        <v>160</v>
      </c>
      <c r="E2805" s="12">
        <v>46139</v>
      </c>
      <c r="F2805" s="20">
        <f t="shared" si="43"/>
        <v>46113</v>
      </c>
    </row>
    <row r="2806" spans="1:6" ht="20.25">
      <c r="A2806" s="49"/>
      <c r="B2806" s="47" t="s">
        <v>604</v>
      </c>
      <c r="C2806" s="47">
        <v>228</v>
      </c>
      <c r="D2806" s="47" t="s">
        <v>160</v>
      </c>
      <c r="E2806" s="12">
        <v>46139</v>
      </c>
      <c r="F2806" s="20">
        <f t="shared" si="43"/>
        <v>46113</v>
      </c>
    </row>
    <row r="2807" spans="1:6" ht="20.25">
      <c r="A2807" s="49"/>
      <c r="B2807" s="47" t="s">
        <v>945</v>
      </c>
      <c r="C2807" s="47">
        <v>0</v>
      </c>
      <c r="D2807" s="47" t="s">
        <v>160</v>
      </c>
      <c r="E2807" s="12">
        <v>46139</v>
      </c>
      <c r="F2807" s="20">
        <f t="shared" si="43"/>
        <v>46113</v>
      </c>
    </row>
    <row r="2808" spans="1:6" ht="20.25">
      <c r="A2808" s="49"/>
      <c r="B2808" s="47" t="s">
        <v>1344</v>
      </c>
      <c r="C2808" s="47">
        <v>169</v>
      </c>
      <c r="D2808" s="47" t="s">
        <v>63</v>
      </c>
      <c r="E2808" s="12">
        <v>46139</v>
      </c>
      <c r="F2808" s="20">
        <f t="shared" si="43"/>
        <v>46113</v>
      </c>
    </row>
    <row r="2809" spans="1:6" ht="20.25">
      <c r="A2809" s="49"/>
      <c r="B2809" s="47" t="s">
        <v>839</v>
      </c>
      <c r="C2809" s="47">
        <v>125</v>
      </c>
      <c r="D2809" s="47" t="s">
        <v>63</v>
      </c>
      <c r="E2809" s="12">
        <v>46139</v>
      </c>
      <c r="F2809" s="20">
        <f t="shared" si="43"/>
        <v>46113</v>
      </c>
    </row>
    <row r="2810" spans="1:6" ht="20.25">
      <c r="A2810" s="49"/>
      <c r="B2810" s="47" t="s">
        <v>655</v>
      </c>
      <c r="C2810" s="47">
        <v>936</v>
      </c>
      <c r="D2810" s="47" t="s">
        <v>63</v>
      </c>
      <c r="E2810" s="12">
        <v>46139</v>
      </c>
      <c r="F2810" s="20">
        <f t="shared" si="43"/>
        <v>46113</v>
      </c>
    </row>
    <row r="2811" spans="1:6" ht="20.25">
      <c r="A2811" s="49"/>
      <c r="B2811" s="47" t="s">
        <v>1160</v>
      </c>
      <c r="C2811" s="47">
        <v>261</v>
      </c>
      <c r="D2811" s="47" t="s">
        <v>46</v>
      </c>
      <c r="E2811" s="12">
        <v>46139</v>
      </c>
      <c r="F2811" s="20">
        <f t="shared" si="43"/>
        <v>46113</v>
      </c>
    </row>
    <row r="2812" spans="1:6" ht="20.25">
      <c r="A2812" s="49"/>
      <c r="B2812" s="47" t="s">
        <v>868</v>
      </c>
      <c r="C2812" s="47">
        <v>272</v>
      </c>
      <c r="D2812" s="47" t="s">
        <v>46</v>
      </c>
      <c r="E2812" s="12">
        <v>46139</v>
      </c>
      <c r="F2812" s="20">
        <f t="shared" si="43"/>
        <v>46113</v>
      </c>
    </row>
    <row r="2813" spans="1:6" ht="20.25">
      <c r="A2813" s="49"/>
      <c r="B2813" s="47" t="s">
        <v>671</v>
      </c>
      <c r="C2813" s="47">
        <v>92</v>
      </c>
      <c r="D2813" s="47" t="s">
        <v>46</v>
      </c>
      <c r="E2813" s="12">
        <v>46139</v>
      </c>
      <c r="F2813" s="20">
        <f t="shared" si="43"/>
        <v>46113</v>
      </c>
    </row>
    <row r="2814" spans="1:6" ht="20.25">
      <c r="A2814" s="49"/>
      <c r="B2814" s="47" t="s">
        <v>671</v>
      </c>
      <c r="C2814" s="47">
        <v>112</v>
      </c>
      <c r="D2814" s="47" t="s">
        <v>46</v>
      </c>
      <c r="E2814" s="12">
        <v>46139</v>
      </c>
      <c r="F2814" s="20">
        <f t="shared" si="43"/>
        <v>46113</v>
      </c>
    </row>
    <row r="2815" spans="1:6" ht="20.25">
      <c r="A2815" s="49"/>
      <c r="B2815" s="47" t="s">
        <v>1030</v>
      </c>
      <c r="C2815" s="47">
        <v>18</v>
      </c>
      <c r="D2815" s="47" t="s">
        <v>46</v>
      </c>
      <c r="E2815" s="12">
        <v>46139</v>
      </c>
      <c r="F2815" s="20">
        <f t="shared" si="43"/>
        <v>46113</v>
      </c>
    </row>
    <row r="2816" spans="1:6" ht="20.25">
      <c r="A2816" s="49"/>
      <c r="B2816" s="47" t="s">
        <v>1517</v>
      </c>
      <c r="C2816" s="47">
        <v>239</v>
      </c>
      <c r="D2816" s="47" t="s">
        <v>46</v>
      </c>
      <c r="E2816" s="12">
        <v>46139</v>
      </c>
      <c r="F2816" s="20">
        <f t="shared" si="43"/>
        <v>46113</v>
      </c>
    </row>
    <row r="2817" spans="1:6" ht="20.25">
      <c r="A2817" s="49"/>
      <c r="B2817" s="47" t="s">
        <v>1062</v>
      </c>
      <c r="C2817" s="47">
        <v>25</v>
      </c>
      <c r="D2817" s="47" t="s">
        <v>46</v>
      </c>
      <c r="E2817" s="12">
        <v>46139</v>
      </c>
      <c r="F2817" s="20">
        <f t="shared" si="43"/>
        <v>46113</v>
      </c>
    </row>
    <row r="2818" spans="1:6" ht="20.25">
      <c r="A2818" s="49"/>
      <c r="B2818" s="47" t="s">
        <v>1160</v>
      </c>
      <c r="C2818" s="47">
        <v>442</v>
      </c>
      <c r="D2818" s="47" t="s">
        <v>46</v>
      </c>
      <c r="E2818" s="12">
        <v>46139</v>
      </c>
      <c r="F2818" s="20">
        <f t="shared" ref="F2818:F2881" si="44">EOMONTH(E2818,-1)+1</f>
        <v>46113</v>
      </c>
    </row>
    <row r="2819" spans="1:6" ht="20.25">
      <c r="A2819" s="49"/>
      <c r="B2819" s="47" t="s">
        <v>1517</v>
      </c>
      <c r="C2819" s="47">
        <v>36</v>
      </c>
      <c r="D2819" s="47" t="s">
        <v>46</v>
      </c>
      <c r="E2819" s="12">
        <v>46139</v>
      </c>
      <c r="F2819" s="20">
        <f t="shared" si="44"/>
        <v>46113</v>
      </c>
    </row>
    <row r="2820" spans="1:6" ht="20.25">
      <c r="A2820" s="49"/>
      <c r="B2820" s="47" t="s">
        <v>1547</v>
      </c>
      <c r="C2820" s="47">
        <v>55</v>
      </c>
      <c r="D2820" s="47" t="s">
        <v>46</v>
      </c>
      <c r="E2820" s="12">
        <v>46139</v>
      </c>
      <c r="F2820" s="20">
        <f t="shared" si="44"/>
        <v>46113</v>
      </c>
    </row>
    <row r="2821" spans="1:6" ht="20.25">
      <c r="A2821" s="49"/>
      <c r="B2821" s="47" t="s">
        <v>871</v>
      </c>
      <c r="C2821" s="47">
        <v>37</v>
      </c>
      <c r="D2821" s="47" t="s">
        <v>46</v>
      </c>
      <c r="E2821" s="12">
        <v>46139</v>
      </c>
      <c r="F2821" s="20">
        <f t="shared" si="44"/>
        <v>46113</v>
      </c>
    </row>
    <row r="2822" spans="1:6" ht="20.25">
      <c r="A2822" s="49"/>
      <c r="B2822" s="47" t="s">
        <v>708</v>
      </c>
      <c r="C2822" s="47">
        <v>24</v>
      </c>
      <c r="D2822" s="47" t="s">
        <v>46</v>
      </c>
      <c r="E2822" s="12">
        <v>46139</v>
      </c>
      <c r="F2822" s="20">
        <f t="shared" si="44"/>
        <v>46113</v>
      </c>
    </row>
    <row r="2823" spans="1:6" ht="20.25">
      <c r="A2823" s="49"/>
      <c r="B2823" s="47" t="s">
        <v>1055</v>
      </c>
      <c r="C2823" s="47">
        <v>78</v>
      </c>
      <c r="D2823" s="47" t="s">
        <v>46</v>
      </c>
      <c r="E2823" s="12">
        <v>46139</v>
      </c>
      <c r="F2823" s="20">
        <f t="shared" si="44"/>
        <v>46113</v>
      </c>
    </row>
    <row r="2824" spans="1:6" ht="20.25">
      <c r="A2824" s="49"/>
      <c r="B2824" s="47" t="s">
        <v>971</v>
      </c>
      <c r="C2824" s="47">
        <v>151</v>
      </c>
      <c r="D2824" s="47" t="s">
        <v>62</v>
      </c>
      <c r="E2824" s="12">
        <v>46139</v>
      </c>
      <c r="F2824" s="20">
        <f t="shared" si="44"/>
        <v>46113</v>
      </c>
    </row>
    <row r="2825" spans="1:6" ht="20.25">
      <c r="A2825" s="49"/>
      <c r="B2825" s="47" t="s">
        <v>628</v>
      </c>
      <c r="C2825" s="47">
        <v>64</v>
      </c>
      <c r="D2825" s="47" t="s">
        <v>55</v>
      </c>
      <c r="E2825" s="12">
        <v>46139</v>
      </c>
      <c r="F2825" s="20">
        <f t="shared" si="44"/>
        <v>46113</v>
      </c>
    </row>
    <row r="2826" spans="1:6" ht="20.25">
      <c r="A2826" s="49"/>
      <c r="B2826" s="47" t="s">
        <v>1136</v>
      </c>
      <c r="C2826" s="47">
        <v>114</v>
      </c>
      <c r="D2826" s="47" t="s">
        <v>72</v>
      </c>
      <c r="E2826" s="12">
        <v>46139</v>
      </c>
      <c r="F2826" s="20">
        <f t="shared" si="44"/>
        <v>46113</v>
      </c>
    </row>
    <row r="2827" spans="1:6" ht="20.25">
      <c r="A2827" s="49"/>
      <c r="B2827" s="47" t="s">
        <v>983</v>
      </c>
      <c r="C2827" s="47">
        <v>65</v>
      </c>
      <c r="D2827" s="47" t="s">
        <v>66</v>
      </c>
      <c r="E2827" s="12">
        <v>46139</v>
      </c>
      <c r="F2827" s="20">
        <f t="shared" si="44"/>
        <v>46113</v>
      </c>
    </row>
    <row r="2828" spans="1:6" ht="20.25">
      <c r="A2828" s="49"/>
      <c r="B2828" s="47" t="s">
        <v>1005</v>
      </c>
      <c r="C2828" s="47">
        <v>64</v>
      </c>
      <c r="D2828" s="47" t="s">
        <v>160</v>
      </c>
      <c r="E2828" s="12">
        <v>46139</v>
      </c>
      <c r="F2828" s="20">
        <f t="shared" si="44"/>
        <v>46113</v>
      </c>
    </row>
    <row r="2829" spans="1:6" ht="20.25">
      <c r="A2829" s="49"/>
      <c r="B2829" s="47" t="s">
        <v>633</v>
      </c>
      <c r="C2829" s="47">
        <v>212</v>
      </c>
      <c r="D2829" s="47" t="s">
        <v>82</v>
      </c>
      <c r="E2829" s="12">
        <v>46139</v>
      </c>
      <c r="F2829" s="20">
        <f t="shared" si="44"/>
        <v>46113</v>
      </c>
    </row>
    <row r="2830" spans="1:6" ht="20.25">
      <c r="A2830" s="49"/>
      <c r="B2830" s="47" t="s">
        <v>852</v>
      </c>
      <c r="C2830" s="47">
        <v>44</v>
      </c>
      <c r="D2830" s="47" t="s">
        <v>82</v>
      </c>
      <c r="E2830" s="12">
        <v>46139</v>
      </c>
      <c r="F2830" s="20">
        <f t="shared" si="44"/>
        <v>46113</v>
      </c>
    </row>
    <row r="2831" spans="1:6" ht="20.25">
      <c r="A2831" s="49"/>
      <c r="B2831" s="47" t="s">
        <v>630</v>
      </c>
      <c r="C2831" s="47">
        <v>237</v>
      </c>
      <c r="D2831" s="47" t="s">
        <v>55</v>
      </c>
      <c r="E2831" s="12">
        <v>46139</v>
      </c>
      <c r="F2831" s="20">
        <f t="shared" si="44"/>
        <v>46113</v>
      </c>
    </row>
    <row r="2832" spans="1:6" ht="20.25">
      <c r="A2832" s="49"/>
      <c r="B2832" s="47" t="s">
        <v>630</v>
      </c>
      <c r="C2832" s="47">
        <v>12</v>
      </c>
      <c r="D2832" s="47" t="s">
        <v>55</v>
      </c>
      <c r="E2832" s="12">
        <v>46139</v>
      </c>
      <c r="F2832" s="20">
        <f t="shared" si="44"/>
        <v>46113</v>
      </c>
    </row>
    <row r="2833" spans="1:6" ht="20.25">
      <c r="A2833" s="49"/>
      <c r="B2833" s="47" t="s">
        <v>884</v>
      </c>
      <c r="C2833" s="47">
        <v>581</v>
      </c>
      <c r="D2833" s="47" t="s">
        <v>55</v>
      </c>
      <c r="E2833" s="12">
        <v>46139</v>
      </c>
      <c r="F2833" s="20">
        <f t="shared" si="44"/>
        <v>46113</v>
      </c>
    </row>
    <row r="2834" spans="1:6" ht="20.25">
      <c r="A2834" s="49"/>
      <c r="B2834" s="47" t="s">
        <v>626</v>
      </c>
      <c r="C2834" s="47">
        <v>422</v>
      </c>
      <c r="D2834" s="47" t="s">
        <v>72</v>
      </c>
      <c r="E2834" s="12">
        <v>46139</v>
      </c>
      <c r="F2834" s="20">
        <f t="shared" si="44"/>
        <v>46113</v>
      </c>
    </row>
    <row r="2835" spans="1:6" ht="20.25">
      <c r="A2835" s="49"/>
      <c r="B2835" s="47" t="s">
        <v>1095</v>
      </c>
      <c r="C2835" s="47">
        <v>245</v>
      </c>
      <c r="D2835" s="47" t="s">
        <v>95</v>
      </c>
      <c r="E2835" s="12">
        <v>46139</v>
      </c>
      <c r="F2835" s="20">
        <f t="shared" si="44"/>
        <v>46113</v>
      </c>
    </row>
    <row r="2836" spans="1:6" ht="20.25">
      <c r="A2836" s="49"/>
      <c r="B2836" s="47" t="s">
        <v>1549</v>
      </c>
      <c r="C2836" s="47">
        <v>1</v>
      </c>
      <c r="D2836" s="47" t="s">
        <v>55</v>
      </c>
      <c r="E2836" s="12">
        <v>46139</v>
      </c>
      <c r="F2836" s="20">
        <f t="shared" si="44"/>
        <v>46113</v>
      </c>
    </row>
    <row r="2837" spans="1:6" ht="20.25">
      <c r="A2837" s="49"/>
      <c r="B2837" s="47" t="s">
        <v>1440</v>
      </c>
      <c r="C2837" s="47">
        <v>8</v>
      </c>
      <c r="D2837" s="47" t="s">
        <v>114</v>
      </c>
      <c r="E2837" s="12">
        <v>46139</v>
      </c>
      <c r="F2837" s="20">
        <f t="shared" si="44"/>
        <v>46113</v>
      </c>
    </row>
    <row r="2838" spans="1:6" ht="20.25">
      <c r="A2838" s="49"/>
      <c r="B2838" s="47" t="s">
        <v>930</v>
      </c>
      <c r="C2838" s="47">
        <v>-1</v>
      </c>
      <c r="D2838" s="47" t="s">
        <v>95</v>
      </c>
      <c r="E2838" s="12">
        <v>46139</v>
      </c>
      <c r="F2838" s="20">
        <f t="shared" si="44"/>
        <v>46113</v>
      </c>
    </row>
    <row r="2839" spans="1:6" ht="20.25">
      <c r="A2839" s="49"/>
      <c r="B2839" s="47" t="s">
        <v>1612</v>
      </c>
      <c r="C2839" s="47">
        <v>-8</v>
      </c>
      <c r="D2839" s="47" t="s">
        <v>160</v>
      </c>
      <c r="E2839" s="12">
        <v>46139</v>
      </c>
      <c r="F2839" s="20">
        <f t="shared" si="44"/>
        <v>46113</v>
      </c>
    </row>
    <row r="2840" spans="1:6" ht="20.25">
      <c r="A2840" s="49"/>
      <c r="B2840" s="47" t="s">
        <v>819</v>
      </c>
      <c r="C2840" s="47">
        <v>-7</v>
      </c>
      <c r="D2840" s="47" t="s">
        <v>55</v>
      </c>
      <c r="E2840" s="12">
        <v>46139</v>
      </c>
      <c r="F2840" s="20">
        <f t="shared" si="44"/>
        <v>46113</v>
      </c>
    </row>
    <row r="2841" spans="1:6" ht="20.25">
      <c r="A2841" s="49"/>
      <c r="B2841" s="47" t="s">
        <v>966</v>
      </c>
      <c r="C2841" s="47">
        <v>663</v>
      </c>
      <c r="D2841" s="47" t="s">
        <v>95</v>
      </c>
      <c r="E2841" s="12">
        <v>46140</v>
      </c>
      <c r="F2841" s="20">
        <f t="shared" si="44"/>
        <v>46113</v>
      </c>
    </row>
    <row r="2842" spans="1:6" ht="20.25">
      <c r="A2842" s="49"/>
      <c r="B2842" s="47" t="s">
        <v>966</v>
      </c>
      <c r="C2842" s="47">
        <v>1000</v>
      </c>
      <c r="D2842" s="47" t="s">
        <v>95</v>
      </c>
      <c r="E2842" s="12">
        <v>46140</v>
      </c>
      <c r="F2842" s="20">
        <f t="shared" si="44"/>
        <v>46113</v>
      </c>
    </row>
    <row r="2843" spans="1:6" ht="20.25">
      <c r="A2843" s="49"/>
      <c r="B2843" s="47" t="s">
        <v>929</v>
      </c>
      <c r="C2843" s="47">
        <v>235</v>
      </c>
      <c r="D2843" s="47" t="s">
        <v>95</v>
      </c>
      <c r="E2843" s="12">
        <v>46140</v>
      </c>
      <c r="F2843" s="20">
        <f t="shared" si="44"/>
        <v>46113</v>
      </c>
    </row>
    <row r="2844" spans="1:6" ht="20.25">
      <c r="A2844" s="49"/>
      <c r="B2844" s="47" t="s">
        <v>1123</v>
      </c>
      <c r="C2844" s="47">
        <v>94</v>
      </c>
      <c r="D2844" s="47" t="s">
        <v>95</v>
      </c>
      <c r="E2844" s="12">
        <v>46140</v>
      </c>
      <c r="F2844" s="20">
        <f t="shared" si="44"/>
        <v>46113</v>
      </c>
    </row>
    <row r="2845" spans="1:6" ht="20.25">
      <c r="A2845" s="49"/>
      <c r="B2845" s="47" t="s">
        <v>1164</v>
      </c>
      <c r="C2845" s="47">
        <v>175</v>
      </c>
      <c r="D2845" s="47" t="s">
        <v>95</v>
      </c>
      <c r="E2845" s="12">
        <v>46140</v>
      </c>
      <c r="F2845" s="20">
        <f t="shared" si="44"/>
        <v>46113</v>
      </c>
    </row>
    <row r="2846" spans="1:6" ht="20.25">
      <c r="A2846" s="49"/>
      <c r="B2846" s="47" t="s">
        <v>1063</v>
      </c>
      <c r="C2846" s="47">
        <v>3</v>
      </c>
      <c r="D2846" s="47" t="s">
        <v>160</v>
      </c>
      <c r="E2846" s="12">
        <v>46140</v>
      </c>
      <c r="F2846" s="20">
        <f t="shared" si="44"/>
        <v>46113</v>
      </c>
    </row>
    <row r="2847" spans="1:6" ht="20.25">
      <c r="A2847" s="49"/>
      <c r="B2847" s="47" t="s">
        <v>1500</v>
      </c>
      <c r="C2847" s="47">
        <v>3</v>
      </c>
      <c r="D2847" s="47" t="s">
        <v>160</v>
      </c>
      <c r="E2847" s="12">
        <v>46140</v>
      </c>
      <c r="F2847" s="20">
        <f t="shared" si="44"/>
        <v>46113</v>
      </c>
    </row>
    <row r="2848" spans="1:6" ht="20.25">
      <c r="A2848" s="49"/>
      <c r="B2848" s="47" t="s">
        <v>1060</v>
      </c>
      <c r="C2848" s="47">
        <v>132</v>
      </c>
      <c r="D2848" s="47" t="s">
        <v>160</v>
      </c>
      <c r="E2848" s="12">
        <v>46140</v>
      </c>
      <c r="F2848" s="20">
        <f t="shared" si="44"/>
        <v>46113</v>
      </c>
    </row>
    <row r="2849" spans="1:6" ht="20.25">
      <c r="A2849" s="49"/>
      <c r="B2849" s="47" t="s">
        <v>945</v>
      </c>
      <c r="C2849" s="47">
        <v>200</v>
      </c>
      <c r="D2849" s="47" t="s">
        <v>160</v>
      </c>
      <c r="E2849" s="12">
        <v>46140</v>
      </c>
      <c r="F2849" s="20">
        <f t="shared" si="44"/>
        <v>46113</v>
      </c>
    </row>
    <row r="2850" spans="1:6" ht="20.25">
      <c r="A2850" s="49"/>
      <c r="B2850" s="47" t="s">
        <v>993</v>
      </c>
      <c r="C2850" s="47">
        <v>113</v>
      </c>
      <c r="D2850" s="47" t="s">
        <v>160</v>
      </c>
      <c r="E2850" s="12">
        <v>46140</v>
      </c>
      <c r="F2850" s="20">
        <f t="shared" si="44"/>
        <v>46113</v>
      </c>
    </row>
    <row r="2851" spans="1:6" ht="20.25">
      <c r="A2851" s="49"/>
      <c r="B2851" s="47" t="s">
        <v>774</v>
      </c>
      <c r="C2851" s="47">
        <v>38</v>
      </c>
      <c r="D2851" s="47" t="s">
        <v>160</v>
      </c>
      <c r="E2851" s="12">
        <v>46140</v>
      </c>
      <c r="F2851" s="20">
        <f t="shared" si="44"/>
        <v>46113</v>
      </c>
    </row>
    <row r="2852" spans="1:6" ht="20.25">
      <c r="A2852" s="49"/>
      <c r="B2852" s="47" t="s">
        <v>1520</v>
      </c>
      <c r="C2852" s="47">
        <v>127</v>
      </c>
      <c r="D2852" s="47" t="s">
        <v>160</v>
      </c>
      <c r="E2852" s="12">
        <v>46140</v>
      </c>
      <c r="F2852" s="20">
        <f t="shared" si="44"/>
        <v>46113</v>
      </c>
    </row>
    <row r="2853" spans="1:6" ht="20.25">
      <c r="A2853" s="49"/>
      <c r="B2853" s="47" t="s">
        <v>777</v>
      </c>
      <c r="C2853" s="47">
        <v>95</v>
      </c>
      <c r="D2853" s="47" t="s">
        <v>160</v>
      </c>
      <c r="E2853" s="12">
        <v>46140</v>
      </c>
      <c r="F2853" s="20">
        <f t="shared" si="44"/>
        <v>46113</v>
      </c>
    </row>
    <row r="2854" spans="1:6" ht="20.25">
      <c r="A2854" s="49"/>
      <c r="B2854" s="47" t="s">
        <v>957</v>
      </c>
      <c r="C2854" s="47">
        <v>37</v>
      </c>
      <c r="D2854" s="47" t="s">
        <v>160</v>
      </c>
      <c r="E2854" s="12">
        <v>46140</v>
      </c>
      <c r="F2854" s="20">
        <f t="shared" si="44"/>
        <v>46113</v>
      </c>
    </row>
    <row r="2855" spans="1:6" ht="20.25">
      <c r="A2855" s="49"/>
      <c r="B2855" s="47" t="s">
        <v>1471</v>
      </c>
      <c r="C2855" s="47">
        <v>39</v>
      </c>
      <c r="D2855" s="47" t="s">
        <v>66</v>
      </c>
      <c r="E2855" s="12">
        <v>46140</v>
      </c>
      <c r="F2855" s="20">
        <f t="shared" si="44"/>
        <v>46113</v>
      </c>
    </row>
    <row r="2856" spans="1:6" ht="20.25">
      <c r="A2856" s="49"/>
      <c r="B2856" s="47" t="s">
        <v>717</v>
      </c>
      <c r="C2856" s="47">
        <v>225</v>
      </c>
      <c r="D2856" s="47" t="s">
        <v>66</v>
      </c>
      <c r="E2856" s="12">
        <v>46140</v>
      </c>
      <c r="F2856" s="20">
        <f t="shared" si="44"/>
        <v>46113</v>
      </c>
    </row>
    <row r="2857" spans="1:6" ht="20.25">
      <c r="A2857" s="49"/>
      <c r="B2857" s="47" t="s">
        <v>907</v>
      </c>
      <c r="C2857" s="47">
        <v>64</v>
      </c>
      <c r="D2857" s="47" t="s">
        <v>66</v>
      </c>
      <c r="E2857" s="12">
        <v>46140</v>
      </c>
      <c r="F2857" s="20">
        <f t="shared" si="44"/>
        <v>46113</v>
      </c>
    </row>
    <row r="2858" spans="1:6" ht="20.25">
      <c r="A2858" s="49"/>
      <c r="B2858" s="47" t="s">
        <v>662</v>
      </c>
      <c r="C2858" s="47">
        <v>156</v>
      </c>
      <c r="D2858" s="47" t="s">
        <v>66</v>
      </c>
      <c r="E2858" s="12">
        <v>46140</v>
      </c>
      <c r="F2858" s="20">
        <f t="shared" si="44"/>
        <v>46113</v>
      </c>
    </row>
    <row r="2859" spans="1:6" ht="20.25">
      <c r="A2859" s="49"/>
      <c r="B2859" s="47" t="s">
        <v>1423</v>
      </c>
      <c r="C2859" s="47">
        <v>133</v>
      </c>
      <c r="D2859" s="47" t="s">
        <v>66</v>
      </c>
      <c r="E2859" s="12">
        <v>46140</v>
      </c>
      <c r="F2859" s="20">
        <f t="shared" si="44"/>
        <v>46113</v>
      </c>
    </row>
    <row r="2860" spans="1:6" ht="20.25">
      <c r="A2860" s="49"/>
      <c r="B2860" s="47" t="s">
        <v>982</v>
      </c>
      <c r="C2860" s="47">
        <v>35</v>
      </c>
      <c r="D2860" s="47" t="s">
        <v>66</v>
      </c>
      <c r="E2860" s="12">
        <v>46140</v>
      </c>
      <c r="F2860" s="20">
        <f t="shared" si="44"/>
        <v>46113</v>
      </c>
    </row>
    <row r="2861" spans="1:6" ht="20.25">
      <c r="A2861" s="49"/>
      <c r="B2861" s="47" t="s">
        <v>858</v>
      </c>
      <c r="C2861" s="47">
        <v>124</v>
      </c>
      <c r="D2861" s="47" t="s">
        <v>66</v>
      </c>
      <c r="E2861" s="12">
        <v>46140</v>
      </c>
      <c r="F2861" s="20">
        <f t="shared" si="44"/>
        <v>46113</v>
      </c>
    </row>
    <row r="2862" spans="1:6" ht="20.25">
      <c r="A2862" s="49"/>
      <c r="B2862" s="47" t="s">
        <v>1549</v>
      </c>
      <c r="C2862" s="47">
        <v>269</v>
      </c>
      <c r="D2862" s="47" t="s">
        <v>66</v>
      </c>
      <c r="E2862" s="12">
        <v>46140</v>
      </c>
      <c r="F2862" s="20">
        <f t="shared" si="44"/>
        <v>46113</v>
      </c>
    </row>
    <row r="2863" spans="1:6" ht="20.25">
      <c r="A2863" s="49"/>
      <c r="B2863" s="47" t="s">
        <v>1155</v>
      </c>
      <c r="C2863" s="47">
        <v>82</v>
      </c>
      <c r="D2863" s="47" t="s">
        <v>66</v>
      </c>
      <c r="E2863" s="12">
        <v>46140</v>
      </c>
      <c r="F2863" s="20">
        <f t="shared" si="44"/>
        <v>46113</v>
      </c>
    </row>
    <row r="2864" spans="1:6" ht="20.25">
      <c r="A2864" s="49"/>
      <c r="B2864" s="47" t="s">
        <v>1549</v>
      </c>
      <c r="C2864" s="47">
        <v>155</v>
      </c>
      <c r="D2864" s="47" t="s">
        <v>66</v>
      </c>
      <c r="E2864" s="12">
        <v>46140</v>
      </c>
      <c r="F2864" s="20">
        <f t="shared" si="44"/>
        <v>46113</v>
      </c>
    </row>
    <row r="2865" spans="1:6" ht="20.25">
      <c r="A2865" s="49"/>
      <c r="B2865" s="47" t="s">
        <v>606</v>
      </c>
      <c r="C2865" s="47">
        <v>2</v>
      </c>
      <c r="D2865" s="47" t="s">
        <v>66</v>
      </c>
      <c r="E2865" s="12">
        <v>46140</v>
      </c>
      <c r="F2865" s="20">
        <f t="shared" si="44"/>
        <v>46113</v>
      </c>
    </row>
    <row r="2866" spans="1:6" ht="20.25">
      <c r="A2866" s="49"/>
      <c r="B2866" s="47" t="s">
        <v>876</v>
      </c>
      <c r="C2866" s="47">
        <v>63</v>
      </c>
      <c r="D2866" s="47" t="s">
        <v>66</v>
      </c>
      <c r="E2866" s="12">
        <v>46140</v>
      </c>
      <c r="F2866" s="20">
        <f t="shared" si="44"/>
        <v>46113</v>
      </c>
    </row>
    <row r="2867" spans="1:6" ht="20.25">
      <c r="A2867" s="49"/>
      <c r="B2867" s="47" t="s">
        <v>876</v>
      </c>
      <c r="C2867" s="47">
        <v>383</v>
      </c>
      <c r="D2867" s="47" t="s">
        <v>66</v>
      </c>
      <c r="E2867" s="12">
        <v>46140</v>
      </c>
      <c r="F2867" s="20">
        <f t="shared" si="44"/>
        <v>46113</v>
      </c>
    </row>
    <row r="2868" spans="1:6" ht="20.25">
      <c r="A2868" s="49"/>
      <c r="B2868" s="47" t="s">
        <v>948</v>
      </c>
      <c r="C2868" s="47">
        <v>55</v>
      </c>
      <c r="D2868" s="47" t="s">
        <v>160</v>
      </c>
      <c r="E2868" s="12">
        <v>46140</v>
      </c>
      <c r="F2868" s="20">
        <f t="shared" si="44"/>
        <v>46113</v>
      </c>
    </row>
    <row r="2869" spans="1:6" ht="20.25">
      <c r="A2869" s="49"/>
      <c r="B2869" s="47" t="s">
        <v>665</v>
      </c>
      <c r="C2869" s="47">
        <v>783</v>
      </c>
      <c r="D2869" s="47" t="s">
        <v>160</v>
      </c>
      <c r="E2869" s="12">
        <v>46140</v>
      </c>
      <c r="F2869" s="20">
        <f t="shared" si="44"/>
        <v>46113</v>
      </c>
    </row>
    <row r="2870" spans="1:6" ht="20.25">
      <c r="A2870" s="49"/>
      <c r="B2870" s="47" t="s">
        <v>665</v>
      </c>
      <c r="C2870" s="47">
        <v>596</v>
      </c>
      <c r="D2870" s="47" t="s">
        <v>160</v>
      </c>
      <c r="E2870" s="12">
        <v>46140</v>
      </c>
      <c r="F2870" s="20">
        <f t="shared" si="44"/>
        <v>46113</v>
      </c>
    </row>
    <row r="2871" spans="1:6" ht="20.25">
      <c r="A2871" s="49"/>
      <c r="B2871" s="47" t="s">
        <v>604</v>
      </c>
      <c r="C2871" s="47">
        <v>318</v>
      </c>
      <c r="D2871" s="47" t="s">
        <v>160</v>
      </c>
      <c r="E2871" s="12">
        <v>46140</v>
      </c>
      <c r="F2871" s="20">
        <f t="shared" si="44"/>
        <v>46113</v>
      </c>
    </row>
    <row r="2872" spans="1:6" ht="20.25">
      <c r="A2872" s="49"/>
      <c r="B2872" s="47" t="s">
        <v>1372</v>
      </c>
      <c r="C2872" s="47">
        <v>46</v>
      </c>
      <c r="D2872" s="47" t="s">
        <v>63</v>
      </c>
      <c r="E2872" s="12">
        <v>46140</v>
      </c>
      <c r="F2872" s="20">
        <f t="shared" si="44"/>
        <v>46113</v>
      </c>
    </row>
    <row r="2873" spans="1:6" ht="20.25">
      <c r="A2873" s="49"/>
      <c r="B2873" s="47" t="s">
        <v>1372</v>
      </c>
      <c r="C2873" s="47">
        <v>45</v>
      </c>
      <c r="D2873" s="47" t="s">
        <v>63</v>
      </c>
      <c r="E2873" s="12">
        <v>46140</v>
      </c>
      <c r="F2873" s="20">
        <f t="shared" si="44"/>
        <v>46113</v>
      </c>
    </row>
    <row r="2874" spans="1:6" ht="20.25">
      <c r="A2874" s="49"/>
      <c r="B2874" s="47" t="s">
        <v>1369</v>
      </c>
      <c r="C2874" s="47">
        <v>395</v>
      </c>
      <c r="D2874" s="47" t="s">
        <v>63</v>
      </c>
      <c r="E2874" s="12">
        <v>46140</v>
      </c>
      <c r="F2874" s="20">
        <f t="shared" si="44"/>
        <v>46113</v>
      </c>
    </row>
    <row r="2875" spans="1:6" ht="20.25">
      <c r="A2875" s="49"/>
      <c r="B2875" s="47" t="s">
        <v>1370</v>
      </c>
      <c r="C2875" s="47">
        <v>87</v>
      </c>
      <c r="D2875" s="47" t="s">
        <v>63</v>
      </c>
      <c r="E2875" s="12">
        <v>46140</v>
      </c>
      <c r="F2875" s="20">
        <f t="shared" si="44"/>
        <v>46113</v>
      </c>
    </row>
    <row r="2876" spans="1:6" ht="20.25">
      <c r="A2876" s="49"/>
      <c r="B2876" s="47" t="s">
        <v>1370</v>
      </c>
      <c r="C2876" s="47">
        <v>25</v>
      </c>
      <c r="D2876" s="47" t="s">
        <v>63</v>
      </c>
      <c r="E2876" s="12">
        <v>46140</v>
      </c>
      <c r="F2876" s="20">
        <f t="shared" si="44"/>
        <v>46113</v>
      </c>
    </row>
    <row r="2877" spans="1:6" ht="20.25">
      <c r="A2877" s="49"/>
      <c r="B2877" s="47" t="s">
        <v>1370</v>
      </c>
      <c r="C2877" s="47">
        <v>179</v>
      </c>
      <c r="D2877" s="47" t="s">
        <v>63</v>
      </c>
      <c r="E2877" s="12">
        <v>46140</v>
      </c>
      <c r="F2877" s="20">
        <f t="shared" si="44"/>
        <v>46113</v>
      </c>
    </row>
    <row r="2878" spans="1:6" ht="20.25">
      <c r="A2878" s="49"/>
      <c r="B2878" s="47" t="s">
        <v>963</v>
      </c>
      <c r="C2878" s="47">
        <v>74</v>
      </c>
      <c r="D2878" s="47" t="s">
        <v>63</v>
      </c>
      <c r="E2878" s="12">
        <v>46140</v>
      </c>
      <c r="F2878" s="20">
        <f t="shared" si="44"/>
        <v>46113</v>
      </c>
    </row>
    <row r="2879" spans="1:6" ht="20.25">
      <c r="A2879" s="49"/>
      <c r="B2879" s="47" t="s">
        <v>963</v>
      </c>
      <c r="C2879" s="47">
        <v>51</v>
      </c>
      <c r="D2879" s="47" t="s">
        <v>63</v>
      </c>
      <c r="E2879" s="12">
        <v>46140</v>
      </c>
      <c r="F2879" s="20">
        <f t="shared" si="44"/>
        <v>46113</v>
      </c>
    </row>
    <row r="2880" spans="1:6" ht="20.25">
      <c r="A2880" s="49"/>
      <c r="B2880" s="47" t="s">
        <v>883</v>
      </c>
      <c r="C2880" s="47">
        <v>50</v>
      </c>
      <c r="D2880" s="47" t="s">
        <v>63</v>
      </c>
      <c r="E2880" s="12">
        <v>46140</v>
      </c>
      <c r="F2880" s="20">
        <f t="shared" si="44"/>
        <v>46113</v>
      </c>
    </row>
    <row r="2881" spans="1:6" ht="20.25">
      <c r="A2881" s="49"/>
      <c r="B2881" s="47" t="s">
        <v>717</v>
      </c>
      <c r="C2881" s="47">
        <v>20</v>
      </c>
      <c r="D2881" s="47" t="s">
        <v>63</v>
      </c>
      <c r="E2881" s="12">
        <v>46140</v>
      </c>
      <c r="F2881" s="20">
        <f t="shared" si="44"/>
        <v>46113</v>
      </c>
    </row>
    <row r="2882" spans="1:6" ht="20.25">
      <c r="A2882" s="49"/>
      <c r="B2882" s="47" t="s">
        <v>1463</v>
      </c>
      <c r="C2882" s="47">
        <v>32</v>
      </c>
      <c r="D2882" s="47" t="s">
        <v>63</v>
      </c>
      <c r="E2882" s="12">
        <v>46140</v>
      </c>
      <c r="F2882" s="20">
        <f t="shared" ref="F2882:F2945" si="45">EOMONTH(E2882,-1)+1</f>
        <v>46113</v>
      </c>
    </row>
    <row r="2883" spans="1:6" ht="20.25">
      <c r="A2883" s="49"/>
      <c r="B2883" s="47" t="s">
        <v>754</v>
      </c>
      <c r="C2883" s="47">
        <v>50</v>
      </c>
      <c r="D2883" s="47" t="s">
        <v>63</v>
      </c>
      <c r="E2883" s="12">
        <v>46140</v>
      </c>
      <c r="F2883" s="20">
        <f t="shared" si="45"/>
        <v>46113</v>
      </c>
    </row>
    <row r="2884" spans="1:6" ht="20.25">
      <c r="A2884" s="49"/>
      <c r="B2884" s="47" t="s">
        <v>616</v>
      </c>
      <c r="C2884" s="47">
        <v>111</v>
      </c>
      <c r="D2884" s="47" t="s">
        <v>72</v>
      </c>
      <c r="E2884" s="12">
        <v>46140</v>
      </c>
      <c r="F2884" s="20">
        <f t="shared" si="45"/>
        <v>46113</v>
      </c>
    </row>
    <row r="2885" spans="1:6" ht="20.25">
      <c r="A2885" s="49"/>
      <c r="B2885" s="47" t="s">
        <v>684</v>
      </c>
      <c r="C2885" s="47">
        <v>105</v>
      </c>
      <c r="D2885" s="47" t="s">
        <v>72</v>
      </c>
      <c r="E2885" s="12">
        <v>46140</v>
      </c>
      <c r="F2885" s="20">
        <f t="shared" si="45"/>
        <v>46113</v>
      </c>
    </row>
    <row r="2886" spans="1:6" ht="20.25">
      <c r="A2886" s="49"/>
      <c r="B2886" s="47" t="s">
        <v>667</v>
      </c>
      <c r="C2886" s="47">
        <v>154</v>
      </c>
      <c r="D2886" s="47" t="s">
        <v>72</v>
      </c>
      <c r="E2886" s="12">
        <v>46140</v>
      </c>
      <c r="F2886" s="20">
        <f t="shared" si="45"/>
        <v>46113</v>
      </c>
    </row>
    <row r="2887" spans="1:6" ht="20.25">
      <c r="A2887" s="49"/>
      <c r="B2887" s="47" t="s">
        <v>640</v>
      </c>
      <c r="C2887" s="47">
        <v>65</v>
      </c>
      <c r="D2887" s="47" t="s">
        <v>72</v>
      </c>
      <c r="E2887" s="12">
        <v>46140</v>
      </c>
      <c r="F2887" s="20">
        <f t="shared" si="45"/>
        <v>46113</v>
      </c>
    </row>
    <row r="2888" spans="1:6" ht="20.25">
      <c r="A2888" s="49"/>
      <c r="B2888" s="47" t="s">
        <v>700</v>
      </c>
      <c r="C2888" s="47">
        <v>217</v>
      </c>
      <c r="D2888" s="47" t="s">
        <v>114</v>
      </c>
      <c r="E2888" s="12">
        <v>46140</v>
      </c>
      <c r="F2888" s="20">
        <f t="shared" si="45"/>
        <v>46113</v>
      </c>
    </row>
    <row r="2889" spans="1:6" ht="20.25">
      <c r="A2889" s="49"/>
      <c r="B2889" s="47" t="s">
        <v>1357</v>
      </c>
      <c r="C2889" s="47">
        <v>29</v>
      </c>
      <c r="D2889" s="47" t="s">
        <v>114</v>
      </c>
      <c r="E2889" s="12">
        <v>46140</v>
      </c>
      <c r="F2889" s="20">
        <f t="shared" si="45"/>
        <v>46113</v>
      </c>
    </row>
    <row r="2890" spans="1:6" ht="20.25">
      <c r="A2890" s="49"/>
      <c r="B2890" s="47" t="s">
        <v>1270</v>
      </c>
      <c r="C2890" s="47">
        <v>79</v>
      </c>
      <c r="D2890" s="47" t="s">
        <v>114</v>
      </c>
      <c r="E2890" s="12">
        <v>46140</v>
      </c>
      <c r="F2890" s="20">
        <f t="shared" si="45"/>
        <v>46113</v>
      </c>
    </row>
    <row r="2891" spans="1:6" ht="20.25">
      <c r="A2891" s="49"/>
      <c r="B2891" s="47" t="s">
        <v>957</v>
      </c>
      <c r="C2891" s="47">
        <v>116</v>
      </c>
      <c r="D2891" s="47" t="s">
        <v>114</v>
      </c>
      <c r="E2891" s="12">
        <v>46140</v>
      </c>
      <c r="F2891" s="20">
        <f t="shared" si="45"/>
        <v>46113</v>
      </c>
    </row>
    <row r="2892" spans="1:6" ht="20.25">
      <c r="A2892" s="49"/>
      <c r="B2892" s="47" t="s">
        <v>1159</v>
      </c>
      <c r="C2892" s="47">
        <v>137</v>
      </c>
      <c r="D2892" s="47" t="s">
        <v>114</v>
      </c>
      <c r="E2892" s="12">
        <v>46140</v>
      </c>
      <c r="F2892" s="20">
        <f t="shared" si="45"/>
        <v>46113</v>
      </c>
    </row>
    <row r="2893" spans="1:6" ht="20.25">
      <c r="A2893" s="49"/>
      <c r="B2893" s="47" t="s">
        <v>997</v>
      </c>
      <c r="C2893" s="47">
        <v>115</v>
      </c>
      <c r="D2893" s="47" t="s">
        <v>114</v>
      </c>
      <c r="E2893" s="12">
        <v>46140</v>
      </c>
      <c r="F2893" s="20">
        <f t="shared" si="45"/>
        <v>46113</v>
      </c>
    </row>
    <row r="2894" spans="1:6" ht="20.25">
      <c r="A2894" s="49"/>
      <c r="B2894" s="47" t="s">
        <v>1498</v>
      </c>
      <c r="C2894" s="47">
        <v>83</v>
      </c>
      <c r="D2894" s="47" t="s">
        <v>114</v>
      </c>
      <c r="E2894" s="12">
        <v>46140</v>
      </c>
      <c r="F2894" s="20">
        <f t="shared" si="45"/>
        <v>46113</v>
      </c>
    </row>
    <row r="2895" spans="1:6" ht="20.25">
      <c r="A2895" s="49"/>
      <c r="B2895" s="47" t="s">
        <v>996</v>
      </c>
      <c r="C2895" s="47">
        <v>825</v>
      </c>
      <c r="D2895" s="47" t="s">
        <v>114</v>
      </c>
      <c r="E2895" s="12">
        <v>46140</v>
      </c>
      <c r="F2895" s="20">
        <f t="shared" si="45"/>
        <v>46113</v>
      </c>
    </row>
    <row r="2896" spans="1:6" ht="20.25">
      <c r="A2896" s="49"/>
      <c r="B2896" s="47" t="s">
        <v>1004</v>
      </c>
      <c r="C2896" s="47">
        <v>55</v>
      </c>
      <c r="D2896" s="47" t="s">
        <v>114</v>
      </c>
      <c r="E2896" s="12">
        <v>46140</v>
      </c>
      <c r="F2896" s="20">
        <f t="shared" si="45"/>
        <v>46113</v>
      </c>
    </row>
    <row r="2897" spans="1:6" ht="20.25">
      <c r="A2897" s="49"/>
      <c r="B2897" s="47" t="s">
        <v>960</v>
      </c>
      <c r="C2897" s="47">
        <v>58</v>
      </c>
      <c r="D2897" s="47" t="s">
        <v>114</v>
      </c>
      <c r="E2897" s="12">
        <v>46140</v>
      </c>
      <c r="F2897" s="20">
        <f t="shared" si="45"/>
        <v>46113</v>
      </c>
    </row>
    <row r="2898" spans="1:6" ht="20.25">
      <c r="A2898" s="49"/>
      <c r="B2898" s="47" t="s">
        <v>1063</v>
      </c>
      <c r="C2898" s="47">
        <v>11</v>
      </c>
      <c r="D2898" s="47" t="s">
        <v>114</v>
      </c>
      <c r="E2898" s="12">
        <v>46140</v>
      </c>
      <c r="F2898" s="20">
        <f t="shared" si="45"/>
        <v>46113</v>
      </c>
    </row>
    <row r="2899" spans="1:6" ht="20.25">
      <c r="A2899" s="49"/>
      <c r="B2899" s="47" t="s">
        <v>1359</v>
      </c>
      <c r="C2899" s="47">
        <v>2</v>
      </c>
      <c r="D2899" s="47" t="s">
        <v>114</v>
      </c>
      <c r="E2899" s="12">
        <v>46140</v>
      </c>
      <c r="F2899" s="20">
        <f t="shared" si="45"/>
        <v>46113</v>
      </c>
    </row>
    <row r="2900" spans="1:6" ht="20.25">
      <c r="A2900" s="49"/>
      <c r="B2900" s="47" t="s">
        <v>828</v>
      </c>
      <c r="C2900" s="47">
        <v>20</v>
      </c>
      <c r="D2900" s="47" t="s">
        <v>114</v>
      </c>
      <c r="E2900" s="12">
        <v>46140</v>
      </c>
      <c r="F2900" s="20">
        <f t="shared" si="45"/>
        <v>46113</v>
      </c>
    </row>
    <row r="2901" spans="1:6" ht="20.25">
      <c r="A2901" s="49"/>
      <c r="B2901" s="47" t="s">
        <v>848</v>
      </c>
      <c r="C2901" s="47">
        <v>11</v>
      </c>
      <c r="D2901" s="47" t="s">
        <v>114</v>
      </c>
      <c r="E2901" s="12">
        <v>46140</v>
      </c>
      <c r="F2901" s="20">
        <f t="shared" si="45"/>
        <v>46113</v>
      </c>
    </row>
    <row r="2902" spans="1:6" ht="20.25">
      <c r="A2902" s="49"/>
      <c r="B2902" s="47" t="s">
        <v>988</v>
      </c>
      <c r="C2902" s="47">
        <v>1</v>
      </c>
      <c r="D2902" s="47" t="s">
        <v>114</v>
      </c>
      <c r="E2902" s="12">
        <v>46140</v>
      </c>
      <c r="F2902" s="20">
        <f t="shared" si="45"/>
        <v>46113</v>
      </c>
    </row>
    <row r="2903" spans="1:6" ht="20.25">
      <c r="A2903" s="49"/>
      <c r="B2903" s="47" t="s">
        <v>915</v>
      </c>
      <c r="C2903" s="47">
        <v>50</v>
      </c>
      <c r="D2903" s="47" t="s">
        <v>114</v>
      </c>
      <c r="E2903" s="12">
        <v>46140</v>
      </c>
      <c r="F2903" s="20">
        <f t="shared" si="45"/>
        <v>46113</v>
      </c>
    </row>
    <row r="2904" spans="1:6" ht="20.25">
      <c r="A2904" s="49"/>
      <c r="B2904" s="47" t="s">
        <v>1098</v>
      </c>
      <c r="C2904" s="47">
        <v>21</v>
      </c>
      <c r="D2904" s="47" t="s">
        <v>62</v>
      </c>
      <c r="E2904" s="12">
        <v>46140</v>
      </c>
      <c r="F2904" s="20">
        <f t="shared" si="45"/>
        <v>46113</v>
      </c>
    </row>
    <row r="2905" spans="1:6" ht="20.25">
      <c r="A2905" s="49"/>
      <c r="B2905" s="47" t="s">
        <v>649</v>
      </c>
      <c r="C2905" s="47">
        <v>101</v>
      </c>
      <c r="D2905" s="47" t="s">
        <v>62</v>
      </c>
      <c r="E2905" s="12">
        <v>46140</v>
      </c>
      <c r="F2905" s="20">
        <f t="shared" si="45"/>
        <v>46113</v>
      </c>
    </row>
    <row r="2906" spans="1:6" ht="20.25">
      <c r="A2906" s="49"/>
      <c r="B2906" s="47" t="s">
        <v>814</v>
      </c>
      <c r="C2906" s="47">
        <v>93</v>
      </c>
      <c r="D2906" s="47" t="s">
        <v>62</v>
      </c>
      <c r="E2906" s="12">
        <v>46140</v>
      </c>
      <c r="F2906" s="20">
        <f t="shared" si="45"/>
        <v>46113</v>
      </c>
    </row>
    <row r="2907" spans="1:6" ht="20.25">
      <c r="A2907" s="49"/>
      <c r="B2907" s="47" t="s">
        <v>961</v>
      </c>
      <c r="C2907" s="47">
        <v>198</v>
      </c>
      <c r="D2907" s="47" t="s">
        <v>62</v>
      </c>
      <c r="E2907" s="12">
        <v>46140</v>
      </c>
      <c r="F2907" s="20">
        <f t="shared" si="45"/>
        <v>46113</v>
      </c>
    </row>
    <row r="2908" spans="1:6" ht="20.25">
      <c r="A2908" s="49"/>
      <c r="B2908" s="47" t="s">
        <v>798</v>
      </c>
      <c r="C2908" s="47">
        <v>6</v>
      </c>
      <c r="D2908" s="47" t="s">
        <v>62</v>
      </c>
      <c r="E2908" s="12">
        <v>46140</v>
      </c>
      <c r="F2908" s="20">
        <f t="shared" si="45"/>
        <v>46113</v>
      </c>
    </row>
    <row r="2909" spans="1:6" ht="20.25">
      <c r="A2909" s="49"/>
      <c r="B2909" s="47" t="s">
        <v>1263</v>
      </c>
      <c r="C2909" s="47">
        <v>5</v>
      </c>
      <c r="D2909" s="47" t="s">
        <v>62</v>
      </c>
      <c r="E2909" s="12">
        <v>46140</v>
      </c>
      <c r="F2909" s="20">
        <f t="shared" si="45"/>
        <v>46113</v>
      </c>
    </row>
    <row r="2910" spans="1:6" ht="20.25">
      <c r="A2910" s="49"/>
      <c r="B2910" s="47" t="s">
        <v>799</v>
      </c>
      <c r="C2910" s="47">
        <v>42</v>
      </c>
      <c r="D2910" s="47" t="s">
        <v>62</v>
      </c>
      <c r="E2910" s="12">
        <v>46140</v>
      </c>
      <c r="F2910" s="20">
        <f t="shared" si="45"/>
        <v>46113</v>
      </c>
    </row>
    <row r="2911" spans="1:6" ht="20.25">
      <c r="A2911" s="49"/>
      <c r="B2911" s="47" t="s">
        <v>612</v>
      </c>
      <c r="C2911" s="47">
        <v>21</v>
      </c>
      <c r="D2911" s="47" t="s">
        <v>62</v>
      </c>
      <c r="E2911" s="12">
        <v>46140</v>
      </c>
      <c r="F2911" s="20">
        <f t="shared" si="45"/>
        <v>46113</v>
      </c>
    </row>
    <row r="2912" spans="1:6" ht="20.25">
      <c r="A2912" s="49"/>
      <c r="B2912" s="47" t="s">
        <v>612</v>
      </c>
      <c r="C2912" s="47">
        <v>474</v>
      </c>
      <c r="D2912" s="47" t="s">
        <v>62</v>
      </c>
      <c r="E2912" s="12">
        <v>46140</v>
      </c>
      <c r="F2912" s="20">
        <f t="shared" si="45"/>
        <v>46113</v>
      </c>
    </row>
    <row r="2913" spans="1:6" ht="20.25">
      <c r="A2913" s="49"/>
      <c r="B2913" s="47" t="s">
        <v>711</v>
      </c>
      <c r="C2913" s="47">
        <v>213</v>
      </c>
      <c r="D2913" s="47" t="s">
        <v>62</v>
      </c>
      <c r="E2913" s="12">
        <v>46140</v>
      </c>
      <c r="F2913" s="20">
        <f t="shared" si="45"/>
        <v>46113</v>
      </c>
    </row>
    <row r="2914" spans="1:6" ht="20.25">
      <c r="A2914" s="49"/>
      <c r="B2914" s="47" t="s">
        <v>1107</v>
      </c>
      <c r="C2914" s="47">
        <v>59</v>
      </c>
      <c r="D2914" s="47" t="s">
        <v>95</v>
      </c>
      <c r="E2914" s="12">
        <v>46140</v>
      </c>
      <c r="F2914" s="20">
        <f t="shared" si="45"/>
        <v>46113</v>
      </c>
    </row>
    <row r="2915" spans="1:6" ht="20.25">
      <c r="A2915" s="49"/>
      <c r="B2915" s="47" t="s">
        <v>760</v>
      </c>
      <c r="C2915" s="47">
        <v>48</v>
      </c>
      <c r="D2915" s="47" t="s">
        <v>160</v>
      </c>
      <c r="E2915" s="12">
        <v>46140</v>
      </c>
      <c r="F2915" s="20">
        <f t="shared" si="45"/>
        <v>46113</v>
      </c>
    </row>
    <row r="2916" spans="1:6" ht="20.25">
      <c r="A2916" s="49"/>
      <c r="B2916" s="47" t="s">
        <v>1278</v>
      </c>
      <c r="C2916" s="47">
        <v>37</v>
      </c>
      <c r="D2916" s="47" t="s">
        <v>160</v>
      </c>
      <c r="E2916" s="12">
        <v>46140</v>
      </c>
      <c r="F2916" s="20">
        <f t="shared" si="45"/>
        <v>46113</v>
      </c>
    </row>
    <row r="2917" spans="1:6" ht="20.25">
      <c r="A2917" s="49"/>
      <c r="B2917" s="47" t="s">
        <v>923</v>
      </c>
      <c r="C2917" s="47">
        <v>60</v>
      </c>
      <c r="D2917" s="47" t="s">
        <v>160</v>
      </c>
      <c r="E2917" s="12">
        <v>46140</v>
      </c>
      <c r="F2917" s="20">
        <f t="shared" si="45"/>
        <v>46113</v>
      </c>
    </row>
    <row r="2918" spans="1:6" ht="20.25">
      <c r="A2918" s="49"/>
      <c r="B2918" s="47" t="s">
        <v>986</v>
      </c>
      <c r="C2918" s="47">
        <v>15</v>
      </c>
      <c r="D2918" s="47" t="s">
        <v>160</v>
      </c>
      <c r="E2918" s="12">
        <v>46140</v>
      </c>
      <c r="F2918" s="20">
        <f t="shared" si="45"/>
        <v>46113</v>
      </c>
    </row>
    <row r="2919" spans="1:6" ht="20.25">
      <c r="A2919" s="49"/>
      <c r="B2919" s="47" t="s">
        <v>1457</v>
      </c>
      <c r="C2919" s="47">
        <v>325</v>
      </c>
      <c r="D2919" s="47" t="s">
        <v>72</v>
      </c>
      <c r="E2919" s="12">
        <v>46140</v>
      </c>
      <c r="F2919" s="20">
        <f t="shared" si="45"/>
        <v>46113</v>
      </c>
    </row>
    <row r="2920" spans="1:6" ht="20.25">
      <c r="A2920" s="49"/>
      <c r="B2920" s="47" t="s">
        <v>1143</v>
      </c>
      <c r="C2920" s="47">
        <v>126</v>
      </c>
      <c r="D2920" s="47" t="s">
        <v>72</v>
      </c>
      <c r="E2920" s="12">
        <v>46140</v>
      </c>
      <c r="F2920" s="20">
        <f t="shared" si="45"/>
        <v>46113</v>
      </c>
    </row>
    <row r="2921" spans="1:6" ht="20.25">
      <c r="A2921" s="49"/>
      <c r="B2921" s="47" t="s">
        <v>630</v>
      </c>
      <c r="C2921" s="47">
        <v>31</v>
      </c>
      <c r="D2921" s="47" t="s">
        <v>55</v>
      </c>
      <c r="E2921" s="12">
        <v>46140</v>
      </c>
      <c r="F2921" s="20">
        <f t="shared" si="45"/>
        <v>46113</v>
      </c>
    </row>
    <row r="2922" spans="1:6" ht="20.25">
      <c r="A2922" s="49"/>
      <c r="B2922" s="47" t="s">
        <v>811</v>
      </c>
      <c r="C2922" s="47">
        <v>145</v>
      </c>
      <c r="D2922" s="47" t="s">
        <v>55</v>
      </c>
      <c r="E2922" s="12">
        <v>46140</v>
      </c>
      <c r="F2922" s="20">
        <f t="shared" si="45"/>
        <v>46113</v>
      </c>
    </row>
    <row r="2923" spans="1:6" ht="20.25">
      <c r="A2923" s="49"/>
      <c r="B2923" s="47" t="s">
        <v>1094</v>
      </c>
      <c r="C2923" s="47">
        <v>176</v>
      </c>
      <c r="D2923" s="47" t="s">
        <v>55</v>
      </c>
      <c r="E2923" s="12">
        <v>46140</v>
      </c>
      <c r="F2923" s="20">
        <f t="shared" si="45"/>
        <v>46113</v>
      </c>
    </row>
    <row r="2924" spans="1:6" ht="20.25">
      <c r="A2924" s="49"/>
      <c r="B2924" s="47" t="s">
        <v>939</v>
      </c>
      <c r="C2924" s="47">
        <v>104</v>
      </c>
      <c r="D2924" s="47" t="s">
        <v>55</v>
      </c>
      <c r="E2924" s="12">
        <v>46140</v>
      </c>
      <c r="F2924" s="20">
        <f t="shared" si="45"/>
        <v>46113</v>
      </c>
    </row>
    <row r="2925" spans="1:6" ht="20.25">
      <c r="A2925" s="49"/>
      <c r="B2925" s="47" t="s">
        <v>805</v>
      </c>
      <c r="C2925" s="47">
        <v>98</v>
      </c>
      <c r="D2925" s="47" t="s">
        <v>55</v>
      </c>
      <c r="E2925" s="12">
        <v>46140</v>
      </c>
      <c r="F2925" s="20">
        <f t="shared" si="45"/>
        <v>46113</v>
      </c>
    </row>
    <row r="2926" spans="1:6" ht="20.25">
      <c r="A2926" s="49"/>
      <c r="B2926" s="47" t="s">
        <v>628</v>
      </c>
      <c r="C2926" s="47">
        <v>35</v>
      </c>
      <c r="D2926" s="47" t="s">
        <v>55</v>
      </c>
      <c r="E2926" s="12">
        <v>46140</v>
      </c>
      <c r="F2926" s="20">
        <f t="shared" si="45"/>
        <v>46113</v>
      </c>
    </row>
    <row r="2927" spans="1:6" ht="20.25">
      <c r="A2927" s="49"/>
      <c r="B2927" s="47" t="s">
        <v>661</v>
      </c>
      <c r="C2927" s="47">
        <v>77</v>
      </c>
      <c r="D2927" s="47" t="s">
        <v>55</v>
      </c>
      <c r="E2927" s="12">
        <v>46140</v>
      </c>
      <c r="F2927" s="20">
        <f t="shared" si="45"/>
        <v>46113</v>
      </c>
    </row>
    <row r="2928" spans="1:6" ht="20.25">
      <c r="A2928" s="49"/>
      <c r="B2928" s="47" t="s">
        <v>865</v>
      </c>
      <c r="C2928" s="47">
        <v>171</v>
      </c>
      <c r="D2928" s="47" t="s">
        <v>55</v>
      </c>
      <c r="E2928" s="12">
        <v>46140</v>
      </c>
      <c r="F2928" s="20">
        <f t="shared" si="45"/>
        <v>46113</v>
      </c>
    </row>
    <row r="2929" spans="1:6" ht="20.25">
      <c r="A2929" s="49"/>
      <c r="B2929" s="47" t="s">
        <v>937</v>
      </c>
      <c r="C2929" s="47">
        <v>71</v>
      </c>
      <c r="D2929" s="47" t="s">
        <v>55</v>
      </c>
      <c r="E2929" s="12">
        <v>46140</v>
      </c>
      <c r="F2929" s="20">
        <f t="shared" si="45"/>
        <v>46113</v>
      </c>
    </row>
    <row r="2930" spans="1:6" ht="20.25">
      <c r="A2930" s="49"/>
      <c r="B2930" s="47" t="s">
        <v>709</v>
      </c>
      <c r="C2930" s="47">
        <v>298</v>
      </c>
      <c r="D2930" s="47" t="s">
        <v>72</v>
      </c>
      <c r="E2930" s="12">
        <v>46140</v>
      </c>
      <c r="F2930" s="20">
        <f t="shared" si="45"/>
        <v>46113</v>
      </c>
    </row>
    <row r="2931" spans="1:6" ht="20.25">
      <c r="A2931" s="49"/>
      <c r="B2931" s="47" t="s">
        <v>709</v>
      </c>
      <c r="C2931" s="47">
        <v>72</v>
      </c>
      <c r="D2931" s="47" t="s">
        <v>72</v>
      </c>
      <c r="E2931" s="12">
        <v>46140</v>
      </c>
      <c r="F2931" s="20">
        <f t="shared" si="45"/>
        <v>46113</v>
      </c>
    </row>
    <row r="2932" spans="1:6" ht="20.25">
      <c r="A2932" s="49"/>
      <c r="B2932" s="47" t="s">
        <v>1478</v>
      </c>
      <c r="C2932" s="47">
        <v>150</v>
      </c>
      <c r="D2932" s="47" t="s">
        <v>133</v>
      </c>
      <c r="E2932" s="12">
        <v>46140</v>
      </c>
      <c r="F2932" s="20">
        <f t="shared" si="45"/>
        <v>46113</v>
      </c>
    </row>
    <row r="2933" spans="1:6" ht="20.25">
      <c r="A2933" s="49"/>
      <c r="B2933" s="47" t="s">
        <v>1478</v>
      </c>
      <c r="C2933" s="47">
        <v>9</v>
      </c>
      <c r="D2933" s="47" t="s">
        <v>133</v>
      </c>
      <c r="E2933" s="12">
        <v>46140</v>
      </c>
      <c r="F2933" s="20">
        <f t="shared" si="45"/>
        <v>46113</v>
      </c>
    </row>
    <row r="2934" spans="1:6" ht="20.25">
      <c r="A2934" s="49"/>
      <c r="B2934" s="47" t="s">
        <v>1603</v>
      </c>
      <c r="C2934" s="47">
        <v>50</v>
      </c>
      <c r="D2934" s="47" t="s">
        <v>133</v>
      </c>
      <c r="E2934" s="12">
        <v>46140</v>
      </c>
      <c r="F2934" s="20">
        <f t="shared" si="45"/>
        <v>46113</v>
      </c>
    </row>
    <row r="2935" spans="1:6" ht="20.25">
      <c r="A2935" s="49"/>
      <c r="B2935" s="47" t="s">
        <v>1479</v>
      </c>
      <c r="C2935" s="47">
        <v>8</v>
      </c>
      <c r="D2935" s="47" t="s">
        <v>133</v>
      </c>
      <c r="E2935" s="12">
        <v>46140</v>
      </c>
      <c r="F2935" s="20">
        <f t="shared" si="45"/>
        <v>46113</v>
      </c>
    </row>
    <row r="2936" spans="1:6" ht="20.25">
      <c r="A2936" s="49"/>
      <c r="B2936" s="47" t="s">
        <v>705</v>
      </c>
      <c r="C2936" s="47">
        <v>20</v>
      </c>
      <c r="D2936" s="47" t="s">
        <v>133</v>
      </c>
      <c r="E2936" s="12">
        <v>46140</v>
      </c>
      <c r="F2936" s="20">
        <f t="shared" si="45"/>
        <v>46113</v>
      </c>
    </row>
    <row r="2937" spans="1:6" ht="20.25">
      <c r="A2937" s="49"/>
      <c r="B2937" s="47" t="s">
        <v>817</v>
      </c>
      <c r="C2937" s="47">
        <v>11</v>
      </c>
      <c r="D2937" s="47" t="s">
        <v>133</v>
      </c>
      <c r="E2937" s="12">
        <v>46140</v>
      </c>
      <c r="F2937" s="20">
        <f t="shared" si="45"/>
        <v>46113</v>
      </c>
    </row>
    <row r="2938" spans="1:6" ht="20.25">
      <c r="A2938" s="49"/>
      <c r="B2938" s="47" t="s">
        <v>1549</v>
      </c>
      <c r="C2938" s="47">
        <v>430</v>
      </c>
      <c r="D2938" s="47" t="s">
        <v>1484</v>
      </c>
      <c r="E2938" s="12">
        <v>46140</v>
      </c>
      <c r="F2938" s="20">
        <f t="shared" si="45"/>
        <v>46113</v>
      </c>
    </row>
    <row r="2939" spans="1:6" ht="20.25">
      <c r="A2939" s="49"/>
      <c r="B2939" s="47" t="s">
        <v>1549</v>
      </c>
      <c r="C2939" s="47">
        <v>981</v>
      </c>
      <c r="D2939" s="47" t="s">
        <v>1484</v>
      </c>
      <c r="E2939" s="12">
        <v>46140</v>
      </c>
      <c r="F2939" s="20">
        <f t="shared" si="45"/>
        <v>46113</v>
      </c>
    </row>
    <row r="2940" spans="1:6" ht="20.25">
      <c r="A2940" s="49"/>
      <c r="B2940" s="47" t="s">
        <v>1488</v>
      </c>
      <c r="C2940" s="47">
        <v>77</v>
      </c>
      <c r="D2940" s="47" t="s">
        <v>133</v>
      </c>
      <c r="E2940" s="12">
        <v>46140</v>
      </c>
      <c r="F2940" s="20">
        <f t="shared" si="45"/>
        <v>46113</v>
      </c>
    </row>
    <row r="2941" spans="1:6" ht="20.25">
      <c r="A2941" s="49"/>
      <c r="B2941" s="47" t="s">
        <v>748</v>
      </c>
      <c r="C2941" s="47">
        <v>152</v>
      </c>
      <c r="D2941" s="47" t="s">
        <v>82</v>
      </c>
      <c r="E2941" s="12">
        <v>46140</v>
      </c>
      <c r="F2941" s="20">
        <f t="shared" si="45"/>
        <v>46113</v>
      </c>
    </row>
    <row r="2942" spans="1:6" ht="20.25">
      <c r="A2942" s="49"/>
      <c r="B2942" s="47" t="s">
        <v>786</v>
      </c>
      <c r="C2942" s="47">
        <v>151</v>
      </c>
      <c r="D2942" s="47" t="s">
        <v>82</v>
      </c>
      <c r="E2942" s="12">
        <v>46140</v>
      </c>
      <c r="F2942" s="20">
        <f t="shared" si="45"/>
        <v>46113</v>
      </c>
    </row>
    <row r="2943" spans="1:6" ht="20.25">
      <c r="A2943" s="49"/>
      <c r="B2943" s="47" t="s">
        <v>962</v>
      </c>
      <c r="C2943" s="47">
        <v>424</v>
      </c>
      <c r="D2943" s="47" t="s">
        <v>82</v>
      </c>
      <c r="E2943" s="12">
        <v>46140</v>
      </c>
      <c r="F2943" s="20">
        <f t="shared" si="45"/>
        <v>46113</v>
      </c>
    </row>
    <row r="2944" spans="1:6" ht="20.25">
      <c r="A2944" s="49"/>
      <c r="B2944" s="47" t="s">
        <v>942</v>
      </c>
      <c r="C2944" s="47">
        <v>49</v>
      </c>
      <c r="D2944" s="47" t="s">
        <v>82</v>
      </c>
      <c r="E2944" s="12">
        <v>46140</v>
      </c>
      <c r="F2944" s="20">
        <f t="shared" si="45"/>
        <v>46113</v>
      </c>
    </row>
    <row r="2945" spans="1:6" ht="20.25">
      <c r="A2945" s="49"/>
      <c r="B2945" s="47" t="s">
        <v>942</v>
      </c>
      <c r="C2945" s="47">
        <v>113</v>
      </c>
      <c r="D2945" s="47" t="s">
        <v>82</v>
      </c>
      <c r="E2945" s="12">
        <v>46140</v>
      </c>
      <c r="F2945" s="20">
        <f t="shared" si="45"/>
        <v>46113</v>
      </c>
    </row>
    <row r="2946" spans="1:6" ht="20.25">
      <c r="A2946" s="49"/>
      <c r="B2946" s="47" t="s">
        <v>697</v>
      </c>
      <c r="C2946" s="47">
        <v>67</v>
      </c>
      <c r="D2946" s="47" t="s">
        <v>82</v>
      </c>
      <c r="E2946" s="12">
        <v>46140</v>
      </c>
      <c r="F2946" s="20">
        <f t="shared" ref="F2946:F3009" si="46">EOMONTH(E2946,-1)+1</f>
        <v>46113</v>
      </c>
    </row>
    <row r="2947" spans="1:6" ht="20.25">
      <c r="A2947" s="49"/>
      <c r="B2947" s="47" t="s">
        <v>798</v>
      </c>
      <c r="C2947" s="47">
        <v>139</v>
      </c>
      <c r="D2947" s="47" t="s">
        <v>82</v>
      </c>
      <c r="E2947" s="12">
        <v>46140</v>
      </c>
      <c r="F2947" s="20">
        <f t="shared" si="46"/>
        <v>46113</v>
      </c>
    </row>
    <row r="2948" spans="1:6" ht="20.25">
      <c r="A2948" s="49"/>
      <c r="B2948" s="47" t="s">
        <v>798</v>
      </c>
      <c r="C2948" s="47">
        <v>122</v>
      </c>
      <c r="D2948" s="47" t="s">
        <v>82</v>
      </c>
      <c r="E2948" s="12">
        <v>46140</v>
      </c>
      <c r="F2948" s="20">
        <f t="shared" si="46"/>
        <v>46113</v>
      </c>
    </row>
    <row r="2949" spans="1:6" ht="20.25">
      <c r="A2949" s="49"/>
      <c r="B2949" s="47" t="s">
        <v>942</v>
      </c>
      <c r="C2949" s="47">
        <v>367</v>
      </c>
      <c r="D2949" s="47" t="s">
        <v>82</v>
      </c>
      <c r="E2949" s="12">
        <v>46140</v>
      </c>
      <c r="F2949" s="20">
        <f t="shared" si="46"/>
        <v>46113</v>
      </c>
    </row>
    <row r="2950" spans="1:6" ht="20.25">
      <c r="A2950" s="49"/>
      <c r="B2950" s="47" t="s">
        <v>1551</v>
      </c>
      <c r="C2950" s="47">
        <v>304</v>
      </c>
      <c r="D2950" s="47" t="s">
        <v>82</v>
      </c>
      <c r="E2950" s="12">
        <v>46140</v>
      </c>
      <c r="F2950" s="20">
        <f t="shared" si="46"/>
        <v>46113</v>
      </c>
    </row>
    <row r="2951" spans="1:6" ht="20.25">
      <c r="A2951" s="49"/>
      <c r="B2951" s="47" t="s">
        <v>757</v>
      </c>
      <c r="C2951" s="47">
        <v>50</v>
      </c>
      <c r="D2951" s="47" t="s">
        <v>66</v>
      </c>
      <c r="E2951" s="12">
        <v>46140</v>
      </c>
      <c r="F2951" s="20">
        <f t="shared" si="46"/>
        <v>46113</v>
      </c>
    </row>
    <row r="2952" spans="1:6" ht="20.25">
      <c r="A2952" s="49"/>
      <c r="B2952" s="47" t="s">
        <v>757</v>
      </c>
      <c r="C2952" s="47">
        <v>160</v>
      </c>
      <c r="D2952" s="47" t="s">
        <v>66</v>
      </c>
      <c r="E2952" s="12">
        <v>46140</v>
      </c>
      <c r="F2952" s="20">
        <f t="shared" si="46"/>
        <v>46113</v>
      </c>
    </row>
    <row r="2953" spans="1:6" ht="20.25">
      <c r="A2953" s="49"/>
      <c r="B2953" s="47" t="s">
        <v>1085</v>
      </c>
      <c r="C2953" s="47">
        <v>250</v>
      </c>
      <c r="D2953" s="47" t="s">
        <v>66</v>
      </c>
      <c r="E2953" s="12">
        <v>46140</v>
      </c>
      <c r="F2953" s="20">
        <f t="shared" si="46"/>
        <v>46113</v>
      </c>
    </row>
    <row r="2954" spans="1:6" ht="20.25">
      <c r="A2954" s="49"/>
      <c r="B2954" s="47" t="s">
        <v>941</v>
      </c>
      <c r="C2954" s="47">
        <v>72</v>
      </c>
      <c r="D2954" s="47" t="s">
        <v>66</v>
      </c>
      <c r="E2954" s="12">
        <v>46140</v>
      </c>
      <c r="F2954" s="20">
        <f t="shared" si="46"/>
        <v>46113</v>
      </c>
    </row>
    <row r="2955" spans="1:6" ht="20.25">
      <c r="A2955" s="49"/>
      <c r="B2955" s="47" t="s">
        <v>941</v>
      </c>
      <c r="C2955" s="47">
        <v>168</v>
      </c>
      <c r="D2955" s="47" t="s">
        <v>66</v>
      </c>
      <c r="E2955" s="12">
        <v>46140</v>
      </c>
      <c r="F2955" s="20">
        <f t="shared" si="46"/>
        <v>46113</v>
      </c>
    </row>
    <row r="2956" spans="1:6" ht="20.25">
      <c r="A2956" s="49"/>
      <c r="B2956" s="47" t="s">
        <v>693</v>
      </c>
      <c r="C2956" s="47">
        <v>236</v>
      </c>
      <c r="D2956" s="47" t="s">
        <v>66</v>
      </c>
      <c r="E2956" s="12">
        <v>46140</v>
      </c>
      <c r="F2956" s="20">
        <f t="shared" si="46"/>
        <v>46113</v>
      </c>
    </row>
    <row r="2957" spans="1:6" ht="20.25">
      <c r="A2957" s="49"/>
      <c r="B2957" s="47" t="s">
        <v>693</v>
      </c>
      <c r="C2957" s="47">
        <v>252</v>
      </c>
      <c r="D2957" s="47" t="s">
        <v>66</v>
      </c>
      <c r="E2957" s="12">
        <v>46140</v>
      </c>
      <c r="F2957" s="20">
        <f t="shared" si="46"/>
        <v>46113</v>
      </c>
    </row>
    <row r="2958" spans="1:6" ht="20.25">
      <c r="A2958" s="49"/>
      <c r="B2958" s="47" t="s">
        <v>890</v>
      </c>
      <c r="C2958" s="47">
        <v>117</v>
      </c>
      <c r="D2958" s="47" t="s">
        <v>46</v>
      </c>
      <c r="E2958" s="12">
        <v>46140</v>
      </c>
      <c r="F2958" s="20">
        <f t="shared" si="46"/>
        <v>46113</v>
      </c>
    </row>
    <row r="2959" spans="1:6" ht="20.25">
      <c r="A2959" s="49"/>
      <c r="B2959" s="47" t="s">
        <v>889</v>
      </c>
      <c r="C2959" s="47">
        <v>108</v>
      </c>
      <c r="D2959" s="47" t="s">
        <v>46</v>
      </c>
      <c r="E2959" s="12">
        <v>46140</v>
      </c>
      <c r="F2959" s="20">
        <f t="shared" si="46"/>
        <v>46113</v>
      </c>
    </row>
    <row r="2960" spans="1:6" ht="20.25">
      <c r="A2960" s="49"/>
      <c r="B2960" s="47" t="s">
        <v>1173</v>
      </c>
      <c r="C2960" s="47">
        <v>155</v>
      </c>
      <c r="D2960" s="47" t="s">
        <v>46</v>
      </c>
      <c r="E2960" s="12">
        <v>46140</v>
      </c>
      <c r="F2960" s="20">
        <f t="shared" si="46"/>
        <v>46113</v>
      </c>
    </row>
    <row r="2961" spans="1:6" ht="20.25">
      <c r="A2961" s="49"/>
      <c r="B2961" s="47" t="s">
        <v>1528</v>
      </c>
      <c r="C2961" s="47">
        <v>46</v>
      </c>
      <c r="D2961" s="47" t="s">
        <v>46</v>
      </c>
      <c r="E2961" s="12">
        <v>46140</v>
      </c>
      <c r="F2961" s="20">
        <f t="shared" si="46"/>
        <v>46113</v>
      </c>
    </row>
    <row r="2962" spans="1:6" ht="20.25">
      <c r="A2962" s="49"/>
      <c r="B2962" s="47" t="s">
        <v>1528</v>
      </c>
      <c r="C2962" s="47">
        <v>203</v>
      </c>
      <c r="D2962" s="47" t="s">
        <v>46</v>
      </c>
      <c r="E2962" s="12">
        <v>46140</v>
      </c>
      <c r="F2962" s="20">
        <f t="shared" si="46"/>
        <v>46113</v>
      </c>
    </row>
    <row r="2963" spans="1:6" ht="20.25">
      <c r="A2963" s="49"/>
      <c r="B2963" s="47" t="s">
        <v>1529</v>
      </c>
      <c r="C2963" s="47">
        <v>29</v>
      </c>
      <c r="D2963" s="47" t="s">
        <v>46</v>
      </c>
      <c r="E2963" s="12">
        <v>46140</v>
      </c>
      <c r="F2963" s="20">
        <f t="shared" si="46"/>
        <v>46113</v>
      </c>
    </row>
    <row r="2964" spans="1:6" ht="20.25">
      <c r="A2964" s="49"/>
      <c r="B2964" s="47" t="s">
        <v>1529</v>
      </c>
      <c r="C2964" s="47">
        <v>81</v>
      </c>
      <c r="D2964" s="47" t="s">
        <v>46</v>
      </c>
      <c r="E2964" s="12">
        <v>46140</v>
      </c>
      <c r="F2964" s="20">
        <f t="shared" si="46"/>
        <v>46113</v>
      </c>
    </row>
    <row r="2965" spans="1:6" ht="20.25">
      <c r="A2965" s="49"/>
      <c r="B2965" s="47" t="s">
        <v>1262</v>
      </c>
      <c r="C2965" s="47">
        <v>119</v>
      </c>
      <c r="D2965" s="47" t="s">
        <v>46</v>
      </c>
      <c r="E2965" s="12">
        <v>46140</v>
      </c>
      <c r="F2965" s="20">
        <f t="shared" si="46"/>
        <v>46113</v>
      </c>
    </row>
    <row r="2966" spans="1:6" ht="20.25">
      <c r="A2966" s="49"/>
      <c r="B2966" s="47" t="s">
        <v>671</v>
      </c>
      <c r="C2966" s="47">
        <v>755</v>
      </c>
      <c r="D2966" s="47" t="s">
        <v>46</v>
      </c>
      <c r="E2966" s="12">
        <v>46140</v>
      </c>
      <c r="F2966" s="20">
        <f t="shared" si="46"/>
        <v>46113</v>
      </c>
    </row>
    <row r="2967" spans="1:6" ht="20.25">
      <c r="A2967" s="49"/>
      <c r="B2967" s="47" t="s">
        <v>915</v>
      </c>
      <c r="C2967" s="47">
        <v>164</v>
      </c>
      <c r="D2967" s="47" t="s">
        <v>46</v>
      </c>
      <c r="E2967" s="12">
        <v>46140</v>
      </c>
      <c r="F2967" s="20">
        <f t="shared" si="46"/>
        <v>46113</v>
      </c>
    </row>
    <row r="2968" spans="1:6" ht="20.25">
      <c r="A2968" s="49"/>
      <c r="B2968" s="47" t="s">
        <v>915</v>
      </c>
      <c r="C2968" s="47">
        <v>340</v>
      </c>
      <c r="D2968" s="47" t="s">
        <v>46</v>
      </c>
      <c r="E2968" s="12">
        <v>46140</v>
      </c>
      <c r="F2968" s="20">
        <f t="shared" si="46"/>
        <v>46113</v>
      </c>
    </row>
    <row r="2969" spans="1:6" ht="20.25">
      <c r="A2969" s="49"/>
      <c r="B2969" s="47" t="s">
        <v>1374</v>
      </c>
      <c r="C2969" s="47">
        <v>224</v>
      </c>
      <c r="D2969" s="47" t="s">
        <v>46</v>
      </c>
      <c r="E2969" s="12">
        <v>46140</v>
      </c>
      <c r="F2969" s="20">
        <f t="shared" si="46"/>
        <v>46113</v>
      </c>
    </row>
    <row r="2970" spans="1:6" ht="20.25">
      <c r="A2970" s="49"/>
      <c r="B2970" s="47" t="s">
        <v>1443</v>
      </c>
      <c r="C2970" s="47">
        <v>66</v>
      </c>
      <c r="D2970" s="47" t="s">
        <v>46</v>
      </c>
      <c r="E2970" s="12">
        <v>46140</v>
      </c>
      <c r="F2970" s="20">
        <f t="shared" si="46"/>
        <v>46113</v>
      </c>
    </row>
    <row r="2971" spans="1:6" ht="20.25">
      <c r="A2971" s="49"/>
      <c r="B2971" s="47" t="s">
        <v>868</v>
      </c>
      <c r="C2971" s="47">
        <v>32</v>
      </c>
      <c r="D2971" s="47" t="s">
        <v>46</v>
      </c>
      <c r="E2971" s="12">
        <v>46140</v>
      </c>
      <c r="F2971" s="20">
        <f t="shared" si="46"/>
        <v>46113</v>
      </c>
    </row>
    <row r="2972" spans="1:6" ht="20.25">
      <c r="A2972" s="49"/>
      <c r="B2972" s="47" t="s">
        <v>978</v>
      </c>
      <c r="C2972" s="47">
        <v>348</v>
      </c>
      <c r="D2972" s="47" t="s">
        <v>72</v>
      </c>
      <c r="E2972" s="12">
        <v>46140</v>
      </c>
      <c r="F2972" s="20">
        <f t="shared" si="46"/>
        <v>46113</v>
      </c>
    </row>
    <row r="2973" spans="1:6" ht="20.25">
      <c r="A2973" s="49"/>
      <c r="B2973" s="47" t="s">
        <v>978</v>
      </c>
      <c r="C2973" s="47">
        <v>71</v>
      </c>
      <c r="D2973" s="47" t="s">
        <v>72</v>
      </c>
      <c r="E2973" s="12">
        <v>46140</v>
      </c>
      <c r="F2973" s="20">
        <f t="shared" si="46"/>
        <v>46113</v>
      </c>
    </row>
    <row r="2974" spans="1:6" ht="20.25">
      <c r="A2974" s="49"/>
      <c r="B2974" s="47" t="s">
        <v>701</v>
      </c>
      <c r="C2974" s="47">
        <v>208</v>
      </c>
      <c r="D2974" s="47" t="s">
        <v>72</v>
      </c>
      <c r="E2974" s="12">
        <v>46140</v>
      </c>
      <c r="F2974" s="20">
        <f t="shared" si="46"/>
        <v>46113</v>
      </c>
    </row>
    <row r="2975" spans="1:6" ht="20.25">
      <c r="A2975" s="49"/>
      <c r="B2975" s="47" t="s">
        <v>616</v>
      </c>
      <c r="C2975" s="47">
        <v>164</v>
      </c>
      <c r="D2975" s="47" t="s">
        <v>72</v>
      </c>
      <c r="E2975" s="12">
        <v>46140</v>
      </c>
      <c r="F2975" s="20">
        <f t="shared" si="46"/>
        <v>46113</v>
      </c>
    </row>
    <row r="2976" spans="1:6" ht="20.25">
      <c r="A2976" s="49"/>
      <c r="B2976" s="47" t="s">
        <v>1136</v>
      </c>
      <c r="C2976" s="47">
        <v>89</v>
      </c>
      <c r="D2976" s="47" t="s">
        <v>72</v>
      </c>
      <c r="E2976" s="12">
        <v>46140</v>
      </c>
      <c r="F2976" s="20">
        <f t="shared" si="46"/>
        <v>46113</v>
      </c>
    </row>
    <row r="2977" spans="1:6" ht="20.25">
      <c r="A2977" s="49"/>
      <c r="B2977" s="47" t="s">
        <v>910</v>
      </c>
      <c r="C2977" s="47">
        <v>214</v>
      </c>
      <c r="D2977" s="47" t="s">
        <v>63</v>
      </c>
      <c r="E2977" s="12">
        <v>46140</v>
      </c>
      <c r="F2977" s="20">
        <f t="shared" si="46"/>
        <v>46113</v>
      </c>
    </row>
    <row r="2978" spans="1:6" ht="20.25">
      <c r="A2978" s="49"/>
      <c r="B2978" s="47" t="s">
        <v>882</v>
      </c>
      <c r="C2978" s="47">
        <v>0</v>
      </c>
      <c r="D2978" s="47" t="s">
        <v>63</v>
      </c>
      <c r="E2978" s="12">
        <v>46140</v>
      </c>
      <c r="F2978" s="20">
        <f t="shared" si="46"/>
        <v>46113</v>
      </c>
    </row>
    <row r="2979" spans="1:6" ht="20.25">
      <c r="A2979" s="49"/>
      <c r="B2979" s="47" t="s">
        <v>882</v>
      </c>
      <c r="C2979" s="47">
        <v>0</v>
      </c>
      <c r="D2979" s="47" t="s">
        <v>63</v>
      </c>
      <c r="E2979" s="12">
        <v>46140</v>
      </c>
      <c r="F2979" s="20">
        <f t="shared" si="46"/>
        <v>46113</v>
      </c>
    </row>
    <row r="2980" spans="1:6" ht="20.25">
      <c r="A2980" s="49"/>
      <c r="B2980" s="47" t="s">
        <v>765</v>
      </c>
      <c r="C2980" s="47">
        <v>366</v>
      </c>
      <c r="D2980" s="47" t="s">
        <v>55</v>
      </c>
      <c r="E2980" s="12">
        <v>46140</v>
      </c>
      <c r="F2980" s="20">
        <f t="shared" si="46"/>
        <v>46113</v>
      </c>
    </row>
    <row r="2981" spans="1:6" ht="20.25">
      <c r="A2981" s="49"/>
      <c r="B2981" s="47" t="s">
        <v>832</v>
      </c>
      <c r="C2981" s="47">
        <v>12</v>
      </c>
      <c r="D2981" s="47" t="s">
        <v>72</v>
      </c>
      <c r="E2981" s="12">
        <v>46140</v>
      </c>
      <c r="F2981" s="20">
        <f t="shared" si="46"/>
        <v>46113</v>
      </c>
    </row>
    <row r="2982" spans="1:6" ht="20.25">
      <c r="A2982" s="49"/>
      <c r="B2982" s="47" t="s">
        <v>1549</v>
      </c>
      <c r="C2982" s="47">
        <v>968</v>
      </c>
      <c r="D2982" s="47" t="s">
        <v>63</v>
      </c>
      <c r="E2982" s="12">
        <v>46140</v>
      </c>
      <c r="F2982" s="20">
        <f t="shared" si="46"/>
        <v>46113</v>
      </c>
    </row>
    <row r="2983" spans="1:6" ht="20.25">
      <c r="A2983" s="49"/>
      <c r="B2983" s="47" t="s">
        <v>1168</v>
      </c>
      <c r="C2983" s="47">
        <v>102</v>
      </c>
      <c r="D2983" s="47" t="s">
        <v>62</v>
      </c>
      <c r="E2983" s="12">
        <v>46140</v>
      </c>
      <c r="F2983" s="20">
        <f t="shared" si="46"/>
        <v>46113</v>
      </c>
    </row>
    <row r="2984" spans="1:6" ht="20.25">
      <c r="A2984" s="49"/>
      <c r="B2984" s="47" t="s">
        <v>630</v>
      </c>
      <c r="C2984" s="47">
        <v>67</v>
      </c>
      <c r="D2984" s="47" t="s">
        <v>62</v>
      </c>
      <c r="E2984" s="12">
        <v>46140</v>
      </c>
      <c r="F2984" s="20">
        <f t="shared" si="46"/>
        <v>46113</v>
      </c>
    </row>
    <row r="2985" spans="1:6" ht="20.25">
      <c r="A2985" s="49"/>
      <c r="B2985" s="47" t="s">
        <v>630</v>
      </c>
      <c r="C2985" s="47">
        <v>1000</v>
      </c>
      <c r="D2985" s="47" t="s">
        <v>62</v>
      </c>
      <c r="E2985" s="12">
        <v>46140</v>
      </c>
      <c r="F2985" s="20">
        <f t="shared" si="46"/>
        <v>46113</v>
      </c>
    </row>
    <row r="2986" spans="1:6" ht="20.25">
      <c r="A2986" s="49"/>
      <c r="B2986" s="47" t="s">
        <v>1085</v>
      </c>
      <c r="C2986" s="47">
        <v>180</v>
      </c>
      <c r="D2986" s="47" t="s">
        <v>62</v>
      </c>
      <c r="E2986" s="12">
        <v>46140</v>
      </c>
      <c r="F2986" s="20">
        <f t="shared" si="46"/>
        <v>46113</v>
      </c>
    </row>
    <row r="2987" spans="1:6" ht="20.25">
      <c r="A2987" s="49"/>
      <c r="B2987" s="47" t="s">
        <v>1085</v>
      </c>
      <c r="C2987" s="47">
        <v>70</v>
      </c>
      <c r="D2987" s="47" t="s">
        <v>62</v>
      </c>
      <c r="E2987" s="12">
        <v>46140</v>
      </c>
      <c r="F2987" s="20">
        <f t="shared" si="46"/>
        <v>46113</v>
      </c>
    </row>
    <row r="2988" spans="1:6" ht="20.25">
      <c r="A2988" s="49"/>
      <c r="B2988" s="47" t="s">
        <v>782</v>
      </c>
      <c r="C2988" s="47">
        <v>351</v>
      </c>
      <c r="D2988" s="47" t="s">
        <v>62</v>
      </c>
      <c r="E2988" s="12">
        <v>46140</v>
      </c>
      <c r="F2988" s="20">
        <f t="shared" si="46"/>
        <v>46113</v>
      </c>
    </row>
    <row r="2989" spans="1:6" ht="20.25">
      <c r="A2989" s="49"/>
      <c r="B2989" s="47" t="s">
        <v>1046</v>
      </c>
      <c r="C2989" s="47">
        <v>66</v>
      </c>
      <c r="D2989" s="47" t="s">
        <v>97</v>
      </c>
      <c r="E2989" s="12">
        <v>46140</v>
      </c>
      <c r="F2989" s="20">
        <f t="shared" si="46"/>
        <v>46113</v>
      </c>
    </row>
    <row r="2990" spans="1:6" ht="20.25">
      <c r="A2990" s="49"/>
      <c r="B2990" s="47" t="s">
        <v>1109</v>
      </c>
      <c r="C2990" s="47">
        <v>28</v>
      </c>
      <c r="D2990" s="47" t="s">
        <v>97</v>
      </c>
      <c r="E2990" s="12">
        <v>46140</v>
      </c>
      <c r="F2990" s="20">
        <f t="shared" si="46"/>
        <v>46113</v>
      </c>
    </row>
    <row r="2991" spans="1:6" ht="20.25">
      <c r="A2991" s="49"/>
      <c r="B2991" s="47" t="s">
        <v>1023</v>
      </c>
      <c r="C2991" s="47">
        <v>21</v>
      </c>
      <c r="D2991" s="47" t="s">
        <v>97</v>
      </c>
      <c r="E2991" s="12">
        <v>46140</v>
      </c>
      <c r="F2991" s="20">
        <f t="shared" si="46"/>
        <v>46113</v>
      </c>
    </row>
    <row r="2992" spans="1:6" ht="20.25">
      <c r="A2992" s="49"/>
      <c r="B2992" s="47" t="s">
        <v>1067</v>
      </c>
      <c r="C2992" s="47">
        <v>353</v>
      </c>
      <c r="D2992" s="47" t="s">
        <v>82</v>
      </c>
      <c r="E2992" s="12">
        <v>46140</v>
      </c>
      <c r="F2992" s="20">
        <f t="shared" si="46"/>
        <v>46113</v>
      </c>
    </row>
    <row r="2993" spans="1:6" ht="20.25">
      <c r="A2993" s="49"/>
      <c r="B2993" s="47" t="s">
        <v>822</v>
      </c>
      <c r="C2993" s="47">
        <v>98</v>
      </c>
      <c r="D2993" s="47" t="s">
        <v>63</v>
      </c>
      <c r="E2993" s="12">
        <v>46140</v>
      </c>
      <c r="F2993" s="20">
        <f t="shared" si="46"/>
        <v>46113</v>
      </c>
    </row>
    <row r="2994" spans="1:6" ht="20.25">
      <c r="A2994" s="49"/>
      <c r="B2994" s="47" t="s">
        <v>631</v>
      </c>
      <c r="C2994" s="47">
        <v>213</v>
      </c>
      <c r="D2994" s="47" t="s">
        <v>63</v>
      </c>
      <c r="E2994" s="12">
        <v>46140</v>
      </c>
      <c r="F2994" s="20">
        <f t="shared" si="46"/>
        <v>46113</v>
      </c>
    </row>
    <row r="2995" spans="1:6" ht="20.25">
      <c r="A2995" s="49"/>
      <c r="B2995" s="47" t="s">
        <v>722</v>
      </c>
      <c r="C2995" s="47">
        <v>1</v>
      </c>
      <c r="D2995" s="47" t="s">
        <v>97</v>
      </c>
      <c r="E2995" s="12">
        <v>46140</v>
      </c>
      <c r="F2995" s="20">
        <f t="shared" si="46"/>
        <v>46113</v>
      </c>
    </row>
    <row r="2996" spans="1:6" ht="20.25">
      <c r="A2996" s="49"/>
      <c r="B2996" s="47" t="s">
        <v>930</v>
      </c>
      <c r="C2996" s="47">
        <v>1</v>
      </c>
      <c r="D2996" s="47" t="s">
        <v>95</v>
      </c>
      <c r="E2996" s="12">
        <v>46140</v>
      </c>
      <c r="F2996" s="20">
        <f t="shared" si="46"/>
        <v>46113</v>
      </c>
    </row>
    <row r="2997" spans="1:6" ht="20.25">
      <c r="A2997" s="49"/>
      <c r="B2997" s="47" t="s">
        <v>1429</v>
      </c>
      <c r="C2997" s="47">
        <v>83</v>
      </c>
      <c r="D2997" s="47" t="s">
        <v>62</v>
      </c>
      <c r="E2997" s="12">
        <v>46141</v>
      </c>
      <c r="F2997" s="20">
        <f t="shared" si="46"/>
        <v>46113</v>
      </c>
    </row>
    <row r="2998" spans="1:6" ht="20.25">
      <c r="A2998" s="49"/>
      <c r="B2998" s="47" t="s">
        <v>921</v>
      </c>
      <c r="C2998" s="47">
        <v>27</v>
      </c>
      <c r="D2998" s="47" t="s">
        <v>62</v>
      </c>
      <c r="E2998" s="12">
        <v>46141</v>
      </c>
      <c r="F2998" s="20">
        <f t="shared" si="46"/>
        <v>46113</v>
      </c>
    </row>
    <row r="2999" spans="1:6" ht="20.25">
      <c r="A2999" s="49"/>
      <c r="B2999" s="47" t="s">
        <v>690</v>
      </c>
      <c r="C2999" s="47">
        <v>44</v>
      </c>
      <c r="D2999" s="47" t="s">
        <v>62</v>
      </c>
      <c r="E2999" s="12">
        <v>46141</v>
      </c>
      <c r="F2999" s="20">
        <f t="shared" si="46"/>
        <v>46113</v>
      </c>
    </row>
    <row r="3000" spans="1:6" ht="20.25">
      <c r="A3000" s="49"/>
      <c r="B3000" s="47" t="s">
        <v>824</v>
      </c>
      <c r="C3000" s="47">
        <v>74</v>
      </c>
      <c r="D3000" s="47" t="s">
        <v>62</v>
      </c>
      <c r="E3000" s="12">
        <v>46141</v>
      </c>
      <c r="F3000" s="20">
        <f t="shared" si="46"/>
        <v>46113</v>
      </c>
    </row>
    <row r="3001" spans="1:6" ht="20.25">
      <c r="A3001" s="49"/>
      <c r="B3001" s="47" t="s">
        <v>831</v>
      </c>
      <c r="C3001" s="47">
        <v>60</v>
      </c>
      <c r="D3001" s="47" t="s">
        <v>62</v>
      </c>
      <c r="E3001" s="12">
        <v>46141</v>
      </c>
      <c r="F3001" s="20">
        <f t="shared" si="46"/>
        <v>46113</v>
      </c>
    </row>
    <row r="3002" spans="1:6" ht="20.25">
      <c r="A3002" s="49"/>
      <c r="B3002" s="47" t="s">
        <v>771</v>
      </c>
      <c r="C3002" s="47">
        <v>99</v>
      </c>
      <c r="D3002" s="47" t="s">
        <v>62</v>
      </c>
      <c r="E3002" s="12">
        <v>46141</v>
      </c>
      <c r="F3002" s="20">
        <f t="shared" si="46"/>
        <v>46113</v>
      </c>
    </row>
    <row r="3003" spans="1:6" ht="20.25">
      <c r="A3003" s="49"/>
      <c r="B3003" s="47" t="s">
        <v>649</v>
      </c>
      <c r="C3003" s="47">
        <v>63</v>
      </c>
      <c r="D3003" s="47" t="s">
        <v>62</v>
      </c>
      <c r="E3003" s="12">
        <v>46141</v>
      </c>
      <c r="F3003" s="20">
        <f t="shared" si="46"/>
        <v>46113</v>
      </c>
    </row>
    <row r="3004" spans="1:6" ht="20.25">
      <c r="A3004" s="49"/>
      <c r="B3004" s="47" t="s">
        <v>742</v>
      </c>
      <c r="C3004" s="47">
        <v>119</v>
      </c>
      <c r="D3004" s="47" t="s">
        <v>62</v>
      </c>
      <c r="E3004" s="12">
        <v>46141</v>
      </c>
      <c r="F3004" s="20">
        <f t="shared" si="46"/>
        <v>46113</v>
      </c>
    </row>
    <row r="3005" spans="1:6" ht="20.25">
      <c r="A3005" s="49"/>
      <c r="B3005" s="47" t="s">
        <v>1132</v>
      </c>
      <c r="C3005" s="47">
        <v>26</v>
      </c>
      <c r="D3005" s="47" t="s">
        <v>62</v>
      </c>
      <c r="E3005" s="12">
        <v>46141</v>
      </c>
      <c r="F3005" s="20">
        <f t="shared" si="46"/>
        <v>46113</v>
      </c>
    </row>
    <row r="3006" spans="1:6" ht="20.25">
      <c r="A3006" s="49"/>
      <c r="B3006" s="47" t="s">
        <v>1133</v>
      </c>
      <c r="C3006" s="47">
        <v>28</v>
      </c>
      <c r="D3006" s="47" t="s">
        <v>62</v>
      </c>
      <c r="E3006" s="12">
        <v>46141</v>
      </c>
      <c r="F3006" s="20">
        <f t="shared" si="46"/>
        <v>46113</v>
      </c>
    </row>
    <row r="3007" spans="1:6" ht="20.25">
      <c r="A3007" s="49"/>
      <c r="B3007" s="47" t="s">
        <v>797</v>
      </c>
      <c r="C3007" s="47">
        <v>40</v>
      </c>
      <c r="D3007" s="47" t="s">
        <v>62</v>
      </c>
      <c r="E3007" s="12">
        <v>46141</v>
      </c>
      <c r="F3007" s="20">
        <f t="shared" si="46"/>
        <v>46113</v>
      </c>
    </row>
    <row r="3008" spans="1:6" ht="20.25">
      <c r="A3008" s="49"/>
      <c r="B3008" s="47" t="s">
        <v>1101</v>
      </c>
      <c r="C3008" s="47">
        <v>59</v>
      </c>
      <c r="D3008" s="47" t="s">
        <v>62</v>
      </c>
      <c r="E3008" s="12">
        <v>46141</v>
      </c>
      <c r="F3008" s="20">
        <f t="shared" si="46"/>
        <v>46113</v>
      </c>
    </row>
    <row r="3009" spans="1:6" ht="20.25">
      <c r="A3009" s="49"/>
      <c r="B3009" s="47" t="s">
        <v>691</v>
      </c>
      <c r="C3009" s="47">
        <v>90</v>
      </c>
      <c r="D3009" s="47" t="s">
        <v>62</v>
      </c>
      <c r="E3009" s="12">
        <v>46141</v>
      </c>
      <c r="F3009" s="20">
        <f t="shared" si="46"/>
        <v>46113</v>
      </c>
    </row>
    <row r="3010" spans="1:6" ht="20.25">
      <c r="A3010" s="49"/>
      <c r="B3010" s="47" t="s">
        <v>743</v>
      </c>
      <c r="C3010" s="47">
        <v>47</v>
      </c>
      <c r="D3010" s="47" t="s">
        <v>62</v>
      </c>
      <c r="E3010" s="12">
        <v>46141</v>
      </c>
      <c r="F3010" s="20">
        <f t="shared" ref="F3010:F3073" si="47">EOMONTH(E3010,-1)+1</f>
        <v>46113</v>
      </c>
    </row>
    <row r="3011" spans="1:6" ht="20.25">
      <c r="A3011" s="49"/>
      <c r="B3011" s="47" t="s">
        <v>940</v>
      </c>
      <c r="C3011" s="47">
        <v>37</v>
      </c>
      <c r="D3011" s="47" t="s">
        <v>62</v>
      </c>
      <c r="E3011" s="12">
        <v>46141</v>
      </c>
      <c r="F3011" s="20">
        <f t="shared" si="47"/>
        <v>46113</v>
      </c>
    </row>
    <row r="3012" spans="1:6" ht="20.25">
      <c r="A3012" s="49"/>
      <c r="B3012" s="47" t="s">
        <v>1428</v>
      </c>
      <c r="C3012" s="47">
        <v>78</v>
      </c>
      <c r="D3012" s="47" t="s">
        <v>62</v>
      </c>
      <c r="E3012" s="12">
        <v>46141</v>
      </c>
      <c r="F3012" s="20">
        <f t="shared" si="47"/>
        <v>46113</v>
      </c>
    </row>
    <row r="3013" spans="1:6" ht="20.25">
      <c r="A3013" s="49"/>
      <c r="B3013" s="47" t="s">
        <v>966</v>
      </c>
      <c r="C3013" s="47">
        <v>390</v>
      </c>
      <c r="D3013" s="47" t="s">
        <v>95</v>
      </c>
      <c r="E3013" s="12">
        <v>46141</v>
      </c>
      <c r="F3013" s="20">
        <f t="shared" si="47"/>
        <v>46113</v>
      </c>
    </row>
    <row r="3014" spans="1:6" ht="20.25">
      <c r="A3014" s="49"/>
      <c r="B3014" s="47" t="s">
        <v>619</v>
      </c>
      <c r="C3014" s="47">
        <v>36</v>
      </c>
      <c r="D3014" s="47" t="s">
        <v>95</v>
      </c>
      <c r="E3014" s="12">
        <v>46141</v>
      </c>
      <c r="F3014" s="20">
        <f t="shared" si="47"/>
        <v>46113</v>
      </c>
    </row>
    <row r="3015" spans="1:6" ht="20.25">
      <c r="A3015" s="49"/>
      <c r="B3015" s="47" t="s">
        <v>750</v>
      </c>
      <c r="C3015" s="47">
        <v>491</v>
      </c>
      <c r="D3015" s="47" t="s">
        <v>95</v>
      </c>
      <c r="E3015" s="12">
        <v>46141</v>
      </c>
      <c r="F3015" s="20">
        <f t="shared" si="47"/>
        <v>46113</v>
      </c>
    </row>
    <row r="3016" spans="1:6" ht="20.25">
      <c r="A3016" s="49"/>
      <c r="B3016" s="47" t="s">
        <v>1440</v>
      </c>
      <c r="C3016" s="47">
        <v>31</v>
      </c>
      <c r="D3016" s="47" t="s">
        <v>114</v>
      </c>
      <c r="E3016" s="12">
        <v>46141</v>
      </c>
      <c r="F3016" s="20">
        <f t="shared" si="47"/>
        <v>46113</v>
      </c>
    </row>
    <row r="3017" spans="1:6" ht="20.25">
      <c r="A3017" s="49"/>
      <c r="B3017" s="47" t="s">
        <v>849</v>
      </c>
      <c r="C3017" s="47">
        <v>40</v>
      </c>
      <c r="D3017" s="47" t="s">
        <v>114</v>
      </c>
      <c r="E3017" s="12">
        <v>46141</v>
      </c>
      <c r="F3017" s="20">
        <f t="shared" si="47"/>
        <v>46113</v>
      </c>
    </row>
    <row r="3018" spans="1:6" ht="20.25">
      <c r="A3018" s="49"/>
      <c r="B3018" s="47" t="s">
        <v>1462</v>
      </c>
      <c r="C3018" s="47">
        <v>173</v>
      </c>
      <c r="D3018" s="47" t="s">
        <v>114</v>
      </c>
      <c r="E3018" s="12">
        <v>46141</v>
      </c>
      <c r="F3018" s="20">
        <f t="shared" si="47"/>
        <v>46113</v>
      </c>
    </row>
    <row r="3019" spans="1:6" ht="20.25">
      <c r="A3019" s="49"/>
      <c r="B3019" s="47" t="s">
        <v>1454</v>
      </c>
      <c r="C3019" s="47">
        <v>465</v>
      </c>
      <c r="D3019" s="47" t="s">
        <v>114</v>
      </c>
      <c r="E3019" s="12">
        <v>46141</v>
      </c>
      <c r="F3019" s="20">
        <f t="shared" si="47"/>
        <v>46113</v>
      </c>
    </row>
    <row r="3020" spans="1:6" ht="20.25">
      <c r="A3020" s="49"/>
      <c r="B3020" s="47" t="s">
        <v>724</v>
      </c>
      <c r="C3020" s="47">
        <v>50</v>
      </c>
      <c r="D3020" s="47" t="s">
        <v>114</v>
      </c>
      <c r="E3020" s="12">
        <v>46141</v>
      </c>
      <c r="F3020" s="20">
        <f t="shared" si="47"/>
        <v>46113</v>
      </c>
    </row>
    <row r="3021" spans="1:6" ht="20.25">
      <c r="A3021" s="49"/>
      <c r="B3021" s="47" t="s">
        <v>977</v>
      </c>
      <c r="C3021" s="47">
        <v>85</v>
      </c>
      <c r="D3021" s="47" t="s">
        <v>62</v>
      </c>
      <c r="E3021" s="12">
        <v>46141</v>
      </c>
      <c r="F3021" s="20">
        <f t="shared" si="47"/>
        <v>46113</v>
      </c>
    </row>
    <row r="3022" spans="1:6" ht="20.25">
      <c r="A3022" s="49"/>
      <c r="B3022" s="47" t="s">
        <v>613</v>
      </c>
      <c r="C3022" s="47">
        <v>62</v>
      </c>
      <c r="D3022" s="47" t="s">
        <v>62</v>
      </c>
      <c r="E3022" s="12">
        <v>46141</v>
      </c>
      <c r="F3022" s="20">
        <f t="shared" si="47"/>
        <v>46113</v>
      </c>
    </row>
    <row r="3023" spans="1:6" ht="20.25">
      <c r="A3023" s="49"/>
      <c r="B3023" s="47" t="s">
        <v>1095</v>
      </c>
      <c r="C3023" s="47">
        <v>187</v>
      </c>
      <c r="D3023" s="47" t="s">
        <v>95</v>
      </c>
      <c r="E3023" s="12">
        <v>46141</v>
      </c>
      <c r="F3023" s="20">
        <f t="shared" si="47"/>
        <v>46113</v>
      </c>
    </row>
    <row r="3024" spans="1:6" ht="20.25">
      <c r="A3024" s="49"/>
      <c r="B3024" s="47" t="s">
        <v>939</v>
      </c>
      <c r="C3024" s="47">
        <v>227</v>
      </c>
      <c r="D3024" s="47" t="s">
        <v>95</v>
      </c>
      <c r="E3024" s="12">
        <v>46141</v>
      </c>
      <c r="F3024" s="20">
        <f t="shared" si="47"/>
        <v>46113</v>
      </c>
    </row>
    <row r="3025" spans="1:6" ht="20.25">
      <c r="A3025" s="49"/>
      <c r="B3025" s="47" t="s">
        <v>884</v>
      </c>
      <c r="C3025" s="47">
        <v>264</v>
      </c>
      <c r="D3025" s="47" t="s">
        <v>55</v>
      </c>
      <c r="E3025" s="12">
        <v>46141</v>
      </c>
      <c r="F3025" s="20">
        <f t="shared" si="47"/>
        <v>46113</v>
      </c>
    </row>
    <row r="3026" spans="1:6" ht="20.25">
      <c r="A3026" s="49"/>
      <c r="B3026" s="47" t="s">
        <v>627</v>
      </c>
      <c r="C3026" s="47">
        <v>209</v>
      </c>
      <c r="D3026" s="47" t="s">
        <v>55</v>
      </c>
      <c r="E3026" s="12">
        <v>46141</v>
      </c>
      <c r="F3026" s="20">
        <f t="shared" si="47"/>
        <v>46113</v>
      </c>
    </row>
    <row r="3027" spans="1:6" ht="20.25">
      <c r="A3027" s="49"/>
      <c r="B3027" s="47" t="s">
        <v>884</v>
      </c>
      <c r="C3027" s="47">
        <v>548</v>
      </c>
      <c r="D3027" s="47" t="s">
        <v>55</v>
      </c>
      <c r="E3027" s="12">
        <v>46141</v>
      </c>
      <c r="F3027" s="20">
        <f t="shared" si="47"/>
        <v>46113</v>
      </c>
    </row>
    <row r="3028" spans="1:6" ht="20.25">
      <c r="A3028" s="49"/>
      <c r="B3028" s="47" t="s">
        <v>800</v>
      </c>
      <c r="C3028" s="47">
        <v>31</v>
      </c>
      <c r="D3028" s="47" t="s">
        <v>55</v>
      </c>
      <c r="E3028" s="12">
        <v>46141</v>
      </c>
      <c r="F3028" s="20">
        <f t="shared" si="47"/>
        <v>46113</v>
      </c>
    </row>
    <row r="3029" spans="1:6" ht="20.25">
      <c r="A3029" s="49"/>
      <c r="B3029" s="47" t="s">
        <v>939</v>
      </c>
      <c r="C3029" s="47">
        <v>20</v>
      </c>
      <c r="D3029" s="47" t="s">
        <v>55</v>
      </c>
      <c r="E3029" s="12">
        <v>46141</v>
      </c>
      <c r="F3029" s="20">
        <f t="shared" si="47"/>
        <v>46113</v>
      </c>
    </row>
    <row r="3030" spans="1:6" ht="20.25">
      <c r="A3030" s="49"/>
      <c r="B3030" s="47" t="s">
        <v>811</v>
      </c>
      <c r="C3030" s="47">
        <v>32</v>
      </c>
      <c r="D3030" s="47" t="s">
        <v>55</v>
      </c>
      <c r="E3030" s="12">
        <v>46141</v>
      </c>
      <c r="F3030" s="20">
        <f t="shared" si="47"/>
        <v>46113</v>
      </c>
    </row>
    <row r="3031" spans="1:6" ht="20.25">
      <c r="A3031" s="49"/>
      <c r="B3031" s="47" t="s">
        <v>734</v>
      </c>
      <c r="C3031" s="47">
        <v>954</v>
      </c>
      <c r="D3031" s="47" t="s">
        <v>95</v>
      </c>
      <c r="E3031" s="12">
        <v>46141</v>
      </c>
      <c r="F3031" s="20">
        <f t="shared" si="47"/>
        <v>46113</v>
      </c>
    </row>
    <row r="3032" spans="1:6" ht="20.25">
      <c r="A3032" s="49"/>
      <c r="B3032" s="47" t="s">
        <v>1063</v>
      </c>
      <c r="C3032" s="47">
        <v>9</v>
      </c>
      <c r="D3032" s="47" t="s">
        <v>160</v>
      </c>
      <c r="E3032" s="12">
        <v>46141</v>
      </c>
      <c r="F3032" s="20">
        <f t="shared" si="47"/>
        <v>46113</v>
      </c>
    </row>
    <row r="3033" spans="1:6" ht="20.25">
      <c r="A3033" s="49"/>
      <c r="B3033" s="47" t="s">
        <v>1163</v>
      </c>
      <c r="C3033" s="47">
        <v>1000</v>
      </c>
      <c r="D3033" s="47" t="s">
        <v>160</v>
      </c>
      <c r="E3033" s="12">
        <v>46141</v>
      </c>
      <c r="F3033" s="20">
        <f t="shared" si="47"/>
        <v>46113</v>
      </c>
    </row>
    <row r="3034" spans="1:6" ht="20.25">
      <c r="A3034" s="49"/>
      <c r="B3034" s="47" t="s">
        <v>604</v>
      </c>
      <c r="C3034" s="47">
        <v>347</v>
      </c>
      <c r="D3034" s="47" t="s">
        <v>160</v>
      </c>
      <c r="E3034" s="12">
        <v>46141</v>
      </c>
      <c r="F3034" s="20">
        <f t="shared" si="47"/>
        <v>46113</v>
      </c>
    </row>
    <row r="3035" spans="1:6" ht="20.25">
      <c r="A3035" s="49"/>
      <c r="B3035" s="47" t="s">
        <v>1166</v>
      </c>
      <c r="C3035" s="47">
        <v>165</v>
      </c>
      <c r="D3035" s="47" t="s">
        <v>160</v>
      </c>
      <c r="E3035" s="12">
        <v>46141</v>
      </c>
      <c r="F3035" s="20">
        <f t="shared" si="47"/>
        <v>46113</v>
      </c>
    </row>
    <row r="3036" spans="1:6" ht="20.25">
      <c r="A3036" s="49"/>
      <c r="B3036" s="47" t="s">
        <v>1377</v>
      </c>
      <c r="C3036" s="47">
        <v>39</v>
      </c>
      <c r="D3036" s="47" t="s">
        <v>55</v>
      </c>
      <c r="E3036" s="12">
        <v>46141</v>
      </c>
      <c r="F3036" s="20">
        <f t="shared" si="47"/>
        <v>46113</v>
      </c>
    </row>
    <row r="3037" spans="1:6" ht="20.25">
      <c r="A3037" s="49"/>
      <c r="B3037" s="47" t="s">
        <v>1502</v>
      </c>
      <c r="C3037" s="47">
        <v>1</v>
      </c>
      <c r="D3037" s="47" t="s">
        <v>97</v>
      </c>
      <c r="E3037" s="12">
        <v>46141</v>
      </c>
      <c r="F3037" s="20">
        <f t="shared" si="47"/>
        <v>46113</v>
      </c>
    </row>
    <row r="3038" spans="1:6" ht="20.25">
      <c r="A3038" s="49"/>
      <c r="B3038" s="47" t="s">
        <v>1455</v>
      </c>
      <c r="C3038" s="47">
        <v>9</v>
      </c>
      <c r="D3038" s="47" t="s">
        <v>97</v>
      </c>
      <c r="E3038" s="12">
        <v>46141</v>
      </c>
      <c r="F3038" s="20">
        <f t="shared" si="47"/>
        <v>46113</v>
      </c>
    </row>
    <row r="3039" spans="1:6" ht="20.25">
      <c r="A3039" s="49"/>
      <c r="B3039" s="47" t="s">
        <v>1023</v>
      </c>
      <c r="C3039" s="47">
        <v>3</v>
      </c>
      <c r="D3039" s="47" t="s">
        <v>97</v>
      </c>
      <c r="E3039" s="12">
        <v>46141</v>
      </c>
      <c r="F3039" s="20">
        <f t="shared" si="47"/>
        <v>46113</v>
      </c>
    </row>
    <row r="3040" spans="1:6" ht="20.25">
      <c r="A3040" s="49"/>
      <c r="B3040" s="47" t="s">
        <v>954</v>
      </c>
      <c r="C3040" s="47">
        <v>4</v>
      </c>
      <c r="D3040" s="47" t="s">
        <v>97</v>
      </c>
      <c r="E3040" s="12">
        <v>46141</v>
      </c>
      <c r="F3040" s="20">
        <f t="shared" si="47"/>
        <v>46113</v>
      </c>
    </row>
    <row r="3041" spans="1:6" ht="20.25">
      <c r="A3041" s="49"/>
      <c r="B3041" s="47" t="s">
        <v>963</v>
      </c>
      <c r="C3041" s="47">
        <v>496</v>
      </c>
      <c r="D3041" s="47" t="s">
        <v>72</v>
      </c>
      <c r="E3041" s="12">
        <v>46141</v>
      </c>
      <c r="F3041" s="20">
        <f t="shared" si="47"/>
        <v>46113</v>
      </c>
    </row>
    <row r="3042" spans="1:6" ht="20.25">
      <c r="A3042" s="49"/>
      <c r="B3042" s="47" t="s">
        <v>780</v>
      </c>
      <c r="C3042" s="47">
        <v>41</v>
      </c>
      <c r="D3042" s="47" t="s">
        <v>72</v>
      </c>
      <c r="E3042" s="12">
        <v>46141</v>
      </c>
      <c r="F3042" s="20">
        <f t="shared" si="47"/>
        <v>46113</v>
      </c>
    </row>
    <row r="3043" spans="1:6" ht="20.25">
      <c r="A3043" s="49"/>
      <c r="B3043" s="47" t="s">
        <v>780</v>
      </c>
      <c r="C3043" s="47">
        <v>203</v>
      </c>
      <c r="D3043" s="47" t="s">
        <v>72</v>
      </c>
      <c r="E3043" s="12">
        <v>46141</v>
      </c>
      <c r="F3043" s="20">
        <f t="shared" si="47"/>
        <v>46113</v>
      </c>
    </row>
    <row r="3044" spans="1:6" ht="20.25">
      <c r="A3044" s="49"/>
      <c r="B3044" s="47" t="s">
        <v>626</v>
      </c>
      <c r="C3044" s="47">
        <v>118</v>
      </c>
      <c r="D3044" s="47" t="s">
        <v>72</v>
      </c>
      <c r="E3044" s="12">
        <v>46141</v>
      </c>
      <c r="F3044" s="20">
        <f t="shared" si="47"/>
        <v>46113</v>
      </c>
    </row>
    <row r="3045" spans="1:6" ht="20.25">
      <c r="A3045" s="49"/>
      <c r="B3045" s="47" t="s">
        <v>1143</v>
      </c>
      <c r="C3045" s="47">
        <v>174</v>
      </c>
      <c r="D3045" s="47" t="s">
        <v>72</v>
      </c>
      <c r="E3045" s="12">
        <v>46141</v>
      </c>
      <c r="F3045" s="20">
        <f t="shared" si="47"/>
        <v>46113</v>
      </c>
    </row>
    <row r="3046" spans="1:6" ht="20.25">
      <c r="A3046" s="49"/>
      <c r="B3046" s="47" t="s">
        <v>840</v>
      </c>
      <c r="C3046" s="47">
        <v>50</v>
      </c>
      <c r="D3046" s="47" t="s">
        <v>72</v>
      </c>
      <c r="E3046" s="12">
        <v>46141</v>
      </c>
      <c r="F3046" s="20">
        <f t="shared" si="47"/>
        <v>46113</v>
      </c>
    </row>
    <row r="3047" spans="1:6" ht="20.25">
      <c r="A3047" s="49"/>
      <c r="B3047" s="47" t="s">
        <v>1156</v>
      </c>
      <c r="C3047" s="47">
        <v>43</v>
      </c>
      <c r="D3047" s="47" t="s">
        <v>72</v>
      </c>
      <c r="E3047" s="12">
        <v>46141</v>
      </c>
      <c r="F3047" s="20">
        <f t="shared" si="47"/>
        <v>46113</v>
      </c>
    </row>
    <row r="3048" spans="1:6" ht="20.25">
      <c r="A3048" s="49"/>
      <c r="B3048" s="47" t="s">
        <v>1156</v>
      </c>
      <c r="C3048" s="47">
        <v>205</v>
      </c>
      <c r="D3048" s="47" t="s">
        <v>72</v>
      </c>
      <c r="E3048" s="12">
        <v>46141</v>
      </c>
      <c r="F3048" s="20">
        <f t="shared" si="47"/>
        <v>46113</v>
      </c>
    </row>
    <row r="3049" spans="1:6" ht="20.25">
      <c r="A3049" s="49"/>
      <c r="B3049" s="47" t="s">
        <v>712</v>
      </c>
      <c r="C3049" s="47">
        <v>94</v>
      </c>
      <c r="D3049" s="47" t="s">
        <v>72</v>
      </c>
      <c r="E3049" s="12">
        <v>46141</v>
      </c>
      <c r="F3049" s="20">
        <f t="shared" si="47"/>
        <v>46113</v>
      </c>
    </row>
    <row r="3050" spans="1:6" ht="20.25">
      <c r="A3050" s="49"/>
      <c r="B3050" s="47" t="s">
        <v>709</v>
      </c>
      <c r="C3050" s="47">
        <v>573</v>
      </c>
      <c r="D3050" s="47" t="s">
        <v>72</v>
      </c>
      <c r="E3050" s="12">
        <v>46141</v>
      </c>
      <c r="F3050" s="20">
        <f t="shared" si="47"/>
        <v>46113</v>
      </c>
    </row>
    <row r="3051" spans="1:6" ht="20.25">
      <c r="A3051" s="49"/>
      <c r="B3051" s="47" t="s">
        <v>1154</v>
      </c>
      <c r="C3051" s="47">
        <v>1</v>
      </c>
      <c r="D3051" s="47" t="s">
        <v>97</v>
      </c>
      <c r="E3051" s="12">
        <v>46141</v>
      </c>
      <c r="F3051" s="20">
        <f t="shared" si="47"/>
        <v>46113</v>
      </c>
    </row>
    <row r="3052" spans="1:6" ht="20.25">
      <c r="A3052" s="49"/>
      <c r="B3052" s="47" t="s">
        <v>1613</v>
      </c>
      <c r="C3052" s="47">
        <v>997</v>
      </c>
      <c r="D3052" s="47" t="s">
        <v>55</v>
      </c>
      <c r="E3052" s="12">
        <v>46141</v>
      </c>
      <c r="F3052" s="20">
        <f t="shared" si="47"/>
        <v>46113</v>
      </c>
    </row>
    <row r="3053" spans="1:6" ht="20.25">
      <c r="A3053" s="49"/>
      <c r="B3053" s="47" t="s">
        <v>1613</v>
      </c>
      <c r="C3053" s="47">
        <v>135</v>
      </c>
      <c r="D3053" s="47" t="s">
        <v>55</v>
      </c>
      <c r="E3053" s="12">
        <v>46141</v>
      </c>
      <c r="F3053" s="20">
        <f t="shared" si="47"/>
        <v>46113</v>
      </c>
    </row>
    <row r="3054" spans="1:6" ht="20.25">
      <c r="A3054" s="49"/>
      <c r="B3054" s="47" t="s">
        <v>766</v>
      </c>
      <c r="C3054" s="47">
        <v>291</v>
      </c>
      <c r="D3054" s="47" t="s">
        <v>95</v>
      </c>
      <c r="E3054" s="12">
        <v>46141</v>
      </c>
      <c r="F3054" s="20">
        <f t="shared" si="47"/>
        <v>46113</v>
      </c>
    </row>
    <row r="3055" spans="1:6" ht="20.25">
      <c r="A3055" s="49"/>
      <c r="B3055" s="47" t="s">
        <v>755</v>
      </c>
      <c r="C3055" s="47">
        <v>272</v>
      </c>
      <c r="D3055" s="47" t="s">
        <v>95</v>
      </c>
      <c r="E3055" s="12">
        <v>46141</v>
      </c>
      <c r="F3055" s="20">
        <f t="shared" si="47"/>
        <v>46113</v>
      </c>
    </row>
    <row r="3056" spans="1:6" ht="20.25">
      <c r="A3056" s="49"/>
      <c r="B3056" s="47" t="s">
        <v>1078</v>
      </c>
      <c r="C3056" s="47">
        <v>40</v>
      </c>
      <c r="D3056" s="47" t="s">
        <v>66</v>
      </c>
      <c r="E3056" s="12">
        <v>46141</v>
      </c>
      <c r="F3056" s="20">
        <f t="shared" si="47"/>
        <v>46113</v>
      </c>
    </row>
    <row r="3057" spans="1:6" ht="20.25">
      <c r="A3057" s="49"/>
      <c r="B3057" s="47" t="s">
        <v>1549</v>
      </c>
      <c r="C3057" s="47">
        <v>16</v>
      </c>
      <c r="D3057" s="47" t="s">
        <v>66</v>
      </c>
      <c r="E3057" s="12">
        <v>46141</v>
      </c>
      <c r="F3057" s="20">
        <f t="shared" si="47"/>
        <v>46113</v>
      </c>
    </row>
    <row r="3058" spans="1:6" ht="20.25">
      <c r="A3058" s="49"/>
      <c r="B3058" s="47" t="s">
        <v>1137</v>
      </c>
      <c r="C3058" s="47">
        <v>129</v>
      </c>
      <c r="D3058" s="47" t="s">
        <v>66</v>
      </c>
      <c r="E3058" s="12">
        <v>46141</v>
      </c>
      <c r="F3058" s="20">
        <f t="shared" si="47"/>
        <v>46113</v>
      </c>
    </row>
    <row r="3059" spans="1:6" ht="20.25">
      <c r="A3059" s="49"/>
      <c r="B3059" s="47" t="s">
        <v>1137</v>
      </c>
      <c r="C3059" s="47">
        <v>263</v>
      </c>
      <c r="D3059" s="47" t="s">
        <v>66</v>
      </c>
      <c r="E3059" s="12">
        <v>46141</v>
      </c>
      <c r="F3059" s="20">
        <f t="shared" si="47"/>
        <v>46113</v>
      </c>
    </row>
    <row r="3060" spans="1:6" ht="20.25">
      <c r="A3060" s="49"/>
      <c r="B3060" s="47" t="s">
        <v>1131</v>
      </c>
      <c r="C3060" s="47">
        <v>100</v>
      </c>
      <c r="D3060" s="47" t="s">
        <v>66</v>
      </c>
      <c r="E3060" s="12">
        <v>46141</v>
      </c>
      <c r="F3060" s="20">
        <f t="shared" si="47"/>
        <v>46113</v>
      </c>
    </row>
    <row r="3061" spans="1:6" ht="20.25">
      <c r="A3061" s="49"/>
      <c r="B3061" s="47" t="s">
        <v>1283</v>
      </c>
      <c r="C3061" s="47">
        <v>300</v>
      </c>
      <c r="D3061" s="47" t="s">
        <v>66</v>
      </c>
      <c r="E3061" s="12">
        <v>46141</v>
      </c>
      <c r="F3061" s="20">
        <f t="shared" si="47"/>
        <v>46113</v>
      </c>
    </row>
    <row r="3062" spans="1:6" ht="20.25">
      <c r="A3062" s="49"/>
      <c r="B3062" s="47" t="s">
        <v>615</v>
      </c>
      <c r="C3062" s="47">
        <v>213</v>
      </c>
      <c r="D3062" s="47" t="s">
        <v>66</v>
      </c>
      <c r="E3062" s="12">
        <v>46141</v>
      </c>
      <c r="F3062" s="20">
        <f t="shared" si="47"/>
        <v>46113</v>
      </c>
    </row>
    <row r="3063" spans="1:6" ht="20.25">
      <c r="A3063" s="49"/>
      <c r="B3063" s="47" t="s">
        <v>935</v>
      </c>
      <c r="C3063" s="47">
        <v>25</v>
      </c>
      <c r="D3063" s="47" t="s">
        <v>66</v>
      </c>
      <c r="E3063" s="12">
        <v>46141</v>
      </c>
      <c r="F3063" s="20">
        <f t="shared" si="47"/>
        <v>46113</v>
      </c>
    </row>
    <row r="3064" spans="1:6" ht="20.25">
      <c r="A3064" s="49"/>
      <c r="B3064" s="47" t="s">
        <v>614</v>
      </c>
      <c r="C3064" s="47">
        <v>36</v>
      </c>
      <c r="D3064" s="47" t="s">
        <v>66</v>
      </c>
      <c r="E3064" s="12">
        <v>46141</v>
      </c>
      <c r="F3064" s="20">
        <f t="shared" si="47"/>
        <v>46113</v>
      </c>
    </row>
    <row r="3065" spans="1:6" ht="20.25">
      <c r="A3065" s="49"/>
      <c r="B3065" s="47" t="s">
        <v>714</v>
      </c>
      <c r="C3065" s="47">
        <v>57</v>
      </c>
      <c r="D3065" s="47" t="s">
        <v>66</v>
      </c>
      <c r="E3065" s="12">
        <v>46141</v>
      </c>
      <c r="F3065" s="20">
        <f t="shared" si="47"/>
        <v>46113</v>
      </c>
    </row>
    <row r="3066" spans="1:6" ht="20.25">
      <c r="A3066" s="49"/>
      <c r="B3066" s="47" t="s">
        <v>1352</v>
      </c>
      <c r="C3066" s="47">
        <v>32</v>
      </c>
      <c r="D3066" s="47" t="s">
        <v>66</v>
      </c>
      <c r="E3066" s="12">
        <v>46141</v>
      </c>
      <c r="F3066" s="20">
        <f t="shared" si="47"/>
        <v>46113</v>
      </c>
    </row>
    <row r="3067" spans="1:6" ht="20.25">
      <c r="A3067" s="49"/>
      <c r="B3067" s="47" t="s">
        <v>1017</v>
      </c>
      <c r="C3067" s="47">
        <v>972</v>
      </c>
      <c r="D3067" s="47" t="s">
        <v>82</v>
      </c>
      <c r="E3067" s="12">
        <v>46141</v>
      </c>
      <c r="F3067" s="20">
        <f t="shared" si="47"/>
        <v>46113</v>
      </c>
    </row>
    <row r="3068" spans="1:6" ht="20.25">
      <c r="A3068" s="49"/>
      <c r="B3068" s="47" t="s">
        <v>697</v>
      </c>
      <c r="C3068" s="47">
        <v>426</v>
      </c>
      <c r="D3068" s="47" t="s">
        <v>82</v>
      </c>
      <c r="E3068" s="12">
        <v>46141</v>
      </c>
      <c r="F3068" s="20">
        <f t="shared" si="47"/>
        <v>46113</v>
      </c>
    </row>
    <row r="3069" spans="1:6" ht="20.25">
      <c r="A3069" s="49"/>
      <c r="B3069" s="47" t="s">
        <v>942</v>
      </c>
      <c r="C3069" s="47">
        <v>150</v>
      </c>
      <c r="D3069" s="47" t="s">
        <v>82</v>
      </c>
      <c r="E3069" s="12">
        <v>46141</v>
      </c>
      <c r="F3069" s="20">
        <f t="shared" si="47"/>
        <v>46113</v>
      </c>
    </row>
    <row r="3070" spans="1:6" ht="20.25">
      <c r="A3070" s="49"/>
      <c r="B3070" s="47" t="s">
        <v>942</v>
      </c>
      <c r="C3070" s="47">
        <v>1000</v>
      </c>
      <c r="D3070" s="47" t="s">
        <v>82</v>
      </c>
      <c r="E3070" s="12">
        <v>46141</v>
      </c>
      <c r="F3070" s="20">
        <f t="shared" si="47"/>
        <v>46113</v>
      </c>
    </row>
    <row r="3071" spans="1:6" ht="20.25">
      <c r="A3071" s="49"/>
      <c r="B3071" s="47" t="s">
        <v>823</v>
      </c>
      <c r="C3071" s="47">
        <v>206</v>
      </c>
      <c r="D3071" s="47" t="s">
        <v>82</v>
      </c>
      <c r="E3071" s="12">
        <v>46141</v>
      </c>
      <c r="F3071" s="20">
        <f t="shared" si="47"/>
        <v>46113</v>
      </c>
    </row>
    <row r="3072" spans="1:6" ht="20.25">
      <c r="A3072" s="49"/>
      <c r="B3072" s="47" t="s">
        <v>1265</v>
      </c>
      <c r="C3072" s="47">
        <v>106</v>
      </c>
      <c r="D3072" s="47" t="s">
        <v>82</v>
      </c>
      <c r="E3072" s="12">
        <v>46141</v>
      </c>
      <c r="F3072" s="20">
        <f t="shared" si="47"/>
        <v>46113</v>
      </c>
    </row>
    <row r="3073" spans="1:6" ht="20.25">
      <c r="A3073" s="49"/>
      <c r="B3073" s="47" t="s">
        <v>1478</v>
      </c>
      <c r="C3073" s="47">
        <v>132</v>
      </c>
      <c r="D3073" s="47" t="s">
        <v>133</v>
      </c>
      <c r="E3073" s="12">
        <v>46141</v>
      </c>
      <c r="F3073" s="20">
        <f t="shared" si="47"/>
        <v>46113</v>
      </c>
    </row>
    <row r="3074" spans="1:6" ht="20.25">
      <c r="A3074" s="49"/>
      <c r="B3074" s="47" t="s">
        <v>777</v>
      </c>
      <c r="C3074" s="47">
        <v>85</v>
      </c>
      <c r="D3074" s="47" t="s">
        <v>160</v>
      </c>
      <c r="E3074" s="12">
        <v>46141</v>
      </c>
      <c r="F3074" s="20">
        <f t="shared" ref="F3074:F3137" si="48">EOMONTH(E3074,-1)+1</f>
        <v>46113</v>
      </c>
    </row>
    <row r="3075" spans="1:6" ht="20.25">
      <c r="A3075" s="49"/>
      <c r="B3075" s="47" t="s">
        <v>1347</v>
      </c>
      <c r="C3075" s="47">
        <v>17</v>
      </c>
      <c r="D3075" s="47" t="s">
        <v>97</v>
      </c>
      <c r="E3075" s="12">
        <v>46141</v>
      </c>
      <c r="F3075" s="20">
        <f t="shared" si="48"/>
        <v>46113</v>
      </c>
    </row>
    <row r="3076" spans="1:6" ht="20.25">
      <c r="A3076" s="49"/>
      <c r="B3076" s="47" t="s">
        <v>1370</v>
      </c>
      <c r="C3076" s="47">
        <v>65</v>
      </c>
      <c r="D3076" s="47" t="s">
        <v>63</v>
      </c>
      <c r="E3076" s="12">
        <v>46141</v>
      </c>
      <c r="F3076" s="20">
        <f t="shared" si="48"/>
        <v>46113</v>
      </c>
    </row>
    <row r="3077" spans="1:6" ht="20.25">
      <c r="A3077" s="49"/>
      <c r="B3077" s="47" t="s">
        <v>882</v>
      </c>
      <c r="C3077" s="47">
        <v>125</v>
      </c>
      <c r="D3077" s="47" t="s">
        <v>63</v>
      </c>
      <c r="E3077" s="12">
        <v>46141</v>
      </c>
      <c r="F3077" s="20">
        <f t="shared" si="48"/>
        <v>46113</v>
      </c>
    </row>
    <row r="3078" spans="1:6" ht="20.25">
      <c r="A3078" s="49"/>
      <c r="B3078" s="47" t="s">
        <v>882</v>
      </c>
      <c r="C3078" s="47">
        <v>31</v>
      </c>
      <c r="D3078" s="47" t="s">
        <v>63</v>
      </c>
      <c r="E3078" s="12">
        <v>46141</v>
      </c>
      <c r="F3078" s="20">
        <f t="shared" si="48"/>
        <v>46113</v>
      </c>
    </row>
    <row r="3079" spans="1:6" ht="20.25">
      <c r="A3079" s="49"/>
      <c r="B3079" s="47" t="s">
        <v>799</v>
      </c>
      <c r="C3079" s="47">
        <v>278</v>
      </c>
      <c r="D3079" s="47" t="s">
        <v>63</v>
      </c>
      <c r="E3079" s="12">
        <v>46141</v>
      </c>
      <c r="F3079" s="20">
        <f t="shared" si="48"/>
        <v>46113</v>
      </c>
    </row>
    <row r="3080" spans="1:6" ht="20.25">
      <c r="A3080" s="49"/>
      <c r="B3080" s="47" t="s">
        <v>973</v>
      </c>
      <c r="C3080" s="47">
        <v>226</v>
      </c>
      <c r="D3080" s="47" t="s">
        <v>63</v>
      </c>
      <c r="E3080" s="12">
        <v>46141</v>
      </c>
      <c r="F3080" s="20">
        <f t="shared" si="48"/>
        <v>46113</v>
      </c>
    </row>
    <row r="3081" spans="1:6" ht="20.25">
      <c r="A3081" s="49"/>
      <c r="B3081" s="47" t="s">
        <v>622</v>
      </c>
      <c r="C3081" s="47">
        <v>172</v>
      </c>
      <c r="D3081" s="47" t="s">
        <v>63</v>
      </c>
      <c r="E3081" s="12">
        <v>46141</v>
      </c>
      <c r="F3081" s="20">
        <f t="shared" si="48"/>
        <v>46113</v>
      </c>
    </row>
    <row r="3082" spans="1:6" ht="20.25">
      <c r="A3082" s="49"/>
      <c r="B3082" s="47" t="s">
        <v>622</v>
      </c>
      <c r="C3082" s="47">
        <v>157</v>
      </c>
      <c r="D3082" s="47" t="s">
        <v>63</v>
      </c>
      <c r="E3082" s="12">
        <v>46141</v>
      </c>
      <c r="F3082" s="20">
        <f t="shared" si="48"/>
        <v>46113</v>
      </c>
    </row>
    <row r="3083" spans="1:6" ht="20.25">
      <c r="A3083" s="49"/>
      <c r="B3083" s="47" t="s">
        <v>718</v>
      </c>
      <c r="C3083" s="47">
        <v>64</v>
      </c>
      <c r="D3083" s="47" t="s">
        <v>63</v>
      </c>
      <c r="E3083" s="12">
        <v>46141</v>
      </c>
      <c r="F3083" s="20">
        <f t="shared" si="48"/>
        <v>46113</v>
      </c>
    </row>
    <row r="3084" spans="1:6" ht="20.25">
      <c r="A3084" s="49"/>
      <c r="B3084" s="47" t="s">
        <v>718</v>
      </c>
      <c r="C3084" s="47">
        <v>410</v>
      </c>
      <c r="D3084" s="47" t="s">
        <v>63</v>
      </c>
      <c r="E3084" s="12">
        <v>46141</v>
      </c>
      <c r="F3084" s="20">
        <f t="shared" si="48"/>
        <v>46113</v>
      </c>
    </row>
    <row r="3085" spans="1:6" ht="20.25">
      <c r="A3085" s="49"/>
      <c r="B3085" s="47" t="s">
        <v>718</v>
      </c>
      <c r="C3085" s="47">
        <v>38</v>
      </c>
      <c r="D3085" s="47" t="s">
        <v>63</v>
      </c>
      <c r="E3085" s="12">
        <v>46141</v>
      </c>
      <c r="F3085" s="20">
        <f t="shared" si="48"/>
        <v>46113</v>
      </c>
    </row>
    <row r="3086" spans="1:6" ht="20.25">
      <c r="A3086" s="49"/>
      <c r="B3086" s="47" t="s">
        <v>718</v>
      </c>
      <c r="C3086" s="47">
        <v>95</v>
      </c>
      <c r="D3086" s="47" t="s">
        <v>63</v>
      </c>
      <c r="E3086" s="12">
        <v>46141</v>
      </c>
      <c r="F3086" s="20">
        <f t="shared" si="48"/>
        <v>46113</v>
      </c>
    </row>
    <row r="3087" spans="1:6" ht="20.25">
      <c r="A3087" s="49"/>
      <c r="B3087" s="47" t="s">
        <v>630</v>
      </c>
      <c r="C3087" s="47">
        <v>724</v>
      </c>
      <c r="D3087" s="47" t="s">
        <v>55</v>
      </c>
      <c r="E3087" s="12">
        <v>46141</v>
      </c>
      <c r="F3087" s="20">
        <f t="shared" si="48"/>
        <v>46113</v>
      </c>
    </row>
    <row r="3088" spans="1:6" ht="20.25">
      <c r="A3088" s="49"/>
      <c r="B3088" s="47" t="s">
        <v>1031</v>
      </c>
      <c r="C3088" s="47">
        <v>32</v>
      </c>
      <c r="D3088" s="47" t="s">
        <v>95</v>
      </c>
      <c r="E3088" s="12">
        <v>46141</v>
      </c>
      <c r="F3088" s="20">
        <f t="shared" si="48"/>
        <v>46113</v>
      </c>
    </row>
    <row r="3089" spans="1:6" ht="20.25">
      <c r="A3089" s="49"/>
      <c r="B3089" s="47" t="s">
        <v>1041</v>
      </c>
      <c r="C3089" s="47">
        <v>64</v>
      </c>
      <c r="D3089" s="47" t="s">
        <v>95</v>
      </c>
      <c r="E3089" s="12">
        <v>46141</v>
      </c>
      <c r="F3089" s="20">
        <f t="shared" si="48"/>
        <v>46113</v>
      </c>
    </row>
    <row r="3090" spans="1:6" ht="20.25">
      <c r="A3090" s="49"/>
      <c r="B3090" s="47" t="s">
        <v>684</v>
      </c>
      <c r="C3090" s="47">
        <v>125</v>
      </c>
      <c r="D3090" s="47" t="s">
        <v>72</v>
      </c>
      <c r="E3090" s="12">
        <v>46141</v>
      </c>
      <c r="F3090" s="20">
        <f t="shared" si="48"/>
        <v>46113</v>
      </c>
    </row>
    <row r="3091" spans="1:6" ht="20.25">
      <c r="A3091" s="49"/>
      <c r="B3091" s="47" t="s">
        <v>841</v>
      </c>
      <c r="C3091" s="47">
        <v>429</v>
      </c>
      <c r="D3091" s="47" t="s">
        <v>72</v>
      </c>
      <c r="E3091" s="12">
        <v>46141</v>
      </c>
      <c r="F3091" s="20">
        <f t="shared" si="48"/>
        <v>46113</v>
      </c>
    </row>
    <row r="3092" spans="1:6" ht="20.25">
      <c r="A3092" s="49"/>
      <c r="B3092" s="47" t="s">
        <v>841</v>
      </c>
      <c r="C3092" s="47">
        <v>331</v>
      </c>
      <c r="D3092" s="47" t="s">
        <v>72</v>
      </c>
      <c r="E3092" s="12">
        <v>46141</v>
      </c>
      <c r="F3092" s="20">
        <f t="shared" si="48"/>
        <v>46113</v>
      </c>
    </row>
    <row r="3093" spans="1:6" ht="20.25">
      <c r="A3093" s="49"/>
      <c r="B3093" s="47" t="s">
        <v>1059</v>
      </c>
      <c r="C3093" s="47">
        <v>81</v>
      </c>
      <c r="D3093" s="47" t="s">
        <v>63</v>
      </c>
      <c r="E3093" s="12">
        <v>46141</v>
      </c>
      <c r="F3093" s="20">
        <f t="shared" si="48"/>
        <v>46113</v>
      </c>
    </row>
    <row r="3094" spans="1:6" ht="20.25">
      <c r="A3094" s="49"/>
      <c r="B3094" s="47" t="s">
        <v>1059</v>
      </c>
      <c r="C3094" s="47">
        <v>150</v>
      </c>
      <c r="D3094" s="47" t="s">
        <v>63</v>
      </c>
      <c r="E3094" s="12">
        <v>46141</v>
      </c>
      <c r="F3094" s="20">
        <f t="shared" si="48"/>
        <v>46113</v>
      </c>
    </row>
    <row r="3095" spans="1:6" ht="20.25">
      <c r="A3095" s="49"/>
      <c r="B3095" s="47" t="s">
        <v>1347</v>
      </c>
      <c r="C3095" s="47">
        <v>2</v>
      </c>
      <c r="D3095" s="47" t="s">
        <v>97</v>
      </c>
      <c r="E3095" s="12">
        <v>46141</v>
      </c>
      <c r="F3095" s="20">
        <f t="shared" si="48"/>
        <v>46113</v>
      </c>
    </row>
    <row r="3096" spans="1:6" ht="20.25">
      <c r="A3096" s="49"/>
      <c r="B3096" s="47" t="s">
        <v>1549</v>
      </c>
      <c r="C3096" s="47">
        <v>256</v>
      </c>
      <c r="D3096" s="47" t="s">
        <v>1484</v>
      </c>
      <c r="E3096" s="12">
        <v>46141</v>
      </c>
      <c r="F3096" s="20">
        <f t="shared" si="48"/>
        <v>46113</v>
      </c>
    </row>
    <row r="3097" spans="1:6" ht="20.25">
      <c r="A3097" s="49"/>
      <c r="B3097" s="47" t="s">
        <v>1549</v>
      </c>
      <c r="C3097" s="47">
        <v>749</v>
      </c>
      <c r="D3097" s="47" t="s">
        <v>1484</v>
      </c>
      <c r="E3097" s="12">
        <v>46141</v>
      </c>
      <c r="F3097" s="20">
        <f t="shared" si="48"/>
        <v>46113</v>
      </c>
    </row>
    <row r="3098" spans="1:6" ht="20.25">
      <c r="A3098" s="49"/>
      <c r="B3098" s="47" t="s">
        <v>716</v>
      </c>
      <c r="C3098" s="47">
        <v>0</v>
      </c>
      <c r="D3098" s="47" t="s">
        <v>46</v>
      </c>
      <c r="E3098" s="12">
        <v>46141</v>
      </c>
      <c r="F3098" s="20">
        <f t="shared" si="48"/>
        <v>46113</v>
      </c>
    </row>
    <row r="3099" spans="1:6" ht="20.25">
      <c r="A3099" s="49"/>
      <c r="B3099" s="47" t="s">
        <v>1108</v>
      </c>
      <c r="C3099" s="47">
        <v>42</v>
      </c>
      <c r="D3099" s="47" t="s">
        <v>46</v>
      </c>
      <c r="E3099" s="12">
        <v>46141</v>
      </c>
      <c r="F3099" s="20">
        <f t="shared" si="48"/>
        <v>46113</v>
      </c>
    </row>
    <row r="3100" spans="1:6" ht="20.25">
      <c r="A3100" s="49"/>
      <c r="B3100" s="47" t="s">
        <v>1614</v>
      </c>
      <c r="C3100" s="47">
        <v>1000</v>
      </c>
      <c r="D3100" s="47" t="s">
        <v>46</v>
      </c>
      <c r="E3100" s="12">
        <v>46141</v>
      </c>
      <c r="F3100" s="20">
        <f t="shared" si="48"/>
        <v>46113</v>
      </c>
    </row>
    <row r="3101" spans="1:6" ht="20.25">
      <c r="A3101" s="49"/>
      <c r="B3101" s="47" t="s">
        <v>856</v>
      </c>
      <c r="C3101" s="47">
        <v>2</v>
      </c>
      <c r="D3101" s="47" t="s">
        <v>46</v>
      </c>
      <c r="E3101" s="12">
        <v>46141</v>
      </c>
      <c r="F3101" s="20">
        <f t="shared" si="48"/>
        <v>46113</v>
      </c>
    </row>
    <row r="3102" spans="1:6" ht="20.25">
      <c r="A3102" s="49"/>
      <c r="B3102" s="47" t="s">
        <v>854</v>
      </c>
      <c r="C3102" s="47">
        <v>49</v>
      </c>
      <c r="D3102" s="47" t="s">
        <v>46</v>
      </c>
      <c r="E3102" s="12">
        <v>46141</v>
      </c>
      <c r="F3102" s="20">
        <f t="shared" si="48"/>
        <v>46113</v>
      </c>
    </row>
    <row r="3103" spans="1:6" ht="20.25">
      <c r="A3103" s="49"/>
      <c r="B3103" s="47" t="s">
        <v>854</v>
      </c>
      <c r="C3103" s="47">
        <v>223</v>
      </c>
      <c r="D3103" s="47" t="s">
        <v>46</v>
      </c>
      <c r="E3103" s="12">
        <v>46141</v>
      </c>
      <c r="F3103" s="20">
        <f t="shared" si="48"/>
        <v>46113</v>
      </c>
    </row>
    <row r="3104" spans="1:6" ht="20.25">
      <c r="A3104" s="49"/>
      <c r="B3104" s="47" t="s">
        <v>879</v>
      </c>
      <c r="C3104" s="47">
        <v>32</v>
      </c>
      <c r="D3104" s="47" t="s">
        <v>46</v>
      </c>
      <c r="E3104" s="12">
        <v>46141</v>
      </c>
      <c r="F3104" s="20">
        <f t="shared" si="48"/>
        <v>46113</v>
      </c>
    </row>
    <row r="3105" spans="1:6" ht="20.25">
      <c r="A3105" s="49"/>
      <c r="B3105" s="47" t="s">
        <v>879</v>
      </c>
      <c r="C3105" s="47">
        <v>48</v>
      </c>
      <c r="D3105" s="47" t="s">
        <v>46</v>
      </c>
      <c r="E3105" s="12">
        <v>46141</v>
      </c>
      <c r="F3105" s="20">
        <f t="shared" si="48"/>
        <v>46113</v>
      </c>
    </row>
    <row r="3106" spans="1:6" ht="20.25">
      <c r="A3106" s="49"/>
      <c r="B3106" s="47" t="s">
        <v>868</v>
      </c>
      <c r="C3106" s="47">
        <v>265</v>
      </c>
      <c r="D3106" s="47" t="s">
        <v>46</v>
      </c>
      <c r="E3106" s="12">
        <v>46141</v>
      </c>
      <c r="F3106" s="20">
        <f t="shared" si="48"/>
        <v>46113</v>
      </c>
    </row>
    <row r="3107" spans="1:6" ht="20.25">
      <c r="A3107" s="49"/>
      <c r="B3107" s="47" t="s">
        <v>1613</v>
      </c>
      <c r="C3107" s="47">
        <v>327</v>
      </c>
      <c r="D3107" s="47" t="s">
        <v>46</v>
      </c>
      <c r="E3107" s="12">
        <v>46141</v>
      </c>
      <c r="F3107" s="20">
        <f t="shared" si="48"/>
        <v>46113</v>
      </c>
    </row>
    <row r="3108" spans="1:6" ht="20.25">
      <c r="A3108" s="49"/>
      <c r="B3108" s="47" t="s">
        <v>1249</v>
      </c>
      <c r="C3108" s="47">
        <v>168</v>
      </c>
      <c r="D3108" s="47" t="s">
        <v>46</v>
      </c>
      <c r="E3108" s="12">
        <v>46141</v>
      </c>
      <c r="F3108" s="20">
        <f t="shared" si="48"/>
        <v>46113</v>
      </c>
    </row>
    <row r="3109" spans="1:6" ht="20.25">
      <c r="A3109" s="49"/>
      <c r="B3109" s="47" t="s">
        <v>750</v>
      </c>
      <c r="C3109" s="47">
        <v>586</v>
      </c>
      <c r="D3109" s="47" t="s">
        <v>46</v>
      </c>
      <c r="E3109" s="12">
        <v>46141</v>
      </c>
      <c r="F3109" s="20">
        <f t="shared" si="48"/>
        <v>46113</v>
      </c>
    </row>
    <row r="3110" spans="1:6" ht="20.25">
      <c r="A3110" s="49"/>
      <c r="B3110" s="47" t="s">
        <v>603</v>
      </c>
      <c r="C3110" s="47">
        <v>1000</v>
      </c>
      <c r="D3110" s="47" t="s">
        <v>46</v>
      </c>
      <c r="E3110" s="12">
        <v>46141</v>
      </c>
      <c r="F3110" s="20">
        <f t="shared" si="48"/>
        <v>46113</v>
      </c>
    </row>
    <row r="3111" spans="1:6" ht="20.25">
      <c r="A3111" s="49"/>
      <c r="B3111" s="47" t="s">
        <v>924</v>
      </c>
      <c r="C3111" s="47">
        <v>47</v>
      </c>
      <c r="D3111" s="47" t="s">
        <v>114</v>
      </c>
      <c r="E3111" s="12">
        <v>46141</v>
      </c>
      <c r="F3111" s="20">
        <f t="shared" si="48"/>
        <v>46113</v>
      </c>
    </row>
    <row r="3112" spans="1:6" ht="20.25">
      <c r="A3112" s="49"/>
      <c r="B3112" s="47" t="s">
        <v>1107</v>
      </c>
      <c r="C3112" s="47">
        <v>372</v>
      </c>
      <c r="D3112" s="47" t="s">
        <v>95</v>
      </c>
      <c r="E3112" s="12">
        <v>46141</v>
      </c>
      <c r="F3112" s="20">
        <f t="shared" si="48"/>
        <v>46113</v>
      </c>
    </row>
    <row r="3113" spans="1:6" ht="20.25">
      <c r="A3113" s="49"/>
      <c r="B3113" s="47" t="s">
        <v>734</v>
      </c>
      <c r="C3113" s="47">
        <v>256</v>
      </c>
      <c r="D3113" s="47" t="s">
        <v>66</v>
      </c>
      <c r="E3113" s="12">
        <v>46141</v>
      </c>
      <c r="F3113" s="20">
        <f t="shared" si="48"/>
        <v>46113</v>
      </c>
    </row>
    <row r="3114" spans="1:6" ht="20.25">
      <c r="A3114" s="49"/>
      <c r="B3114" s="47" t="s">
        <v>841</v>
      </c>
      <c r="C3114" s="47">
        <v>385</v>
      </c>
      <c r="D3114" s="47" t="s">
        <v>66</v>
      </c>
      <c r="E3114" s="12">
        <v>46141</v>
      </c>
      <c r="F3114" s="20">
        <f t="shared" si="48"/>
        <v>46113</v>
      </c>
    </row>
    <row r="3115" spans="1:6" ht="20.25">
      <c r="A3115" s="49"/>
      <c r="B3115" s="47" t="s">
        <v>765</v>
      </c>
      <c r="C3115" s="47">
        <v>526</v>
      </c>
      <c r="D3115" s="47" t="s">
        <v>55</v>
      </c>
      <c r="E3115" s="12">
        <v>46141</v>
      </c>
      <c r="F3115" s="20">
        <f t="shared" si="48"/>
        <v>46113</v>
      </c>
    </row>
    <row r="3116" spans="1:6" ht="20.25">
      <c r="A3116" s="49"/>
      <c r="B3116" s="47" t="s">
        <v>765</v>
      </c>
      <c r="C3116" s="47">
        <v>51</v>
      </c>
      <c r="D3116" s="47" t="s">
        <v>55</v>
      </c>
      <c r="E3116" s="12">
        <v>46141</v>
      </c>
      <c r="F3116" s="20">
        <f t="shared" si="48"/>
        <v>46113</v>
      </c>
    </row>
    <row r="3117" spans="1:6" ht="20.25">
      <c r="A3117" s="49"/>
      <c r="B3117" s="47" t="s">
        <v>765</v>
      </c>
      <c r="C3117" s="47">
        <v>4</v>
      </c>
      <c r="D3117" s="47" t="s">
        <v>55</v>
      </c>
      <c r="E3117" s="12">
        <v>46141</v>
      </c>
      <c r="F3117" s="20">
        <f t="shared" si="48"/>
        <v>46113</v>
      </c>
    </row>
    <row r="3118" spans="1:6" ht="20.25">
      <c r="A3118" s="49"/>
      <c r="B3118" s="47" t="s">
        <v>604</v>
      </c>
      <c r="C3118" s="47">
        <v>180</v>
      </c>
      <c r="D3118" s="47" t="s">
        <v>114</v>
      </c>
      <c r="E3118" s="12">
        <v>46141</v>
      </c>
      <c r="F3118" s="20">
        <f t="shared" si="48"/>
        <v>46113</v>
      </c>
    </row>
    <row r="3119" spans="1:6" ht="20.25">
      <c r="A3119" s="49"/>
      <c r="B3119" s="47" t="s">
        <v>1163</v>
      </c>
      <c r="C3119" s="47">
        <v>34</v>
      </c>
      <c r="D3119" s="47" t="s">
        <v>160</v>
      </c>
      <c r="E3119" s="12">
        <v>46141</v>
      </c>
      <c r="F3119" s="20">
        <f t="shared" si="48"/>
        <v>46113</v>
      </c>
    </row>
    <row r="3120" spans="1:6" ht="20.25">
      <c r="A3120" s="49"/>
      <c r="B3120" s="47" t="s">
        <v>713</v>
      </c>
      <c r="C3120" s="47">
        <v>534</v>
      </c>
      <c r="D3120" s="47" t="s">
        <v>82</v>
      </c>
      <c r="E3120" s="12">
        <v>46141</v>
      </c>
      <c r="F3120" s="20">
        <f t="shared" si="48"/>
        <v>46113</v>
      </c>
    </row>
    <row r="3121" spans="1:6" ht="20.25">
      <c r="A3121" s="49"/>
      <c r="B3121" s="47" t="s">
        <v>612</v>
      </c>
      <c r="C3121" s="47">
        <v>508</v>
      </c>
      <c r="D3121" s="47" t="s">
        <v>55</v>
      </c>
      <c r="E3121" s="12">
        <v>46141</v>
      </c>
      <c r="F3121" s="20">
        <f t="shared" si="48"/>
        <v>46113</v>
      </c>
    </row>
    <row r="3122" spans="1:6" ht="20.25">
      <c r="A3122" s="49"/>
      <c r="B3122" s="47" t="s">
        <v>1331</v>
      </c>
      <c r="C3122" s="47">
        <v>8</v>
      </c>
      <c r="D3122" s="47" t="s">
        <v>55</v>
      </c>
      <c r="E3122" s="12">
        <v>46141</v>
      </c>
      <c r="F3122" s="20">
        <f t="shared" si="48"/>
        <v>46113</v>
      </c>
    </row>
    <row r="3123" spans="1:6" ht="20.25">
      <c r="A3123" s="49"/>
      <c r="B3123" s="47" t="s">
        <v>655</v>
      </c>
      <c r="C3123" s="47">
        <v>2</v>
      </c>
      <c r="D3123" s="47" t="s">
        <v>55</v>
      </c>
      <c r="E3123" s="12">
        <v>46141</v>
      </c>
      <c r="F3123" s="20">
        <f t="shared" si="48"/>
        <v>46113</v>
      </c>
    </row>
    <row r="3124" spans="1:6" ht="20.25">
      <c r="A3124" s="49"/>
      <c r="B3124" s="47" t="s">
        <v>664</v>
      </c>
      <c r="C3124" s="47">
        <v>23</v>
      </c>
      <c r="D3124" s="47" t="s">
        <v>97</v>
      </c>
      <c r="E3124" s="12">
        <v>46141</v>
      </c>
      <c r="F3124" s="20">
        <f t="shared" si="48"/>
        <v>46113</v>
      </c>
    </row>
    <row r="3125" spans="1:6" ht="20.25">
      <c r="A3125" s="49"/>
      <c r="B3125" s="47" t="s">
        <v>611</v>
      </c>
      <c r="C3125" s="47">
        <v>300</v>
      </c>
      <c r="D3125" s="47" t="s">
        <v>63</v>
      </c>
      <c r="E3125" s="12">
        <v>46141</v>
      </c>
      <c r="F3125" s="20">
        <f t="shared" si="48"/>
        <v>46113</v>
      </c>
    </row>
    <row r="3126" spans="1:6" ht="20.25">
      <c r="A3126" s="49"/>
      <c r="B3126" s="47" t="s">
        <v>611</v>
      </c>
      <c r="C3126" s="47">
        <v>1000</v>
      </c>
      <c r="D3126" s="47" t="s">
        <v>63</v>
      </c>
      <c r="E3126" s="12">
        <v>46141</v>
      </c>
      <c r="F3126" s="20">
        <f t="shared" si="48"/>
        <v>46113</v>
      </c>
    </row>
    <row r="3127" spans="1:6" ht="20.25">
      <c r="A3127" s="49"/>
      <c r="B3127" s="47" t="s">
        <v>997</v>
      </c>
      <c r="C3127" s="47">
        <v>1</v>
      </c>
      <c r="D3127" s="47" t="s">
        <v>63</v>
      </c>
      <c r="E3127" s="12">
        <v>46141</v>
      </c>
      <c r="F3127" s="20">
        <f t="shared" si="48"/>
        <v>46113</v>
      </c>
    </row>
    <row r="3128" spans="1:6" ht="20.25">
      <c r="A3128" s="49"/>
      <c r="B3128" s="47" t="s">
        <v>979</v>
      </c>
      <c r="C3128" s="47">
        <v>-102</v>
      </c>
      <c r="D3128" s="47" t="s">
        <v>114</v>
      </c>
      <c r="E3128" s="12">
        <v>46141</v>
      </c>
      <c r="F3128" s="20">
        <f t="shared" si="48"/>
        <v>46113</v>
      </c>
    </row>
    <row r="3129" spans="1:6" ht="20.25">
      <c r="A3129" s="49"/>
      <c r="B3129" s="47" t="s">
        <v>1139</v>
      </c>
      <c r="C3129" s="47">
        <v>-1</v>
      </c>
      <c r="D3129" s="47" t="s">
        <v>114</v>
      </c>
      <c r="E3129" s="12">
        <v>46141</v>
      </c>
      <c r="F3129" s="20">
        <f t="shared" si="48"/>
        <v>46113</v>
      </c>
    </row>
    <row r="3130" spans="1:6" ht="20.25">
      <c r="A3130" s="49"/>
      <c r="B3130" s="47" t="s">
        <v>1518</v>
      </c>
      <c r="C3130" s="47">
        <v>3</v>
      </c>
      <c r="D3130" s="47" t="s">
        <v>66</v>
      </c>
      <c r="E3130" s="12">
        <v>46141</v>
      </c>
      <c r="F3130" s="20">
        <f t="shared" si="48"/>
        <v>46113</v>
      </c>
    </row>
    <row r="3131" spans="1:6" ht="20.25">
      <c r="A3131" s="49"/>
      <c r="B3131" s="47" t="s">
        <v>1602</v>
      </c>
      <c r="C3131" s="47">
        <v>137</v>
      </c>
      <c r="D3131" s="47" t="s">
        <v>133</v>
      </c>
      <c r="E3131" s="12">
        <v>46142</v>
      </c>
      <c r="F3131" s="20">
        <f t="shared" si="48"/>
        <v>46113</v>
      </c>
    </row>
    <row r="3132" spans="1:6" ht="20.25">
      <c r="A3132" s="49"/>
      <c r="B3132" s="47" t="s">
        <v>1603</v>
      </c>
      <c r="C3132" s="47">
        <v>388</v>
      </c>
      <c r="D3132" s="47" t="s">
        <v>133</v>
      </c>
      <c r="E3132" s="12">
        <v>46142</v>
      </c>
      <c r="F3132" s="20">
        <f t="shared" si="48"/>
        <v>46113</v>
      </c>
    </row>
    <row r="3133" spans="1:6" ht="20.25">
      <c r="A3133" s="49"/>
      <c r="B3133" s="47" t="s">
        <v>819</v>
      </c>
      <c r="C3133" s="47">
        <v>262</v>
      </c>
      <c r="D3133" s="47" t="s">
        <v>95</v>
      </c>
      <c r="E3133" s="12">
        <v>46142</v>
      </c>
      <c r="F3133" s="20">
        <f t="shared" si="48"/>
        <v>46113</v>
      </c>
    </row>
    <row r="3134" spans="1:6" ht="20.25">
      <c r="A3134" s="49"/>
      <c r="B3134" s="47" t="s">
        <v>1114</v>
      </c>
      <c r="C3134" s="47">
        <v>80</v>
      </c>
      <c r="D3134" s="47" t="s">
        <v>95</v>
      </c>
      <c r="E3134" s="12">
        <v>46142</v>
      </c>
      <c r="F3134" s="20">
        <f t="shared" si="48"/>
        <v>46113</v>
      </c>
    </row>
    <row r="3135" spans="1:6" ht="20.25">
      <c r="A3135" s="49"/>
      <c r="B3135" s="47" t="s">
        <v>1151</v>
      </c>
      <c r="C3135" s="47">
        <v>93</v>
      </c>
      <c r="D3135" s="47" t="s">
        <v>95</v>
      </c>
      <c r="E3135" s="12">
        <v>46142</v>
      </c>
      <c r="F3135" s="20">
        <f t="shared" si="48"/>
        <v>46113</v>
      </c>
    </row>
    <row r="3136" spans="1:6" ht="20.25">
      <c r="A3136" s="49"/>
      <c r="B3136" s="47" t="s">
        <v>1096</v>
      </c>
      <c r="C3136" s="47">
        <v>81</v>
      </c>
      <c r="D3136" s="47" t="s">
        <v>95</v>
      </c>
      <c r="E3136" s="12">
        <v>46142</v>
      </c>
      <c r="F3136" s="20">
        <f t="shared" si="48"/>
        <v>46113</v>
      </c>
    </row>
    <row r="3137" spans="1:6" ht="20.25">
      <c r="A3137" s="49"/>
      <c r="B3137" s="47" t="s">
        <v>1070</v>
      </c>
      <c r="C3137" s="47">
        <v>175</v>
      </c>
      <c r="D3137" s="47" t="s">
        <v>95</v>
      </c>
      <c r="E3137" s="12">
        <v>46142</v>
      </c>
      <c r="F3137" s="20">
        <f t="shared" si="48"/>
        <v>46113</v>
      </c>
    </row>
    <row r="3138" spans="1:6" ht="20.25">
      <c r="A3138" s="49"/>
      <c r="B3138" s="47" t="s">
        <v>966</v>
      </c>
      <c r="C3138" s="47">
        <v>200</v>
      </c>
      <c r="D3138" s="47" t="s">
        <v>95</v>
      </c>
      <c r="E3138" s="12">
        <v>46142</v>
      </c>
      <c r="F3138" s="20">
        <f t="shared" ref="F3138:F3201" si="49">EOMONTH(E3138,-1)+1</f>
        <v>46113</v>
      </c>
    </row>
    <row r="3139" spans="1:6" ht="20.25">
      <c r="A3139" s="49"/>
      <c r="B3139" s="47" t="s">
        <v>611</v>
      </c>
      <c r="C3139" s="47">
        <v>147</v>
      </c>
      <c r="D3139" s="47" t="s">
        <v>95</v>
      </c>
      <c r="E3139" s="12">
        <v>46142</v>
      </c>
      <c r="F3139" s="20">
        <f t="shared" si="49"/>
        <v>46113</v>
      </c>
    </row>
    <row r="3140" spans="1:6" ht="20.25">
      <c r="A3140" s="49"/>
      <c r="B3140" s="47" t="s">
        <v>1115</v>
      </c>
      <c r="C3140" s="47">
        <v>200</v>
      </c>
      <c r="D3140" s="47" t="s">
        <v>72</v>
      </c>
      <c r="E3140" s="12">
        <v>46142</v>
      </c>
      <c r="F3140" s="20">
        <f t="shared" si="49"/>
        <v>46113</v>
      </c>
    </row>
    <row r="3141" spans="1:6" ht="20.25">
      <c r="A3141" s="49"/>
      <c r="B3141" s="47" t="s">
        <v>904</v>
      </c>
      <c r="C3141" s="47">
        <v>23</v>
      </c>
      <c r="D3141" s="47" t="s">
        <v>72</v>
      </c>
      <c r="E3141" s="12">
        <v>46142</v>
      </c>
      <c r="F3141" s="20">
        <f t="shared" si="49"/>
        <v>46113</v>
      </c>
    </row>
    <row r="3142" spans="1:6" ht="20.25">
      <c r="A3142" s="49"/>
      <c r="B3142" s="47" t="s">
        <v>727</v>
      </c>
      <c r="C3142" s="47">
        <v>44</v>
      </c>
      <c r="D3142" s="47" t="s">
        <v>72</v>
      </c>
      <c r="E3142" s="12">
        <v>46142</v>
      </c>
      <c r="F3142" s="20">
        <f t="shared" si="49"/>
        <v>46113</v>
      </c>
    </row>
    <row r="3143" spans="1:6" ht="20.25">
      <c r="A3143" s="49"/>
      <c r="B3143" s="47" t="s">
        <v>780</v>
      </c>
      <c r="C3143" s="47">
        <v>41</v>
      </c>
      <c r="D3143" s="47" t="s">
        <v>72</v>
      </c>
      <c r="E3143" s="12">
        <v>46142</v>
      </c>
      <c r="F3143" s="20">
        <f t="shared" si="49"/>
        <v>46113</v>
      </c>
    </row>
    <row r="3144" spans="1:6" ht="20.25">
      <c r="A3144" s="49"/>
      <c r="B3144" s="47" t="s">
        <v>917</v>
      </c>
      <c r="C3144" s="47">
        <v>128</v>
      </c>
      <c r="D3144" s="47" t="s">
        <v>72</v>
      </c>
      <c r="E3144" s="12">
        <v>46142</v>
      </c>
      <c r="F3144" s="20">
        <f t="shared" si="49"/>
        <v>46113</v>
      </c>
    </row>
    <row r="3145" spans="1:6" ht="20.25">
      <c r="A3145" s="49"/>
      <c r="B3145" s="47" t="s">
        <v>683</v>
      </c>
      <c r="C3145" s="47">
        <v>88</v>
      </c>
      <c r="D3145" s="47" t="s">
        <v>72</v>
      </c>
      <c r="E3145" s="12">
        <v>46142</v>
      </c>
      <c r="F3145" s="20">
        <f t="shared" si="49"/>
        <v>46113</v>
      </c>
    </row>
    <row r="3146" spans="1:6" ht="20.25">
      <c r="A3146" s="49"/>
      <c r="B3146" s="47" t="s">
        <v>1136</v>
      </c>
      <c r="C3146" s="47">
        <v>118</v>
      </c>
      <c r="D3146" s="47" t="s">
        <v>72</v>
      </c>
      <c r="E3146" s="12">
        <v>46142</v>
      </c>
      <c r="F3146" s="20">
        <f t="shared" si="49"/>
        <v>46113</v>
      </c>
    </row>
    <row r="3147" spans="1:6" ht="20.25">
      <c r="A3147" s="49"/>
      <c r="B3147" s="47" t="s">
        <v>626</v>
      </c>
      <c r="C3147" s="47">
        <v>256</v>
      </c>
      <c r="D3147" s="47" t="s">
        <v>72</v>
      </c>
      <c r="E3147" s="12">
        <v>46142</v>
      </c>
      <c r="F3147" s="20">
        <f t="shared" si="49"/>
        <v>46113</v>
      </c>
    </row>
    <row r="3148" spans="1:6" ht="20.25">
      <c r="A3148" s="49"/>
      <c r="B3148" s="47" t="s">
        <v>865</v>
      </c>
      <c r="C3148" s="47">
        <v>46</v>
      </c>
      <c r="D3148" s="47" t="s">
        <v>55</v>
      </c>
      <c r="E3148" s="12">
        <v>46142</v>
      </c>
      <c r="F3148" s="20">
        <f t="shared" si="49"/>
        <v>46113</v>
      </c>
    </row>
    <row r="3149" spans="1:6" ht="20.25">
      <c r="A3149" s="49"/>
      <c r="B3149" s="47" t="s">
        <v>959</v>
      </c>
      <c r="C3149" s="47">
        <v>169</v>
      </c>
      <c r="D3149" s="47" t="s">
        <v>55</v>
      </c>
      <c r="E3149" s="12">
        <v>46142</v>
      </c>
      <c r="F3149" s="20">
        <f t="shared" si="49"/>
        <v>46113</v>
      </c>
    </row>
    <row r="3150" spans="1:6" ht="20.25">
      <c r="A3150" s="49"/>
      <c r="B3150" s="47" t="s">
        <v>690</v>
      </c>
      <c r="C3150" s="47">
        <v>394</v>
      </c>
      <c r="D3150" s="47" t="s">
        <v>55</v>
      </c>
      <c r="E3150" s="12">
        <v>46142</v>
      </c>
      <c r="F3150" s="20">
        <f t="shared" si="49"/>
        <v>46113</v>
      </c>
    </row>
    <row r="3151" spans="1:6" ht="20.25">
      <c r="A3151" s="49"/>
      <c r="B3151" s="47" t="s">
        <v>604</v>
      </c>
      <c r="C3151" s="47">
        <v>0</v>
      </c>
      <c r="D3151" s="47" t="s">
        <v>114</v>
      </c>
      <c r="E3151" s="12">
        <v>46142</v>
      </c>
      <c r="F3151" s="20">
        <f t="shared" si="49"/>
        <v>46113</v>
      </c>
    </row>
    <row r="3152" spans="1:6" ht="20.25">
      <c r="A3152" s="49"/>
      <c r="B3152" s="47" t="s">
        <v>824</v>
      </c>
      <c r="C3152" s="47">
        <v>262</v>
      </c>
      <c r="D3152" s="47" t="s">
        <v>55</v>
      </c>
      <c r="E3152" s="12">
        <v>46142</v>
      </c>
      <c r="F3152" s="20">
        <f t="shared" si="49"/>
        <v>46113</v>
      </c>
    </row>
    <row r="3153" spans="1:6" ht="20.25">
      <c r="A3153" s="49"/>
      <c r="B3153" s="47" t="s">
        <v>612</v>
      </c>
      <c r="C3153" s="47">
        <v>50</v>
      </c>
      <c r="D3153" s="47" t="s">
        <v>55</v>
      </c>
      <c r="E3153" s="12">
        <v>46142</v>
      </c>
      <c r="F3153" s="20">
        <f t="shared" si="49"/>
        <v>46113</v>
      </c>
    </row>
    <row r="3154" spans="1:6" ht="20.25">
      <c r="A3154" s="49"/>
      <c r="B3154" s="47" t="s">
        <v>782</v>
      </c>
      <c r="C3154" s="47">
        <v>232</v>
      </c>
      <c r="D3154" s="47" t="s">
        <v>55</v>
      </c>
      <c r="E3154" s="12">
        <v>46142</v>
      </c>
      <c r="F3154" s="20">
        <f t="shared" si="49"/>
        <v>46113</v>
      </c>
    </row>
    <row r="3155" spans="1:6" ht="20.25">
      <c r="A3155" s="49"/>
      <c r="B3155" s="47" t="s">
        <v>1061</v>
      </c>
      <c r="C3155" s="47">
        <v>91</v>
      </c>
      <c r="D3155" s="47" t="s">
        <v>72</v>
      </c>
      <c r="E3155" s="12">
        <v>46142</v>
      </c>
      <c r="F3155" s="20">
        <f t="shared" si="49"/>
        <v>46113</v>
      </c>
    </row>
    <row r="3156" spans="1:6" ht="20.25">
      <c r="A3156" s="49"/>
      <c r="B3156" s="47" t="s">
        <v>671</v>
      </c>
      <c r="C3156" s="47">
        <v>112</v>
      </c>
      <c r="D3156" s="47" t="s">
        <v>72</v>
      </c>
      <c r="E3156" s="12">
        <v>46142</v>
      </c>
      <c r="F3156" s="20">
        <f t="shared" si="49"/>
        <v>46113</v>
      </c>
    </row>
    <row r="3157" spans="1:6" ht="20.25">
      <c r="A3157" s="49"/>
      <c r="B3157" s="47" t="s">
        <v>1615</v>
      </c>
      <c r="C3157" s="47">
        <v>368</v>
      </c>
      <c r="D3157" s="47" t="s">
        <v>160</v>
      </c>
      <c r="E3157" s="12">
        <v>46142</v>
      </c>
      <c r="F3157" s="20">
        <f t="shared" si="49"/>
        <v>46113</v>
      </c>
    </row>
    <row r="3158" spans="1:6" ht="20.25">
      <c r="A3158" s="49"/>
      <c r="B3158" s="47" t="s">
        <v>1596</v>
      </c>
      <c r="C3158" s="47">
        <v>201</v>
      </c>
      <c r="D3158" s="47" t="s">
        <v>160</v>
      </c>
      <c r="E3158" s="12">
        <v>46142</v>
      </c>
      <c r="F3158" s="20">
        <f t="shared" si="49"/>
        <v>46113</v>
      </c>
    </row>
    <row r="3159" spans="1:6" ht="20.25">
      <c r="A3159" s="49"/>
      <c r="B3159" s="47" t="s">
        <v>1323</v>
      </c>
      <c r="C3159" s="47">
        <v>18</v>
      </c>
      <c r="D3159" s="47" t="s">
        <v>160</v>
      </c>
      <c r="E3159" s="12">
        <v>46142</v>
      </c>
      <c r="F3159" s="20">
        <f t="shared" si="49"/>
        <v>46113</v>
      </c>
    </row>
    <row r="3160" spans="1:6" ht="20.25">
      <c r="A3160" s="49"/>
      <c r="B3160" s="47" t="s">
        <v>648</v>
      </c>
      <c r="C3160" s="47">
        <v>41</v>
      </c>
      <c r="D3160" s="47" t="s">
        <v>160</v>
      </c>
      <c r="E3160" s="12">
        <v>46142</v>
      </c>
      <c r="F3160" s="20">
        <f t="shared" si="49"/>
        <v>46113</v>
      </c>
    </row>
    <row r="3161" spans="1:6" ht="20.25">
      <c r="A3161" s="49"/>
      <c r="B3161" s="47" t="s">
        <v>777</v>
      </c>
      <c r="C3161" s="47">
        <v>67</v>
      </c>
      <c r="D3161" s="47" t="s">
        <v>160</v>
      </c>
      <c r="E3161" s="12">
        <v>46142</v>
      </c>
      <c r="F3161" s="20">
        <f t="shared" si="49"/>
        <v>46113</v>
      </c>
    </row>
    <row r="3162" spans="1:6" ht="20.25">
      <c r="A3162" s="49"/>
      <c r="B3162" s="47" t="s">
        <v>777</v>
      </c>
      <c r="C3162" s="47">
        <v>50</v>
      </c>
      <c r="D3162" s="47" t="s">
        <v>160</v>
      </c>
      <c r="E3162" s="12">
        <v>46142</v>
      </c>
      <c r="F3162" s="20">
        <f t="shared" si="49"/>
        <v>46113</v>
      </c>
    </row>
    <row r="3163" spans="1:6" ht="20.25">
      <c r="A3163" s="49"/>
      <c r="B3163" s="47" t="s">
        <v>1163</v>
      </c>
      <c r="C3163" s="47">
        <v>17</v>
      </c>
      <c r="D3163" s="47" t="s">
        <v>160</v>
      </c>
      <c r="E3163" s="12">
        <v>46142</v>
      </c>
      <c r="F3163" s="20">
        <f t="shared" si="49"/>
        <v>46113</v>
      </c>
    </row>
    <row r="3164" spans="1:6" ht="20.25">
      <c r="A3164" s="49"/>
      <c r="B3164" s="47" t="s">
        <v>725</v>
      </c>
      <c r="C3164" s="47">
        <v>190</v>
      </c>
      <c r="D3164" s="47" t="s">
        <v>160</v>
      </c>
      <c r="E3164" s="12">
        <v>46142</v>
      </c>
      <c r="F3164" s="20">
        <f t="shared" si="49"/>
        <v>46113</v>
      </c>
    </row>
    <row r="3165" spans="1:6" ht="20.25">
      <c r="A3165" s="49"/>
      <c r="B3165" s="47" t="s">
        <v>1045</v>
      </c>
      <c r="C3165" s="47">
        <v>300</v>
      </c>
      <c r="D3165" s="47" t="s">
        <v>160</v>
      </c>
      <c r="E3165" s="12">
        <v>46142</v>
      </c>
      <c r="F3165" s="20">
        <f t="shared" si="49"/>
        <v>46113</v>
      </c>
    </row>
    <row r="3166" spans="1:6" ht="20.25">
      <c r="A3166" s="49"/>
      <c r="B3166" s="47" t="s">
        <v>1361</v>
      </c>
      <c r="C3166" s="47">
        <v>253</v>
      </c>
      <c r="D3166" s="47" t="s">
        <v>160</v>
      </c>
      <c r="E3166" s="12">
        <v>46142</v>
      </c>
      <c r="F3166" s="20">
        <f t="shared" si="49"/>
        <v>46113</v>
      </c>
    </row>
    <row r="3167" spans="1:6" ht="20.25">
      <c r="A3167" s="49"/>
      <c r="B3167" s="47" t="s">
        <v>603</v>
      </c>
      <c r="C3167" s="47">
        <v>30</v>
      </c>
      <c r="D3167" s="47" t="s">
        <v>46</v>
      </c>
      <c r="E3167" s="12">
        <v>46142</v>
      </c>
      <c r="F3167" s="20">
        <f t="shared" si="49"/>
        <v>46113</v>
      </c>
    </row>
    <row r="3168" spans="1:6" ht="20.25">
      <c r="A3168" s="49"/>
      <c r="B3168" s="47" t="s">
        <v>1048</v>
      </c>
      <c r="C3168" s="47">
        <v>255</v>
      </c>
      <c r="D3168" s="47" t="s">
        <v>46</v>
      </c>
      <c r="E3168" s="12">
        <v>46142</v>
      </c>
      <c r="F3168" s="20">
        <f t="shared" si="49"/>
        <v>46113</v>
      </c>
    </row>
    <row r="3169" spans="1:6" ht="20.25">
      <c r="A3169" s="49"/>
      <c r="B3169" s="47" t="s">
        <v>1262</v>
      </c>
      <c r="C3169" s="47">
        <v>2</v>
      </c>
      <c r="D3169" s="47" t="s">
        <v>46</v>
      </c>
      <c r="E3169" s="12">
        <v>46142</v>
      </c>
      <c r="F3169" s="20">
        <f t="shared" si="49"/>
        <v>46113</v>
      </c>
    </row>
    <row r="3170" spans="1:6" ht="20.25">
      <c r="A3170" s="49"/>
      <c r="B3170" s="47" t="s">
        <v>810</v>
      </c>
      <c r="C3170" s="47">
        <v>144</v>
      </c>
      <c r="D3170" s="47" t="s">
        <v>46</v>
      </c>
      <c r="E3170" s="12">
        <v>46142</v>
      </c>
      <c r="F3170" s="20">
        <f t="shared" si="49"/>
        <v>46113</v>
      </c>
    </row>
    <row r="3171" spans="1:6" ht="20.25">
      <c r="A3171" s="49"/>
      <c r="B3171" s="47" t="s">
        <v>1173</v>
      </c>
      <c r="C3171" s="47">
        <v>211</v>
      </c>
      <c r="D3171" s="47" t="s">
        <v>46</v>
      </c>
      <c r="E3171" s="12">
        <v>46142</v>
      </c>
      <c r="F3171" s="20">
        <f t="shared" si="49"/>
        <v>46113</v>
      </c>
    </row>
    <row r="3172" spans="1:6" ht="20.25">
      <c r="A3172" s="49"/>
      <c r="B3172" s="47" t="s">
        <v>789</v>
      </c>
      <c r="C3172" s="47">
        <v>1</v>
      </c>
      <c r="D3172" s="47" t="s">
        <v>97</v>
      </c>
      <c r="E3172" s="12">
        <v>46142</v>
      </c>
      <c r="F3172" s="20">
        <f t="shared" si="49"/>
        <v>46113</v>
      </c>
    </row>
    <row r="3173" spans="1:6" ht="20.25">
      <c r="A3173" s="49"/>
      <c r="B3173" s="47" t="s">
        <v>1348</v>
      </c>
      <c r="C3173" s="47">
        <v>1</v>
      </c>
      <c r="D3173" s="47" t="s">
        <v>97</v>
      </c>
      <c r="E3173" s="12">
        <v>46142</v>
      </c>
      <c r="F3173" s="20">
        <f t="shared" si="49"/>
        <v>46113</v>
      </c>
    </row>
    <row r="3174" spans="1:6" ht="20.25">
      <c r="A3174" s="49"/>
      <c r="B3174" s="47" t="s">
        <v>1017</v>
      </c>
      <c r="C3174" s="47">
        <v>53</v>
      </c>
      <c r="D3174" s="47" t="s">
        <v>63</v>
      </c>
      <c r="E3174" s="12">
        <v>46142</v>
      </c>
      <c r="F3174" s="20">
        <f t="shared" si="49"/>
        <v>46113</v>
      </c>
    </row>
    <row r="3175" spans="1:6" ht="20.25">
      <c r="A3175" s="49"/>
      <c r="B3175" s="47" t="s">
        <v>611</v>
      </c>
      <c r="C3175" s="47">
        <v>160</v>
      </c>
      <c r="D3175" s="47" t="s">
        <v>63</v>
      </c>
      <c r="E3175" s="12">
        <v>46142</v>
      </c>
      <c r="F3175" s="20">
        <f t="shared" si="49"/>
        <v>46113</v>
      </c>
    </row>
    <row r="3176" spans="1:6" ht="20.25">
      <c r="A3176" s="49"/>
      <c r="B3176" s="47" t="s">
        <v>1141</v>
      </c>
      <c r="C3176" s="47">
        <v>311</v>
      </c>
      <c r="D3176" s="47" t="s">
        <v>63</v>
      </c>
      <c r="E3176" s="12">
        <v>46142</v>
      </c>
      <c r="F3176" s="20">
        <f t="shared" si="49"/>
        <v>46113</v>
      </c>
    </row>
    <row r="3177" spans="1:6" ht="20.25">
      <c r="A3177" s="49"/>
      <c r="B3177" s="47" t="s">
        <v>825</v>
      </c>
      <c r="C3177" s="47">
        <v>462</v>
      </c>
      <c r="D3177" s="47" t="s">
        <v>63</v>
      </c>
      <c r="E3177" s="12">
        <v>46142</v>
      </c>
      <c r="F3177" s="20">
        <f t="shared" si="49"/>
        <v>46113</v>
      </c>
    </row>
    <row r="3178" spans="1:6" ht="20.25">
      <c r="A3178" s="49"/>
      <c r="B3178" s="47" t="s">
        <v>825</v>
      </c>
      <c r="C3178" s="47">
        <v>29</v>
      </c>
      <c r="D3178" s="47" t="s">
        <v>63</v>
      </c>
      <c r="E3178" s="12">
        <v>46142</v>
      </c>
      <c r="F3178" s="20">
        <f t="shared" si="49"/>
        <v>46113</v>
      </c>
    </row>
    <row r="3179" spans="1:6" ht="20.25">
      <c r="A3179" s="49"/>
      <c r="B3179" s="47" t="s">
        <v>1546</v>
      </c>
      <c r="C3179" s="47">
        <v>195</v>
      </c>
      <c r="D3179" s="47" t="s">
        <v>63</v>
      </c>
      <c r="E3179" s="12">
        <v>46142</v>
      </c>
      <c r="F3179" s="20">
        <f t="shared" si="49"/>
        <v>46113</v>
      </c>
    </row>
    <row r="3180" spans="1:6" ht="20.25">
      <c r="A3180" s="49"/>
      <c r="B3180" s="47" t="s">
        <v>1546</v>
      </c>
      <c r="C3180" s="47">
        <v>143</v>
      </c>
      <c r="D3180" s="47" t="s">
        <v>63</v>
      </c>
      <c r="E3180" s="12">
        <v>46142</v>
      </c>
      <c r="F3180" s="20">
        <f t="shared" si="49"/>
        <v>46113</v>
      </c>
    </row>
    <row r="3181" spans="1:6" ht="20.25">
      <c r="A3181" s="49"/>
      <c r="B3181" s="47" t="s">
        <v>1059</v>
      </c>
      <c r="C3181" s="47">
        <v>166</v>
      </c>
      <c r="D3181" s="47" t="s">
        <v>63</v>
      </c>
      <c r="E3181" s="12">
        <v>46142</v>
      </c>
      <c r="F3181" s="20">
        <f t="shared" si="49"/>
        <v>46113</v>
      </c>
    </row>
    <row r="3182" spans="1:6" ht="20.25">
      <c r="A3182" s="49"/>
      <c r="B3182" s="47" t="s">
        <v>963</v>
      </c>
      <c r="C3182" s="47">
        <v>68</v>
      </c>
      <c r="D3182" s="47" t="s">
        <v>63</v>
      </c>
      <c r="E3182" s="12">
        <v>46142</v>
      </c>
      <c r="F3182" s="20">
        <f t="shared" si="49"/>
        <v>46113</v>
      </c>
    </row>
    <row r="3183" spans="1:6" ht="20.25">
      <c r="A3183" s="49"/>
      <c r="B3183" s="47" t="s">
        <v>963</v>
      </c>
      <c r="C3183" s="47">
        <v>103</v>
      </c>
      <c r="D3183" s="47" t="s">
        <v>63</v>
      </c>
      <c r="E3183" s="12">
        <v>46142</v>
      </c>
      <c r="F3183" s="20">
        <f t="shared" si="49"/>
        <v>46113</v>
      </c>
    </row>
    <row r="3184" spans="1:6" ht="20.25">
      <c r="A3184" s="49"/>
      <c r="B3184" s="47" t="s">
        <v>963</v>
      </c>
      <c r="C3184" s="47">
        <v>27</v>
      </c>
      <c r="D3184" s="47" t="s">
        <v>63</v>
      </c>
      <c r="E3184" s="12">
        <v>46142</v>
      </c>
      <c r="F3184" s="20">
        <f t="shared" si="49"/>
        <v>46113</v>
      </c>
    </row>
    <row r="3185" spans="1:6" ht="20.25">
      <c r="A3185" s="49"/>
      <c r="B3185" s="47" t="s">
        <v>1251</v>
      </c>
      <c r="C3185" s="47">
        <v>260</v>
      </c>
      <c r="D3185" s="47" t="s">
        <v>55</v>
      </c>
      <c r="E3185" s="12">
        <v>46142</v>
      </c>
      <c r="F3185" s="20">
        <f t="shared" si="49"/>
        <v>46113</v>
      </c>
    </row>
    <row r="3186" spans="1:6" ht="20.25">
      <c r="A3186" s="49"/>
      <c r="B3186" s="47" t="s">
        <v>765</v>
      </c>
      <c r="C3186" s="47">
        <v>318</v>
      </c>
      <c r="D3186" s="47" t="s">
        <v>55</v>
      </c>
      <c r="E3186" s="12">
        <v>46142</v>
      </c>
      <c r="F3186" s="20">
        <f t="shared" si="49"/>
        <v>46113</v>
      </c>
    </row>
    <row r="3187" spans="1:6" ht="20.25">
      <c r="A3187" s="49"/>
      <c r="B3187" s="47" t="s">
        <v>1101</v>
      </c>
      <c r="C3187" s="47">
        <v>1000</v>
      </c>
      <c r="D3187" s="47" t="s">
        <v>82</v>
      </c>
      <c r="E3187" s="12">
        <v>46142</v>
      </c>
      <c r="F3187" s="20">
        <f t="shared" si="49"/>
        <v>46113</v>
      </c>
    </row>
    <row r="3188" spans="1:6" ht="20.25">
      <c r="A3188" s="49"/>
      <c r="B3188" s="47" t="s">
        <v>785</v>
      </c>
      <c r="C3188" s="47">
        <v>308</v>
      </c>
      <c r="D3188" s="47" t="s">
        <v>82</v>
      </c>
      <c r="E3188" s="12">
        <v>46142</v>
      </c>
      <c r="F3188" s="20">
        <f t="shared" si="49"/>
        <v>46113</v>
      </c>
    </row>
    <row r="3189" spans="1:6" ht="20.25">
      <c r="A3189" s="49"/>
      <c r="B3189" s="47" t="s">
        <v>785</v>
      </c>
      <c r="C3189" s="47">
        <v>278</v>
      </c>
      <c r="D3189" s="47" t="s">
        <v>82</v>
      </c>
      <c r="E3189" s="12">
        <v>46142</v>
      </c>
      <c r="F3189" s="20">
        <f t="shared" si="49"/>
        <v>46113</v>
      </c>
    </row>
    <row r="3190" spans="1:6" ht="20.25">
      <c r="A3190" s="49"/>
      <c r="B3190" s="47" t="s">
        <v>734</v>
      </c>
      <c r="C3190" s="47">
        <v>875</v>
      </c>
      <c r="D3190" s="47" t="s">
        <v>82</v>
      </c>
      <c r="E3190" s="12">
        <v>46142</v>
      </c>
      <c r="F3190" s="20">
        <f t="shared" si="49"/>
        <v>46113</v>
      </c>
    </row>
    <row r="3191" spans="1:6" ht="20.25">
      <c r="A3191" s="49"/>
      <c r="B3191" s="47" t="s">
        <v>1133</v>
      </c>
      <c r="C3191" s="47">
        <v>320</v>
      </c>
      <c r="D3191" s="47" t="s">
        <v>63</v>
      </c>
      <c r="E3191" s="12">
        <v>46142</v>
      </c>
      <c r="F3191" s="20">
        <f t="shared" si="49"/>
        <v>46113</v>
      </c>
    </row>
    <row r="3192" spans="1:6" ht="20.25">
      <c r="A3192" s="49"/>
      <c r="B3192" s="47" t="s">
        <v>871</v>
      </c>
      <c r="C3192" s="47">
        <v>8</v>
      </c>
      <c r="D3192" s="47" t="s">
        <v>46</v>
      </c>
      <c r="E3192" s="12">
        <v>46142</v>
      </c>
      <c r="F3192" s="20">
        <f t="shared" si="49"/>
        <v>46113</v>
      </c>
    </row>
    <row r="3193" spans="1:6" ht="20.25">
      <c r="A3193" s="49"/>
      <c r="B3193" s="47" t="s">
        <v>1614</v>
      </c>
      <c r="C3193" s="47">
        <v>395</v>
      </c>
      <c r="D3193" s="47" t="s">
        <v>46</v>
      </c>
      <c r="E3193" s="12">
        <v>46142</v>
      </c>
      <c r="F3193" s="20">
        <f t="shared" si="49"/>
        <v>46113</v>
      </c>
    </row>
    <row r="3194" spans="1:6" ht="20.25">
      <c r="A3194" s="49"/>
      <c r="B3194" s="47" t="s">
        <v>1614</v>
      </c>
      <c r="C3194" s="47">
        <v>183</v>
      </c>
      <c r="D3194" s="47" t="s">
        <v>46</v>
      </c>
      <c r="E3194" s="12">
        <v>46142</v>
      </c>
      <c r="F3194" s="20">
        <f t="shared" si="49"/>
        <v>46113</v>
      </c>
    </row>
    <row r="3195" spans="1:6" ht="20.25">
      <c r="A3195" s="49"/>
      <c r="B3195" s="47" t="s">
        <v>1528</v>
      </c>
      <c r="C3195" s="47">
        <v>138</v>
      </c>
      <c r="D3195" s="47" t="s">
        <v>46</v>
      </c>
      <c r="E3195" s="12">
        <v>46142</v>
      </c>
      <c r="F3195" s="20">
        <f t="shared" si="49"/>
        <v>46113</v>
      </c>
    </row>
    <row r="3196" spans="1:6" ht="20.25">
      <c r="A3196" s="49"/>
      <c r="B3196" s="47" t="s">
        <v>1528</v>
      </c>
      <c r="C3196" s="47">
        <v>104</v>
      </c>
      <c r="D3196" s="47" t="s">
        <v>46</v>
      </c>
      <c r="E3196" s="12">
        <v>46142</v>
      </c>
      <c r="F3196" s="20">
        <f t="shared" si="49"/>
        <v>46113</v>
      </c>
    </row>
    <row r="3197" spans="1:6" ht="20.25">
      <c r="A3197" s="49"/>
      <c r="B3197" s="47" t="s">
        <v>1101</v>
      </c>
      <c r="C3197" s="47">
        <v>803</v>
      </c>
      <c r="D3197" s="47" t="s">
        <v>46</v>
      </c>
      <c r="E3197" s="12">
        <v>46142</v>
      </c>
      <c r="F3197" s="20">
        <f t="shared" si="49"/>
        <v>46113</v>
      </c>
    </row>
    <row r="3198" spans="1:6" ht="20.25">
      <c r="A3198" s="49"/>
      <c r="B3198" s="47" t="s">
        <v>854</v>
      </c>
      <c r="C3198" s="47">
        <v>98</v>
      </c>
      <c r="D3198" s="47" t="s">
        <v>46</v>
      </c>
      <c r="E3198" s="12">
        <v>46142</v>
      </c>
      <c r="F3198" s="20">
        <f t="shared" si="49"/>
        <v>46113</v>
      </c>
    </row>
    <row r="3199" spans="1:6" ht="20.25">
      <c r="A3199" s="49"/>
      <c r="B3199" s="47" t="s">
        <v>854</v>
      </c>
      <c r="C3199" s="47">
        <v>11</v>
      </c>
      <c r="D3199" s="47" t="s">
        <v>46</v>
      </c>
      <c r="E3199" s="12">
        <v>46142</v>
      </c>
      <c r="F3199" s="20">
        <f t="shared" si="49"/>
        <v>46113</v>
      </c>
    </row>
    <row r="3200" spans="1:6" ht="20.25">
      <c r="A3200" s="49"/>
      <c r="B3200" s="47" t="s">
        <v>1017</v>
      </c>
      <c r="C3200" s="47">
        <v>317</v>
      </c>
      <c r="D3200" s="47" t="s">
        <v>55</v>
      </c>
      <c r="E3200" s="12">
        <v>46142</v>
      </c>
      <c r="F3200" s="20">
        <f t="shared" si="49"/>
        <v>46113</v>
      </c>
    </row>
    <row r="3201" spans="1:6" ht="20.25">
      <c r="A3201" s="49"/>
      <c r="B3201" s="47" t="s">
        <v>952</v>
      </c>
      <c r="C3201" s="47">
        <v>95</v>
      </c>
      <c r="D3201" s="47" t="s">
        <v>55</v>
      </c>
      <c r="E3201" s="12">
        <v>46142</v>
      </c>
      <c r="F3201" s="20">
        <f t="shared" si="49"/>
        <v>46113</v>
      </c>
    </row>
    <row r="3202" spans="1:6" ht="20.25">
      <c r="A3202" s="49"/>
      <c r="B3202" s="47" t="s">
        <v>893</v>
      </c>
      <c r="C3202" s="47">
        <v>568</v>
      </c>
      <c r="D3202" s="47" t="s">
        <v>82</v>
      </c>
      <c r="E3202" s="12">
        <v>46142</v>
      </c>
      <c r="F3202" s="20">
        <f t="shared" ref="F3202:F3209" si="50">EOMONTH(E3202,-1)+1</f>
        <v>46113</v>
      </c>
    </row>
    <row r="3203" spans="1:6" ht="20.25">
      <c r="A3203" s="49"/>
      <c r="B3203" s="47" t="s">
        <v>1329</v>
      </c>
      <c r="C3203" s="47">
        <v>34</v>
      </c>
      <c r="D3203" s="47" t="s">
        <v>82</v>
      </c>
      <c r="E3203" s="12">
        <v>46142</v>
      </c>
      <c r="F3203" s="20">
        <f t="shared" si="50"/>
        <v>46113</v>
      </c>
    </row>
    <row r="3204" spans="1:6" ht="20.25">
      <c r="A3204" s="49"/>
      <c r="B3204" s="47" t="s">
        <v>1329</v>
      </c>
      <c r="C3204" s="47">
        <v>214</v>
      </c>
      <c r="D3204" s="47" t="s">
        <v>82</v>
      </c>
      <c r="E3204" s="12">
        <v>46142</v>
      </c>
      <c r="F3204" s="20">
        <f t="shared" si="50"/>
        <v>46113</v>
      </c>
    </row>
    <row r="3205" spans="1:6" ht="20.25">
      <c r="A3205" s="49"/>
      <c r="B3205" s="47" t="s">
        <v>1160</v>
      </c>
      <c r="C3205" s="47">
        <v>-3</v>
      </c>
      <c r="D3205" s="47" t="s">
        <v>46</v>
      </c>
      <c r="E3205" s="12">
        <v>46142</v>
      </c>
      <c r="F3205" s="20">
        <f t="shared" si="50"/>
        <v>46113</v>
      </c>
    </row>
    <row r="3206" spans="1:6" ht="20.25">
      <c r="A3206" s="49"/>
      <c r="B3206" s="47" t="s">
        <v>1063</v>
      </c>
      <c r="C3206" s="47">
        <v>-1</v>
      </c>
      <c r="D3206" s="47" t="s">
        <v>160</v>
      </c>
      <c r="E3206" s="12">
        <v>46142</v>
      </c>
      <c r="F3206" s="20">
        <f t="shared" si="50"/>
        <v>46113</v>
      </c>
    </row>
    <row r="3207" spans="1:6" ht="20.25">
      <c r="A3207" s="49"/>
      <c r="B3207" s="47" t="s">
        <v>1549</v>
      </c>
      <c r="C3207" s="47">
        <v>-1</v>
      </c>
      <c r="D3207" s="47" t="s">
        <v>1484</v>
      </c>
      <c r="E3207" s="12">
        <v>46142</v>
      </c>
      <c r="F3207" s="20">
        <f t="shared" si="50"/>
        <v>46113</v>
      </c>
    </row>
    <row r="3208" spans="1:6" ht="20.25">
      <c r="A3208" s="49"/>
      <c r="B3208" s="47" t="s">
        <v>655</v>
      </c>
      <c r="C3208" s="47">
        <v>-1</v>
      </c>
      <c r="D3208" s="47" t="s">
        <v>63</v>
      </c>
      <c r="E3208" s="12">
        <v>46142</v>
      </c>
      <c r="F3208" s="20">
        <f t="shared" si="50"/>
        <v>46113</v>
      </c>
    </row>
    <row r="3209" spans="1:6" ht="20.25">
      <c r="A3209" s="49"/>
      <c r="B3209" s="48" t="s">
        <v>798</v>
      </c>
      <c r="C3209" s="48">
        <v>-1</v>
      </c>
      <c r="D3209" s="48" t="s">
        <v>82</v>
      </c>
      <c r="E3209" s="41">
        <v>46142</v>
      </c>
      <c r="F3209" s="42">
        <f t="shared" si="50"/>
        <v>46113</v>
      </c>
    </row>
  </sheetData>
  <pageMargins left="0.7" right="0.7" top="0.75" bottom="0.75" header="0.3" footer="0.3"/>
  <headerFooter>
    <oddFooter>&amp;L_x000D_&amp;1#&amp;"Calibri"&amp;8&amp;K000000 Sensitivity: 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7ad5f1e9-d6a9-44b6-b409-44344f128308}" enabled="1" method="Standard" siteId="{7cc91c38-648e-4ce2-a4e4-517ae39fc18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Report</vt:lpstr>
      <vt:lpstr>Sheet1</vt:lpstr>
      <vt:lpstr>CA ASSLY MOM OUTPUT</vt:lpstr>
      <vt:lpstr>Low End </vt:lpstr>
      <vt:lpstr>High end</vt:lpstr>
      <vt:lpstr>CA ASSLY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Aravindan R (Case IQF)</dc:creator>
  <cp:lastModifiedBy>Manikandan G</cp:lastModifiedBy>
  <dcterms:created xsi:type="dcterms:W3CDTF">2025-05-12T06:46:36Z</dcterms:created>
  <dcterms:modified xsi:type="dcterms:W3CDTF">2026-05-21T12:30:21Z</dcterms:modified>
</cp:coreProperties>
</file>